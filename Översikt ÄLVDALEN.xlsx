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45795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45795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45795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45795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45795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45795</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45795</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45795</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45795</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45795</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45795</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45795</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45795</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45795</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45795</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45795</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45795</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45795</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45795</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45795</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45795</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45795</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45795</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45795</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45795</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45795</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45795</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45795</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45795</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45795</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45795</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45795</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45795</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45795</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45795</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45795</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45795</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45795</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45795</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45795</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45795</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45795</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45795</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45795</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45795</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45795</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45795</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45795</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45795</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45795</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45795</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45795</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45795</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45795</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45795</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45795</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45795</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45795</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45795</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45795</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45795</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45795</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45795</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45795</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45795</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45795</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45795</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45795</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45795</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45795</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45795</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45795</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45795</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45795</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45795</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45795</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45795</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45795</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45795</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45795</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45795</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45795</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45795</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45795</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45795</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45795</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45795</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45795</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45795</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45795</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45795</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45795</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45795</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45795</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45795</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45795</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45795</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45795</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45795</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45795</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45795</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45795</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45795</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45795</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45795</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45795</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45795</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45795</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45795</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45795</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45795</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45795</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45795</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45795</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45795</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45795</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45795</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45795</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45795</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45795</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45795</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45795</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45795</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45795</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45795</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45795</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45795</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45795</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45795</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45795</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45795</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45795</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45795</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45795</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45795</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45795</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45795</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45795</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45795</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45795</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45795</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45795</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45795</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45795</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45795</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45795</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45795</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45795</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45795</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45795</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45795</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45795</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45795</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45795</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45795</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45795</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45795</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45795</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45795</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45795</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45795</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45795</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45795</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45795</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45795</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45795</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45795</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45795</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45795</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45795</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45795</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45795</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45795</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45795</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45795</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45795</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45795</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31145-2024</t>
        </is>
      </c>
      <c r="B179" s="1" t="n">
        <v>45502</v>
      </c>
      <c r="C179" s="1" t="n">
        <v>45795</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31771-2024</t>
        </is>
      </c>
      <c r="B180" s="1" t="n">
        <v>45509</v>
      </c>
      <c r="C180" s="1" t="n">
        <v>45795</v>
      </c>
      <c r="D180" t="inlineStr">
        <is>
          <t>DALARNAS LÄN</t>
        </is>
      </c>
      <c r="E180" t="inlineStr">
        <is>
          <t>ÄLVDALEN</t>
        </is>
      </c>
      <c r="F180" t="inlineStr">
        <is>
          <t>Allmännings- och besparingsskogar</t>
        </is>
      </c>
      <c r="G180" t="n">
        <v>17.8</v>
      </c>
      <c r="H180" t="n">
        <v>1</v>
      </c>
      <c r="I180" t="n">
        <v>0</v>
      </c>
      <c r="J180" t="n">
        <v>0</v>
      </c>
      <c r="K180" t="n">
        <v>0</v>
      </c>
      <c r="L180" t="n">
        <v>1</v>
      </c>
      <c r="M180" t="n">
        <v>0</v>
      </c>
      <c r="N180" t="n">
        <v>0</v>
      </c>
      <c r="O180" t="n">
        <v>1</v>
      </c>
      <c r="P180" t="n">
        <v>1</v>
      </c>
      <c r="Q180" t="n">
        <v>1</v>
      </c>
      <c r="R180" s="2" t="inlineStr">
        <is>
          <t>Mosippa</t>
        </is>
      </c>
      <c r="S180">
        <f>HYPERLINK("https://klasma.github.io/Logging_2039/artfynd/A 31771-2024 artfynd.xlsx", "A 31771-2024")</f>
        <v/>
      </c>
      <c r="T180">
        <f>HYPERLINK("https://klasma.github.io/Logging_2039/kartor/A 31771-2024 karta.png", "A 31771-2024")</f>
        <v/>
      </c>
      <c r="V180">
        <f>HYPERLINK("https://klasma.github.io/Logging_2039/klagomål/A 31771-2024 FSC-klagomål.docx", "A 31771-2024")</f>
        <v/>
      </c>
      <c r="W180">
        <f>HYPERLINK("https://klasma.github.io/Logging_2039/klagomålsmail/A 31771-2024 FSC-klagomål mail.docx", "A 31771-2024")</f>
        <v/>
      </c>
      <c r="X180">
        <f>HYPERLINK("https://klasma.github.io/Logging_2039/tillsyn/A 31771-2024 tillsynsbegäran.docx", "A 31771-2024")</f>
        <v/>
      </c>
      <c r="Y180">
        <f>HYPERLINK("https://klasma.github.io/Logging_2039/tillsynsmail/A 31771-2024 tillsynsbegäran mail.docx", "A 31771-2024")</f>
        <v/>
      </c>
    </row>
    <row r="181" ht="15" customHeight="1">
      <c r="A181" t="inlineStr">
        <is>
          <t>A 32199-2024</t>
        </is>
      </c>
      <c r="B181" s="1" t="n">
        <v>45511</v>
      </c>
      <c r="C181" s="1" t="n">
        <v>45795</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45202-2024</t>
        </is>
      </c>
      <c r="B182" s="1" t="n">
        <v>45575</v>
      </c>
      <c r="C182" s="1" t="n">
        <v>45795</v>
      </c>
      <c r="D182" t="inlineStr">
        <is>
          <t>DALARNAS LÄN</t>
        </is>
      </c>
      <c r="E182" t="inlineStr">
        <is>
          <t>ÄLVDALEN</t>
        </is>
      </c>
      <c r="G182" t="n">
        <v>184.5</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45201-2024</t>
        </is>
      </c>
      <c r="B183" s="1" t="n">
        <v>45575</v>
      </c>
      <c r="C183" s="1" t="n">
        <v>45795</v>
      </c>
      <c r="D183" t="inlineStr">
        <is>
          <t>DALARNAS LÄN</t>
        </is>
      </c>
      <c r="E183" t="inlineStr">
        <is>
          <t>ÄLVDALEN</t>
        </is>
      </c>
      <c r="G183" t="n">
        <v>24.6</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50981-2024</t>
        </is>
      </c>
      <c r="B184" s="1" t="n">
        <v>45603</v>
      </c>
      <c r="C184" s="1" t="n">
        <v>45795</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662-2025</t>
        </is>
      </c>
      <c r="B185" s="1" t="n">
        <v>45664</v>
      </c>
      <c r="C185" s="1" t="n">
        <v>45795</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19338-2025</t>
        </is>
      </c>
      <c r="B186" s="1" t="n">
        <v>45769</v>
      </c>
      <c r="C186" s="1" t="n">
        <v>45795</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19338-2025 artfynd.xlsx", "A 19338-2025")</f>
        <v/>
      </c>
      <c r="T186">
        <f>HYPERLINK("https://klasma.github.io/Logging_202039/kartor/A 19338-2025 karta.png", "A 19338-2025")</f>
        <v/>
      </c>
      <c r="V186">
        <f>HYPERLINK("https://klasma.github.io/Logging_202039/klagomål/A 19338-2025 FSC-klagomål.docx", "A 19338-2025")</f>
        <v/>
      </c>
      <c r="W186">
        <f>HYPERLINK("https://klasma.github.io/Logging_202039/klagomålsmail/A 19338-2025 FSC-klagomål mail.docx", "A 19338-2025")</f>
        <v/>
      </c>
      <c r="X186">
        <f>HYPERLINK("https://klasma.github.io/Logging_202039/tillsyn/A 19338-2025 tillsynsbegäran.docx", "A 19338-2025")</f>
        <v/>
      </c>
      <c r="Y186">
        <f>HYPERLINK("https://klasma.github.io/Logging_202039/tillsynsmail/A 19338-2025 tillsynsbegäran mail.docx", "A 19338-2025")</f>
        <v/>
      </c>
    </row>
    <row r="187" ht="15" customHeight="1">
      <c r="A187" t="inlineStr">
        <is>
          <t>A 19443-2025</t>
        </is>
      </c>
      <c r="B187" s="1" t="n">
        <v>45770</v>
      </c>
      <c r="C187" s="1" t="n">
        <v>45795</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19443-2025 artfynd.xlsx", "A 19443-2025")</f>
        <v/>
      </c>
      <c r="T187">
        <f>HYPERLINK("https://klasma.github.io/Logging_202039/kartor/A 19443-2025 karta.png", "A 19443-2025")</f>
        <v/>
      </c>
      <c r="V187">
        <f>HYPERLINK("https://klasma.github.io/Logging_202039/klagomål/A 19443-2025 FSC-klagomål.docx", "A 19443-2025")</f>
        <v/>
      </c>
      <c r="W187">
        <f>HYPERLINK("https://klasma.github.io/Logging_202039/klagomålsmail/A 19443-2025 FSC-klagomål mail.docx", "A 19443-2025")</f>
        <v/>
      </c>
      <c r="X187">
        <f>HYPERLINK("https://klasma.github.io/Logging_202039/tillsyn/A 19443-2025 tillsynsbegäran.docx", "A 19443-2025")</f>
        <v/>
      </c>
      <c r="Y187">
        <f>HYPERLINK("https://klasma.github.io/Logging_202039/tillsynsmail/A 19443-2025 tillsynsbegäran mail.docx", "A 19443-2025")</f>
        <v/>
      </c>
    </row>
    <row r="188" ht="15" customHeight="1">
      <c r="A188" t="inlineStr">
        <is>
          <t>A 17751-2019</t>
        </is>
      </c>
      <c r="B188" s="1" t="n">
        <v>43556</v>
      </c>
      <c r="C188" s="1" t="n">
        <v>45795</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17741-2019</t>
        </is>
      </c>
      <c r="B189" s="1" t="n">
        <v>43556</v>
      </c>
      <c r="C189" s="1" t="n">
        <v>45795</v>
      </c>
      <c r="D189" t="inlineStr">
        <is>
          <t>DALARNAS LÄN</t>
        </is>
      </c>
      <c r="E189" t="inlineStr">
        <is>
          <t>ÄLVDALEN</t>
        </is>
      </c>
      <c r="G189" t="n">
        <v>2.3</v>
      </c>
      <c r="H189" t="n">
        <v>0</v>
      </c>
      <c r="I189" t="n">
        <v>0</v>
      </c>
      <c r="J189" t="n">
        <v>0</v>
      </c>
      <c r="K189" t="n">
        <v>0</v>
      </c>
      <c r="L189" t="n">
        <v>0</v>
      </c>
      <c r="M189" t="n">
        <v>0</v>
      </c>
      <c r="N189" t="n">
        <v>0</v>
      </c>
      <c r="O189" t="n">
        <v>0</v>
      </c>
      <c r="P189" t="n">
        <v>0</v>
      </c>
      <c r="Q189" t="n">
        <v>0</v>
      </c>
      <c r="R189" s="2" t="inlineStr"/>
    </row>
    <row r="190" ht="15" customHeight="1">
      <c r="A190" t="inlineStr">
        <is>
          <t>A 20104-2019</t>
        </is>
      </c>
      <c r="B190" s="1" t="n">
        <v>43570</v>
      </c>
      <c r="C190" s="1" t="n">
        <v>45795</v>
      </c>
      <c r="D190" t="inlineStr">
        <is>
          <t>DALARNAS LÄN</t>
        </is>
      </c>
      <c r="E190" t="inlineStr">
        <is>
          <t>ÄLVDALEN</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20004-2019</t>
        </is>
      </c>
      <c r="B191" s="1" t="n">
        <v>43570</v>
      </c>
      <c r="C191" s="1" t="n">
        <v>45795</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20948-2019</t>
        </is>
      </c>
      <c r="B192" s="1" t="n">
        <v>43578</v>
      </c>
      <c r="C192" s="1" t="n">
        <v>45795</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20962-2019</t>
        </is>
      </c>
      <c r="B193" s="1" t="n">
        <v>43578</v>
      </c>
      <c r="C193" s="1" t="n">
        <v>45795</v>
      </c>
      <c r="D193" t="inlineStr">
        <is>
          <t>DALARNAS LÄN</t>
        </is>
      </c>
      <c r="E193" t="inlineStr">
        <is>
          <t>ÄLVDALEN</t>
        </is>
      </c>
      <c r="G193" t="n">
        <v>1.4</v>
      </c>
      <c r="H193" t="n">
        <v>0</v>
      </c>
      <c r="I193" t="n">
        <v>0</v>
      </c>
      <c r="J193" t="n">
        <v>0</v>
      </c>
      <c r="K193" t="n">
        <v>0</v>
      </c>
      <c r="L193" t="n">
        <v>0</v>
      </c>
      <c r="M193" t="n">
        <v>0</v>
      </c>
      <c r="N193" t="n">
        <v>0</v>
      </c>
      <c r="O193" t="n">
        <v>0</v>
      </c>
      <c r="P193" t="n">
        <v>0</v>
      </c>
      <c r="Q193" t="n">
        <v>0</v>
      </c>
      <c r="R193" s="2" t="inlineStr"/>
    </row>
    <row r="194" ht="15" customHeight="1">
      <c r="A194" t="inlineStr">
        <is>
          <t>A 21717-2019</t>
        </is>
      </c>
      <c r="B194" s="1" t="n">
        <v>43581</v>
      </c>
      <c r="C194" s="1" t="n">
        <v>45795</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21969-2019</t>
        </is>
      </c>
      <c r="B195" s="1" t="n">
        <v>43584</v>
      </c>
      <c r="C195" s="1" t="n">
        <v>45795</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23360-2019</t>
        </is>
      </c>
      <c r="B196" s="1" t="n">
        <v>43593</v>
      </c>
      <c r="C196" s="1" t="n">
        <v>45795</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23946-2019</t>
        </is>
      </c>
      <c r="B197" s="1" t="n">
        <v>43596</v>
      </c>
      <c r="C197" s="1" t="n">
        <v>45795</v>
      </c>
      <c r="D197" t="inlineStr">
        <is>
          <t>DALARNAS LÄN</t>
        </is>
      </c>
      <c r="E197" t="inlineStr">
        <is>
          <t>ÄLVDALEN</t>
        </is>
      </c>
      <c r="G197" t="n">
        <v>3.6</v>
      </c>
      <c r="H197" t="n">
        <v>0</v>
      </c>
      <c r="I197" t="n">
        <v>0</v>
      </c>
      <c r="J197" t="n">
        <v>0</v>
      </c>
      <c r="K197" t="n">
        <v>0</v>
      </c>
      <c r="L197" t="n">
        <v>0</v>
      </c>
      <c r="M197" t="n">
        <v>0</v>
      </c>
      <c r="N197" t="n">
        <v>0</v>
      </c>
      <c r="O197" t="n">
        <v>0</v>
      </c>
      <c r="P197" t="n">
        <v>0</v>
      </c>
      <c r="Q197" t="n">
        <v>0</v>
      </c>
      <c r="R197" s="2" t="inlineStr"/>
    </row>
    <row r="198" ht="15" customHeight="1">
      <c r="A198" t="inlineStr">
        <is>
          <t>A 24651-2019</t>
        </is>
      </c>
      <c r="B198" s="1" t="n">
        <v>43601</v>
      </c>
      <c r="C198" s="1" t="n">
        <v>45795</v>
      </c>
      <c r="D198" t="inlineStr">
        <is>
          <t>DALARNAS LÄN</t>
        </is>
      </c>
      <c r="E198" t="inlineStr">
        <is>
          <t>ÄLVDALEN</t>
        </is>
      </c>
      <c r="G198" t="n">
        <v>10.1</v>
      </c>
      <c r="H198" t="n">
        <v>0</v>
      </c>
      <c r="I198" t="n">
        <v>0</v>
      </c>
      <c r="J198" t="n">
        <v>0</v>
      </c>
      <c r="K198" t="n">
        <v>0</v>
      </c>
      <c r="L198" t="n">
        <v>0</v>
      </c>
      <c r="M198" t="n">
        <v>0</v>
      </c>
      <c r="N198" t="n">
        <v>0</v>
      </c>
      <c r="O198" t="n">
        <v>0</v>
      </c>
      <c r="P198" t="n">
        <v>0</v>
      </c>
      <c r="Q198" t="n">
        <v>0</v>
      </c>
      <c r="R198" s="2" t="inlineStr"/>
    </row>
    <row r="199" ht="15" customHeight="1">
      <c r="A199" t="inlineStr">
        <is>
          <t>A 25001-2019</t>
        </is>
      </c>
      <c r="B199" s="1" t="n">
        <v>43602</v>
      </c>
      <c r="C199" s="1" t="n">
        <v>45795</v>
      </c>
      <c r="D199" t="inlineStr">
        <is>
          <t>DALARNAS LÄN</t>
        </is>
      </c>
      <c r="E199" t="inlineStr">
        <is>
          <t>ÄLVDALEN</t>
        </is>
      </c>
      <c r="F199" t="inlineStr">
        <is>
          <t>Kommuner</t>
        </is>
      </c>
      <c r="G199" t="n">
        <v>4.8</v>
      </c>
      <c r="H199" t="n">
        <v>0</v>
      </c>
      <c r="I199" t="n">
        <v>0</v>
      </c>
      <c r="J199" t="n">
        <v>0</v>
      </c>
      <c r="K199" t="n">
        <v>0</v>
      </c>
      <c r="L199" t="n">
        <v>0</v>
      </c>
      <c r="M199" t="n">
        <v>0</v>
      </c>
      <c r="N199" t="n">
        <v>0</v>
      </c>
      <c r="O199" t="n">
        <v>0</v>
      </c>
      <c r="P199" t="n">
        <v>0</v>
      </c>
      <c r="Q199" t="n">
        <v>0</v>
      </c>
      <c r="R199" s="2" t="inlineStr"/>
    </row>
    <row r="200" ht="15" customHeight="1">
      <c r="A200" t="inlineStr">
        <is>
          <t>A 26164-2019</t>
        </is>
      </c>
      <c r="B200" s="1" t="n">
        <v>43609</v>
      </c>
      <c r="C200" s="1" t="n">
        <v>45795</v>
      </c>
      <c r="D200" t="inlineStr">
        <is>
          <t>DALARNAS LÄN</t>
        </is>
      </c>
      <c r="E200" t="inlineStr">
        <is>
          <t>ÄLVDALEN</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26127-2019</t>
        </is>
      </c>
      <c r="B201" s="1" t="n">
        <v>43609</v>
      </c>
      <c r="C201" s="1" t="n">
        <v>45795</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27077-2019</t>
        </is>
      </c>
      <c r="B202" s="1" t="n">
        <v>43609</v>
      </c>
      <c r="C202" s="1" t="n">
        <v>45795</v>
      </c>
      <c r="D202" t="inlineStr">
        <is>
          <t>DALARNAS LÄN</t>
        </is>
      </c>
      <c r="E202" t="inlineStr">
        <is>
          <t>ÄLVDALEN</t>
        </is>
      </c>
      <c r="G202" t="n">
        <v>7.4</v>
      </c>
      <c r="H202" t="n">
        <v>0</v>
      </c>
      <c r="I202" t="n">
        <v>0</v>
      </c>
      <c r="J202" t="n">
        <v>0</v>
      </c>
      <c r="K202" t="n">
        <v>0</v>
      </c>
      <c r="L202" t="n">
        <v>0</v>
      </c>
      <c r="M202" t="n">
        <v>0</v>
      </c>
      <c r="N202" t="n">
        <v>0</v>
      </c>
      <c r="O202" t="n">
        <v>0</v>
      </c>
      <c r="P202" t="n">
        <v>0</v>
      </c>
      <c r="Q202" t="n">
        <v>0</v>
      </c>
      <c r="R202" s="2" t="inlineStr"/>
    </row>
    <row r="203" ht="15" customHeight="1">
      <c r="A203" t="inlineStr">
        <is>
          <t>A 26103-2019</t>
        </is>
      </c>
      <c r="B203" s="1" t="n">
        <v>43609</v>
      </c>
      <c r="C203" s="1" t="n">
        <v>45795</v>
      </c>
      <c r="D203" t="inlineStr">
        <is>
          <t>DALARNAS LÄN</t>
        </is>
      </c>
      <c r="E203" t="inlineStr">
        <is>
          <t>ÄLVDALEN</t>
        </is>
      </c>
      <c r="G203" t="n">
        <v>12.7</v>
      </c>
      <c r="H203" t="n">
        <v>0</v>
      </c>
      <c r="I203" t="n">
        <v>0</v>
      </c>
      <c r="J203" t="n">
        <v>0</v>
      </c>
      <c r="K203" t="n">
        <v>0</v>
      </c>
      <c r="L203" t="n">
        <v>0</v>
      </c>
      <c r="M203" t="n">
        <v>0</v>
      </c>
      <c r="N203" t="n">
        <v>0</v>
      </c>
      <c r="O203" t="n">
        <v>0</v>
      </c>
      <c r="P203" t="n">
        <v>0</v>
      </c>
      <c r="Q203" t="n">
        <v>0</v>
      </c>
      <c r="R203" s="2" t="inlineStr"/>
    </row>
    <row r="204" ht="15" customHeight="1">
      <c r="A204" t="inlineStr">
        <is>
          <t>A 26910-2019</t>
        </is>
      </c>
      <c r="B204" s="1" t="n">
        <v>43613</v>
      </c>
      <c r="C204" s="1" t="n">
        <v>45795</v>
      </c>
      <c r="D204" t="inlineStr">
        <is>
          <t>DALARNAS LÄN</t>
        </is>
      </c>
      <c r="E204" t="inlineStr">
        <is>
          <t>ÄLVDALEN</t>
        </is>
      </c>
      <c r="G204" t="n">
        <v>4.1</v>
      </c>
      <c r="H204" t="n">
        <v>0</v>
      </c>
      <c r="I204" t="n">
        <v>0</v>
      </c>
      <c r="J204" t="n">
        <v>0</v>
      </c>
      <c r="K204" t="n">
        <v>0</v>
      </c>
      <c r="L204" t="n">
        <v>0</v>
      </c>
      <c r="M204" t="n">
        <v>0</v>
      </c>
      <c r="N204" t="n">
        <v>0</v>
      </c>
      <c r="O204" t="n">
        <v>0</v>
      </c>
      <c r="P204" t="n">
        <v>0</v>
      </c>
      <c r="Q204" t="n">
        <v>0</v>
      </c>
      <c r="R204" s="2" t="inlineStr"/>
    </row>
    <row r="205" ht="15" customHeight="1">
      <c r="A205" t="inlineStr">
        <is>
          <t>A 27720-2019</t>
        </is>
      </c>
      <c r="B205" s="1" t="n">
        <v>43619</v>
      </c>
      <c r="C205" s="1" t="n">
        <v>45795</v>
      </c>
      <c r="D205" t="inlineStr">
        <is>
          <t>DALARNAS LÄN</t>
        </is>
      </c>
      <c r="E205" t="inlineStr">
        <is>
          <t>ÄLVDALEN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27691-2019</t>
        </is>
      </c>
      <c r="B206" s="1" t="n">
        <v>43619</v>
      </c>
      <c r="C206" s="1" t="n">
        <v>45795</v>
      </c>
      <c r="D206" t="inlineStr">
        <is>
          <t>DALARNAS LÄN</t>
        </is>
      </c>
      <c r="E206" t="inlineStr">
        <is>
          <t>ÄLVDALEN</t>
        </is>
      </c>
      <c r="G206" t="n">
        <v>3.1</v>
      </c>
      <c r="H206" t="n">
        <v>0</v>
      </c>
      <c r="I206" t="n">
        <v>0</v>
      </c>
      <c r="J206" t="n">
        <v>0</v>
      </c>
      <c r="K206" t="n">
        <v>0</v>
      </c>
      <c r="L206" t="n">
        <v>0</v>
      </c>
      <c r="M206" t="n">
        <v>0</v>
      </c>
      <c r="N206" t="n">
        <v>0</v>
      </c>
      <c r="O206" t="n">
        <v>0</v>
      </c>
      <c r="P206" t="n">
        <v>0</v>
      </c>
      <c r="Q206" t="n">
        <v>0</v>
      </c>
      <c r="R206" s="2" t="inlineStr"/>
    </row>
    <row r="207" ht="15" customHeight="1">
      <c r="A207" t="inlineStr">
        <is>
          <t>A 28350-2019</t>
        </is>
      </c>
      <c r="B207" s="1" t="n">
        <v>43624</v>
      </c>
      <c r="C207" s="1" t="n">
        <v>45795</v>
      </c>
      <c r="D207" t="inlineStr">
        <is>
          <t>DALARNAS LÄN</t>
        </is>
      </c>
      <c r="E207" t="inlineStr">
        <is>
          <t>ÄLVDALEN</t>
        </is>
      </c>
      <c r="G207" t="n">
        <v>18.2</v>
      </c>
      <c r="H207" t="n">
        <v>0</v>
      </c>
      <c r="I207" t="n">
        <v>0</v>
      </c>
      <c r="J207" t="n">
        <v>0</v>
      </c>
      <c r="K207" t="n">
        <v>0</v>
      </c>
      <c r="L207" t="n">
        <v>0</v>
      </c>
      <c r="M207" t="n">
        <v>0</v>
      </c>
      <c r="N207" t="n">
        <v>0</v>
      </c>
      <c r="O207" t="n">
        <v>0</v>
      </c>
      <c r="P207" t="n">
        <v>0</v>
      </c>
      <c r="Q207" t="n">
        <v>0</v>
      </c>
      <c r="R207" s="2" t="inlineStr"/>
    </row>
    <row r="208" ht="15" customHeight="1">
      <c r="A208" t="inlineStr">
        <is>
          <t>A 28536-2019</t>
        </is>
      </c>
      <c r="B208" s="1" t="n">
        <v>43626</v>
      </c>
      <c r="C208" s="1" t="n">
        <v>45795</v>
      </c>
      <c r="D208" t="inlineStr">
        <is>
          <t>DALARNAS LÄN</t>
        </is>
      </c>
      <c r="E208" t="inlineStr">
        <is>
          <t>ÄLVDALEN</t>
        </is>
      </c>
      <c r="G208" t="n">
        <v>6.4</v>
      </c>
      <c r="H208" t="n">
        <v>0</v>
      </c>
      <c r="I208" t="n">
        <v>0</v>
      </c>
      <c r="J208" t="n">
        <v>0</v>
      </c>
      <c r="K208" t="n">
        <v>0</v>
      </c>
      <c r="L208" t="n">
        <v>0</v>
      </c>
      <c r="M208" t="n">
        <v>0</v>
      </c>
      <c r="N208" t="n">
        <v>0</v>
      </c>
      <c r="O208" t="n">
        <v>0</v>
      </c>
      <c r="P208" t="n">
        <v>0</v>
      </c>
      <c r="Q208" t="n">
        <v>0</v>
      </c>
      <c r="R208" s="2" t="inlineStr"/>
    </row>
    <row r="209" ht="15" customHeight="1">
      <c r="A209" t="inlineStr">
        <is>
          <t>A 28544-2019</t>
        </is>
      </c>
      <c r="B209" s="1" t="n">
        <v>43626</v>
      </c>
      <c r="C209" s="1" t="n">
        <v>45795</v>
      </c>
      <c r="D209" t="inlineStr">
        <is>
          <t>DALARNAS LÄN</t>
        </is>
      </c>
      <c r="E209" t="inlineStr">
        <is>
          <t>ÄLVDALEN</t>
        </is>
      </c>
      <c r="G209" t="n">
        <v>4.3</v>
      </c>
      <c r="H209" t="n">
        <v>0</v>
      </c>
      <c r="I209" t="n">
        <v>0</v>
      </c>
      <c r="J209" t="n">
        <v>0</v>
      </c>
      <c r="K209" t="n">
        <v>0</v>
      </c>
      <c r="L209" t="n">
        <v>0</v>
      </c>
      <c r="M209" t="n">
        <v>0</v>
      </c>
      <c r="N209" t="n">
        <v>0</v>
      </c>
      <c r="O209" t="n">
        <v>0</v>
      </c>
      <c r="P209" t="n">
        <v>0</v>
      </c>
      <c r="Q209" t="n">
        <v>0</v>
      </c>
      <c r="R209" s="2" t="inlineStr"/>
    </row>
    <row r="210" ht="15" customHeight="1">
      <c r="A210" t="inlineStr">
        <is>
          <t>A 28527-2019</t>
        </is>
      </c>
      <c r="B210" s="1" t="n">
        <v>43626</v>
      </c>
      <c r="C210" s="1" t="n">
        <v>45795</v>
      </c>
      <c r="D210" t="inlineStr">
        <is>
          <t>DALARNAS LÄN</t>
        </is>
      </c>
      <c r="E210" t="inlineStr">
        <is>
          <t>ÄLVDALEN</t>
        </is>
      </c>
      <c r="G210" t="n">
        <v>1.6</v>
      </c>
      <c r="H210" t="n">
        <v>0</v>
      </c>
      <c r="I210" t="n">
        <v>0</v>
      </c>
      <c r="J210" t="n">
        <v>0</v>
      </c>
      <c r="K210" t="n">
        <v>0</v>
      </c>
      <c r="L210" t="n">
        <v>0</v>
      </c>
      <c r="M210" t="n">
        <v>0</v>
      </c>
      <c r="N210" t="n">
        <v>0</v>
      </c>
      <c r="O210" t="n">
        <v>0</v>
      </c>
      <c r="P210" t="n">
        <v>0</v>
      </c>
      <c r="Q210" t="n">
        <v>0</v>
      </c>
      <c r="R210" s="2" t="inlineStr"/>
    </row>
    <row r="211" ht="15" customHeight="1">
      <c r="A211" t="inlineStr">
        <is>
          <t>A 28549-2019</t>
        </is>
      </c>
      <c r="B211" s="1" t="n">
        <v>43626</v>
      </c>
      <c r="C211" s="1" t="n">
        <v>45795</v>
      </c>
      <c r="D211" t="inlineStr">
        <is>
          <t>DALARNAS LÄN</t>
        </is>
      </c>
      <c r="E211" t="inlineStr">
        <is>
          <t>ÄLVDALEN</t>
        </is>
      </c>
      <c r="G211" t="n">
        <v>10.5</v>
      </c>
      <c r="H211" t="n">
        <v>0</v>
      </c>
      <c r="I211" t="n">
        <v>0</v>
      </c>
      <c r="J211" t="n">
        <v>0</v>
      </c>
      <c r="K211" t="n">
        <v>0</v>
      </c>
      <c r="L211" t="n">
        <v>0</v>
      </c>
      <c r="M211" t="n">
        <v>0</v>
      </c>
      <c r="N211" t="n">
        <v>0</v>
      </c>
      <c r="O211" t="n">
        <v>0</v>
      </c>
      <c r="P211" t="n">
        <v>0</v>
      </c>
      <c r="Q211" t="n">
        <v>0</v>
      </c>
      <c r="R211" s="2" t="inlineStr"/>
    </row>
    <row r="212" ht="15" customHeight="1">
      <c r="A212" t="inlineStr">
        <is>
          <t>A 28965-2019</t>
        </is>
      </c>
      <c r="B212" s="1" t="n">
        <v>43628</v>
      </c>
      <c r="C212" s="1" t="n">
        <v>45795</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30506-2019</t>
        </is>
      </c>
      <c r="B213" s="1" t="n">
        <v>43635</v>
      </c>
      <c r="C213" s="1" t="n">
        <v>45795</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32347-2019</t>
        </is>
      </c>
      <c r="B214" s="1" t="n">
        <v>43644</v>
      </c>
      <c r="C214" s="1" t="n">
        <v>45795</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32357-2019</t>
        </is>
      </c>
      <c r="B215" s="1" t="n">
        <v>43644</v>
      </c>
      <c r="C215" s="1" t="n">
        <v>45795</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32359-2019</t>
        </is>
      </c>
      <c r="B216" s="1" t="n">
        <v>43644</v>
      </c>
      <c r="C216" s="1" t="n">
        <v>45795</v>
      </c>
      <c r="D216" t="inlineStr">
        <is>
          <t>DALARNAS LÄN</t>
        </is>
      </c>
      <c r="E216" t="inlineStr">
        <is>
          <t>ÄLVDALEN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32670-2019</t>
        </is>
      </c>
      <c r="B217" s="1" t="n">
        <v>43647</v>
      </c>
      <c r="C217" s="1" t="n">
        <v>45795</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35529-2019</t>
        </is>
      </c>
      <c r="B218" s="1" t="n">
        <v>43654</v>
      </c>
      <c r="C218" s="1" t="n">
        <v>45795</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34550-2019</t>
        </is>
      </c>
      <c r="B219" s="1" t="n">
        <v>43657</v>
      </c>
      <c r="C219" s="1" t="n">
        <v>45795</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36080-2019</t>
        </is>
      </c>
      <c r="B220" s="1" t="n">
        <v>43657</v>
      </c>
      <c r="C220" s="1" t="n">
        <v>45795</v>
      </c>
      <c r="D220" t="inlineStr">
        <is>
          <t>DALARNAS LÄN</t>
        </is>
      </c>
      <c r="E220" t="inlineStr">
        <is>
          <t>ÄLVDALEN</t>
        </is>
      </c>
      <c r="G220" t="n">
        <v>1.7</v>
      </c>
      <c r="H220" t="n">
        <v>0</v>
      </c>
      <c r="I220" t="n">
        <v>0</v>
      </c>
      <c r="J220" t="n">
        <v>0</v>
      </c>
      <c r="K220" t="n">
        <v>0</v>
      </c>
      <c r="L220" t="n">
        <v>0</v>
      </c>
      <c r="M220" t="n">
        <v>0</v>
      </c>
      <c r="N220" t="n">
        <v>0</v>
      </c>
      <c r="O220" t="n">
        <v>0</v>
      </c>
      <c r="P220" t="n">
        <v>0</v>
      </c>
      <c r="Q220" t="n">
        <v>0</v>
      </c>
      <c r="R220" s="2" t="inlineStr"/>
    </row>
    <row r="221" ht="15" customHeight="1">
      <c r="A221" t="inlineStr">
        <is>
          <t>A 35136-2019</t>
        </is>
      </c>
      <c r="B221" s="1" t="n">
        <v>43661</v>
      </c>
      <c r="C221" s="1" t="n">
        <v>45795</v>
      </c>
      <c r="D221" t="inlineStr">
        <is>
          <t>DALARNAS LÄN</t>
        </is>
      </c>
      <c r="E221" t="inlineStr">
        <is>
          <t>ÄLVDALEN</t>
        </is>
      </c>
      <c r="G221" t="n">
        <v>0.8</v>
      </c>
      <c r="H221" t="n">
        <v>0</v>
      </c>
      <c r="I221" t="n">
        <v>0</v>
      </c>
      <c r="J221" t="n">
        <v>0</v>
      </c>
      <c r="K221" t="n">
        <v>0</v>
      </c>
      <c r="L221" t="n">
        <v>0</v>
      </c>
      <c r="M221" t="n">
        <v>0</v>
      </c>
      <c r="N221" t="n">
        <v>0</v>
      </c>
      <c r="O221" t="n">
        <v>0</v>
      </c>
      <c r="P221" t="n">
        <v>0</v>
      </c>
      <c r="Q221" t="n">
        <v>0</v>
      </c>
      <c r="R221" s="2" t="inlineStr"/>
    </row>
    <row r="222" ht="15" customHeight="1">
      <c r="A222" t="inlineStr">
        <is>
          <t>A 35463-2019</t>
        </is>
      </c>
      <c r="B222" s="1" t="n">
        <v>43663</v>
      </c>
      <c r="C222" s="1" t="n">
        <v>45795</v>
      </c>
      <c r="D222" t="inlineStr">
        <is>
          <t>DALARNAS LÄN</t>
        </is>
      </c>
      <c r="E222" t="inlineStr">
        <is>
          <t>ÄLVDALEN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35457-2019</t>
        </is>
      </c>
      <c r="B223" s="1" t="n">
        <v>43663</v>
      </c>
      <c r="C223" s="1" t="n">
        <v>45795</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35458-2019</t>
        </is>
      </c>
      <c r="B224" s="1" t="n">
        <v>43663</v>
      </c>
      <c r="C224" s="1" t="n">
        <v>45795</v>
      </c>
      <c r="D224" t="inlineStr">
        <is>
          <t>DALARNAS LÄN</t>
        </is>
      </c>
      <c r="E224" t="inlineStr">
        <is>
          <t>ÄLVDALEN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35609-2019</t>
        </is>
      </c>
      <c r="B225" s="1" t="n">
        <v>43664</v>
      </c>
      <c r="C225" s="1" t="n">
        <v>45795</v>
      </c>
      <c r="D225" t="inlineStr">
        <is>
          <t>DALARNAS LÄN</t>
        </is>
      </c>
      <c r="E225" t="inlineStr">
        <is>
          <t>ÄLVDALEN</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35708-2019</t>
        </is>
      </c>
      <c r="B226" s="1" t="n">
        <v>43664</v>
      </c>
      <c r="C226" s="1" t="n">
        <v>45795</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35707-2019</t>
        </is>
      </c>
      <c r="B227" s="1" t="n">
        <v>43664</v>
      </c>
      <c r="C227" s="1" t="n">
        <v>45795</v>
      </c>
      <c r="D227" t="inlineStr">
        <is>
          <t>DALARNAS LÄN</t>
        </is>
      </c>
      <c r="E227" t="inlineStr">
        <is>
          <t>ÄLVDALEN</t>
        </is>
      </c>
      <c r="G227" t="n">
        <v>4.8</v>
      </c>
      <c r="H227" t="n">
        <v>0</v>
      </c>
      <c r="I227" t="n">
        <v>0</v>
      </c>
      <c r="J227" t="n">
        <v>0</v>
      </c>
      <c r="K227" t="n">
        <v>0</v>
      </c>
      <c r="L227" t="n">
        <v>0</v>
      </c>
      <c r="M227" t="n">
        <v>0</v>
      </c>
      <c r="N227" t="n">
        <v>0</v>
      </c>
      <c r="O227" t="n">
        <v>0</v>
      </c>
      <c r="P227" t="n">
        <v>0</v>
      </c>
      <c r="Q227" t="n">
        <v>0</v>
      </c>
      <c r="R227" s="2" t="inlineStr"/>
    </row>
    <row r="228" ht="15" customHeight="1">
      <c r="A228" t="inlineStr">
        <is>
          <t>A 36482-2019</t>
        </is>
      </c>
      <c r="B228" s="1" t="n">
        <v>43668</v>
      </c>
      <c r="C228" s="1" t="n">
        <v>45795</v>
      </c>
      <c r="D228" t="inlineStr">
        <is>
          <t>DALARNAS LÄN</t>
        </is>
      </c>
      <c r="E228" t="inlineStr">
        <is>
          <t>ÄLVDALEN</t>
        </is>
      </c>
      <c r="G228" t="n">
        <v>3</v>
      </c>
      <c r="H228" t="n">
        <v>0</v>
      </c>
      <c r="I228" t="n">
        <v>0</v>
      </c>
      <c r="J228" t="n">
        <v>0</v>
      </c>
      <c r="K228" t="n">
        <v>0</v>
      </c>
      <c r="L228" t="n">
        <v>0</v>
      </c>
      <c r="M228" t="n">
        <v>0</v>
      </c>
      <c r="N228" t="n">
        <v>0</v>
      </c>
      <c r="O228" t="n">
        <v>0</v>
      </c>
      <c r="P228" t="n">
        <v>0</v>
      </c>
      <c r="Q228" t="n">
        <v>0</v>
      </c>
      <c r="R228" s="2" t="inlineStr"/>
    </row>
    <row r="229" ht="15" customHeight="1">
      <c r="A229" t="inlineStr">
        <is>
          <t>A 36063-2019</t>
        </is>
      </c>
      <c r="B229" s="1" t="n">
        <v>43668</v>
      </c>
      <c r="C229" s="1" t="n">
        <v>45795</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37645-2019</t>
        </is>
      </c>
      <c r="B230" s="1" t="n">
        <v>43682</v>
      </c>
      <c r="C230" s="1" t="n">
        <v>45795</v>
      </c>
      <c r="D230" t="inlineStr">
        <is>
          <t>DALARNAS LÄN</t>
        </is>
      </c>
      <c r="E230" t="inlineStr">
        <is>
          <t>ÄLVDALEN</t>
        </is>
      </c>
      <c r="G230" t="n">
        <v>2</v>
      </c>
      <c r="H230" t="n">
        <v>0</v>
      </c>
      <c r="I230" t="n">
        <v>0</v>
      </c>
      <c r="J230" t="n">
        <v>0</v>
      </c>
      <c r="K230" t="n">
        <v>0</v>
      </c>
      <c r="L230" t="n">
        <v>0</v>
      </c>
      <c r="M230" t="n">
        <v>0</v>
      </c>
      <c r="N230" t="n">
        <v>0</v>
      </c>
      <c r="O230" t="n">
        <v>0</v>
      </c>
      <c r="P230" t="n">
        <v>0</v>
      </c>
      <c r="Q230" t="n">
        <v>0</v>
      </c>
      <c r="R230" s="2" t="inlineStr"/>
    </row>
    <row r="231" ht="15" customHeight="1">
      <c r="A231" t="inlineStr">
        <is>
          <t>A 37939-2019</t>
        </is>
      </c>
      <c r="B231" s="1" t="n">
        <v>43683</v>
      </c>
      <c r="C231" s="1" t="n">
        <v>45795</v>
      </c>
      <c r="D231" t="inlineStr">
        <is>
          <t>DALARNAS LÄN</t>
        </is>
      </c>
      <c r="E231" t="inlineStr">
        <is>
          <t>ÄLVDALEN</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37991-2019</t>
        </is>
      </c>
      <c r="B232" s="1" t="n">
        <v>43683</v>
      </c>
      <c r="C232" s="1" t="n">
        <v>45795</v>
      </c>
      <c r="D232" t="inlineStr">
        <is>
          <t>DALARNAS LÄN</t>
        </is>
      </c>
      <c r="E232" t="inlineStr">
        <is>
          <t>ÄLVDALEN</t>
        </is>
      </c>
      <c r="G232" t="n">
        <v>5.8</v>
      </c>
      <c r="H232" t="n">
        <v>0</v>
      </c>
      <c r="I232" t="n">
        <v>0</v>
      </c>
      <c r="J232" t="n">
        <v>0</v>
      </c>
      <c r="K232" t="n">
        <v>0</v>
      </c>
      <c r="L232" t="n">
        <v>0</v>
      </c>
      <c r="M232" t="n">
        <v>0</v>
      </c>
      <c r="N232" t="n">
        <v>0</v>
      </c>
      <c r="O232" t="n">
        <v>0</v>
      </c>
      <c r="P232" t="n">
        <v>0</v>
      </c>
      <c r="Q232" t="n">
        <v>0</v>
      </c>
      <c r="R232" s="2" t="inlineStr"/>
    </row>
    <row r="233" ht="15" customHeight="1">
      <c r="A233" t="inlineStr">
        <is>
          <t>A 38039-2019</t>
        </is>
      </c>
      <c r="B233" s="1" t="n">
        <v>43683</v>
      </c>
      <c r="C233" s="1" t="n">
        <v>45795</v>
      </c>
      <c r="D233" t="inlineStr">
        <is>
          <t>DALARNAS LÄN</t>
        </is>
      </c>
      <c r="E233" t="inlineStr">
        <is>
          <t>ÄLVDALEN</t>
        </is>
      </c>
      <c r="F233" t="inlineStr">
        <is>
          <t>Övriga statliga verk och myndigheter</t>
        </is>
      </c>
      <c r="G233" t="n">
        <v>3.6</v>
      </c>
      <c r="H233" t="n">
        <v>0</v>
      </c>
      <c r="I233" t="n">
        <v>0</v>
      </c>
      <c r="J233" t="n">
        <v>0</v>
      </c>
      <c r="K233" t="n">
        <v>0</v>
      </c>
      <c r="L233" t="n">
        <v>0</v>
      </c>
      <c r="M233" t="n">
        <v>0</v>
      </c>
      <c r="N233" t="n">
        <v>0</v>
      </c>
      <c r="O233" t="n">
        <v>0</v>
      </c>
      <c r="P233" t="n">
        <v>0</v>
      </c>
      <c r="Q233" t="n">
        <v>0</v>
      </c>
      <c r="R233" s="2" t="inlineStr"/>
    </row>
    <row r="234" ht="15" customHeight="1">
      <c r="A234" t="inlineStr">
        <is>
          <t>A 38021-2019</t>
        </is>
      </c>
      <c r="B234" s="1" t="n">
        <v>43683</v>
      </c>
      <c r="C234" s="1" t="n">
        <v>45795</v>
      </c>
      <c r="D234" t="inlineStr">
        <is>
          <t>DALARNAS LÄN</t>
        </is>
      </c>
      <c r="E234" t="inlineStr">
        <is>
          <t>ÄLVDALEN</t>
        </is>
      </c>
      <c r="F234" t="inlineStr">
        <is>
          <t>Övriga statliga verk och myndigheter</t>
        </is>
      </c>
      <c r="G234" t="n">
        <v>4.7</v>
      </c>
      <c r="H234" t="n">
        <v>0</v>
      </c>
      <c r="I234" t="n">
        <v>0</v>
      </c>
      <c r="J234" t="n">
        <v>0</v>
      </c>
      <c r="K234" t="n">
        <v>0</v>
      </c>
      <c r="L234" t="n">
        <v>0</v>
      </c>
      <c r="M234" t="n">
        <v>0</v>
      </c>
      <c r="N234" t="n">
        <v>0</v>
      </c>
      <c r="O234" t="n">
        <v>0</v>
      </c>
      <c r="P234" t="n">
        <v>0</v>
      </c>
      <c r="Q234" t="n">
        <v>0</v>
      </c>
      <c r="R234" s="2" t="inlineStr"/>
    </row>
    <row r="235" ht="15" customHeight="1">
      <c r="A235" t="inlineStr">
        <is>
          <t>A 38864-2019</t>
        </is>
      </c>
      <c r="B235" s="1" t="n">
        <v>43689</v>
      </c>
      <c r="C235" s="1" t="n">
        <v>45795</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41242-2019</t>
        </is>
      </c>
      <c r="B236" s="1" t="n">
        <v>43698</v>
      </c>
      <c r="C236" s="1" t="n">
        <v>45795</v>
      </c>
      <c r="D236" t="inlineStr">
        <is>
          <t>DALARNAS LÄN</t>
        </is>
      </c>
      <c r="E236" t="inlineStr">
        <is>
          <t>ÄLVDALEN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43540-2019</t>
        </is>
      </c>
      <c r="B237" s="1" t="n">
        <v>43706</v>
      </c>
      <c r="C237" s="1" t="n">
        <v>45795</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43543-2019</t>
        </is>
      </c>
      <c r="B238" s="1" t="n">
        <v>43706</v>
      </c>
      <c r="C238" s="1" t="n">
        <v>45795</v>
      </c>
      <c r="D238" t="inlineStr">
        <is>
          <t>DALARNAS LÄN</t>
        </is>
      </c>
      <c r="E238" t="inlineStr">
        <is>
          <t>ÄLVDALEN</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46240-2019</t>
        </is>
      </c>
      <c r="B239" s="1" t="n">
        <v>43714</v>
      </c>
      <c r="C239" s="1" t="n">
        <v>45795</v>
      </c>
      <c r="D239" t="inlineStr">
        <is>
          <t>DALARNAS LÄN</t>
        </is>
      </c>
      <c r="E239" t="inlineStr">
        <is>
          <t>ÄLVDALEN</t>
        </is>
      </c>
      <c r="G239" t="n">
        <v>19.4</v>
      </c>
      <c r="H239" t="n">
        <v>0</v>
      </c>
      <c r="I239" t="n">
        <v>0</v>
      </c>
      <c r="J239" t="n">
        <v>0</v>
      </c>
      <c r="K239" t="n">
        <v>0</v>
      </c>
      <c r="L239" t="n">
        <v>0</v>
      </c>
      <c r="M239" t="n">
        <v>0</v>
      </c>
      <c r="N239" t="n">
        <v>0</v>
      </c>
      <c r="O239" t="n">
        <v>0</v>
      </c>
      <c r="P239" t="n">
        <v>0</v>
      </c>
      <c r="Q239" t="n">
        <v>0</v>
      </c>
      <c r="R239" s="2" t="inlineStr"/>
    </row>
    <row r="240" ht="15" customHeight="1">
      <c r="A240" t="inlineStr">
        <is>
          <t>A 49014-2019</t>
        </is>
      </c>
      <c r="B240" s="1" t="n">
        <v>43731</v>
      </c>
      <c r="C240" s="1" t="n">
        <v>45795</v>
      </c>
      <c r="D240" t="inlineStr">
        <is>
          <t>DALARNAS LÄN</t>
        </is>
      </c>
      <c r="E240" t="inlineStr">
        <is>
          <t>ÄLVDALEN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49230-2019</t>
        </is>
      </c>
      <c r="B241" s="1" t="n">
        <v>43731</v>
      </c>
      <c r="C241" s="1" t="n">
        <v>45795</v>
      </c>
      <c r="D241" t="inlineStr">
        <is>
          <t>DALARNAS LÄN</t>
        </is>
      </c>
      <c r="E241" t="inlineStr">
        <is>
          <t>ÄLVDALEN</t>
        </is>
      </c>
      <c r="F241" t="inlineStr">
        <is>
          <t>Allmännings- och besparingsskogar</t>
        </is>
      </c>
      <c r="G241" t="n">
        <v>11.9</v>
      </c>
      <c r="H241" t="n">
        <v>0</v>
      </c>
      <c r="I241" t="n">
        <v>0</v>
      </c>
      <c r="J241" t="n">
        <v>0</v>
      </c>
      <c r="K241" t="n">
        <v>0</v>
      </c>
      <c r="L241" t="n">
        <v>0</v>
      </c>
      <c r="M241" t="n">
        <v>0</v>
      </c>
      <c r="N241" t="n">
        <v>0</v>
      </c>
      <c r="O241" t="n">
        <v>0</v>
      </c>
      <c r="P241" t="n">
        <v>0</v>
      </c>
      <c r="Q241" t="n">
        <v>0</v>
      </c>
      <c r="R241" s="2" t="inlineStr"/>
    </row>
    <row r="242" ht="15" customHeight="1">
      <c r="A242" t="inlineStr">
        <is>
          <t>A 50431-2019</t>
        </is>
      </c>
      <c r="B242" s="1" t="n">
        <v>43735</v>
      </c>
      <c r="C242" s="1" t="n">
        <v>45795</v>
      </c>
      <c r="D242" t="inlineStr">
        <is>
          <t>DALARNAS LÄN</t>
        </is>
      </c>
      <c r="E242" t="inlineStr">
        <is>
          <t>ÄLVDALEN</t>
        </is>
      </c>
      <c r="G242" t="n">
        <v>2.5</v>
      </c>
      <c r="H242" t="n">
        <v>0</v>
      </c>
      <c r="I242" t="n">
        <v>0</v>
      </c>
      <c r="J242" t="n">
        <v>0</v>
      </c>
      <c r="K242" t="n">
        <v>0</v>
      </c>
      <c r="L242" t="n">
        <v>0</v>
      </c>
      <c r="M242" t="n">
        <v>0</v>
      </c>
      <c r="N242" t="n">
        <v>0</v>
      </c>
      <c r="O242" t="n">
        <v>0</v>
      </c>
      <c r="P242" t="n">
        <v>0</v>
      </c>
      <c r="Q242" t="n">
        <v>0</v>
      </c>
      <c r="R242" s="2" t="inlineStr"/>
    </row>
    <row r="243" ht="15" customHeight="1">
      <c r="A243" t="inlineStr">
        <is>
          <t>A 50669-2019</t>
        </is>
      </c>
      <c r="B243" s="1" t="n">
        <v>43737</v>
      </c>
      <c r="C243" s="1" t="n">
        <v>45795</v>
      </c>
      <c r="D243" t="inlineStr">
        <is>
          <t>DALARNAS LÄN</t>
        </is>
      </c>
      <c r="E243" t="inlineStr">
        <is>
          <t>ÄLVDALEN</t>
        </is>
      </c>
      <c r="G243" t="n">
        <v>6.1</v>
      </c>
      <c r="H243" t="n">
        <v>0</v>
      </c>
      <c r="I243" t="n">
        <v>0</v>
      </c>
      <c r="J243" t="n">
        <v>0</v>
      </c>
      <c r="K243" t="n">
        <v>0</v>
      </c>
      <c r="L243" t="n">
        <v>0</v>
      </c>
      <c r="M243" t="n">
        <v>0</v>
      </c>
      <c r="N243" t="n">
        <v>0</v>
      </c>
      <c r="O243" t="n">
        <v>0</v>
      </c>
      <c r="P243" t="n">
        <v>0</v>
      </c>
      <c r="Q243" t="n">
        <v>0</v>
      </c>
      <c r="R243" s="2" t="inlineStr"/>
    </row>
    <row r="244" ht="15" customHeight="1">
      <c r="A244" t="inlineStr">
        <is>
          <t>A 50670-2019</t>
        </is>
      </c>
      <c r="B244" s="1" t="n">
        <v>43738</v>
      </c>
      <c r="C244" s="1" t="n">
        <v>45795</v>
      </c>
      <c r="D244" t="inlineStr">
        <is>
          <t>DALARNAS LÄN</t>
        </is>
      </c>
      <c r="E244" t="inlineStr">
        <is>
          <t>ÄLVDALEN</t>
        </is>
      </c>
      <c r="G244" t="n">
        <v>8.1</v>
      </c>
      <c r="H244" t="n">
        <v>0</v>
      </c>
      <c r="I244" t="n">
        <v>0</v>
      </c>
      <c r="J244" t="n">
        <v>0</v>
      </c>
      <c r="K244" t="n">
        <v>0</v>
      </c>
      <c r="L244" t="n">
        <v>0</v>
      </c>
      <c r="M244" t="n">
        <v>0</v>
      </c>
      <c r="N244" t="n">
        <v>0</v>
      </c>
      <c r="O244" t="n">
        <v>0</v>
      </c>
      <c r="P244" t="n">
        <v>0</v>
      </c>
      <c r="Q244" t="n">
        <v>0</v>
      </c>
      <c r="R244" s="2" t="inlineStr"/>
    </row>
    <row r="245" ht="15" customHeight="1">
      <c r="A245" t="inlineStr">
        <is>
          <t>A 51354-2019</t>
        </is>
      </c>
      <c r="B245" s="1" t="n">
        <v>43740</v>
      </c>
      <c r="C245" s="1" t="n">
        <v>45795</v>
      </c>
      <c r="D245" t="inlineStr">
        <is>
          <t>DALARNAS LÄN</t>
        </is>
      </c>
      <c r="E245" t="inlineStr">
        <is>
          <t>ÄLVDALEN</t>
        </is>
      </c>
      <c r="F245" t="inlineStr">
        <is>
          <t>Bergvik skog väst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51798-2019</t>
        </is>
      </c>
      <c r="B246" s="1" t="n">
        <v>43741</v>
      </c>
      <c r="C246" s="1" t="n">
        <v>45795</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52131-2019</t>
        </is>
      </c>
      <c r="B247" s="1" t="n">
        <v>43742</v>
      </c>
      <c r="C247" s="1" t="n">
        <v>45795</v>
      </c>
      <c r="D247" t="inlineStr">
        <is>
          <t>DALARNAS LÄN</t>
        </is>
      </c>
      <c r="E247" t="inlineStr">
        <is>
          <t>ÄLVDALEN</t>
        </is>
      </c>
      <c r="F247" t="inlineStr">
        <is>
          <t>Sveaskog</t>
        </is>
      </c>
      <c r="G247" t="n">
        <v>14.5</v>
      </c>
      <c r="H247" t="n">
        <v>0</v>
      </c>
      <c r="I247" t="n">
        <v>0</v>
      </c>
      <c r="J247" t="n">
        <v>0</v>
      </c>
      <c r="K247" t="n">
        <v>0</v>
      </c>
      <c r="L247" t="n">
        <v>0</v>
      </c>
      <c r="M247" t="n">
        <v>0</v>
      </c>
      <c r="N247" t="n">
        <v>0</v>
      </c>
      <c r="O247" t="n">
        <v>0</v>
      </c>
      <c r="P247" t="n">
        <v>0</v>
      </c>
      <c r="Q247" t="n">
        <v>0</v>
      </c>
      <c r="R247" s="2" t="inlineStr"/>
    </row>
    <row r="248" ht="15" customHeight="1">
      <c r="A248" t="inlineStr">
        <is>
          <t>A 52466-2019</t>
        </is>
      </c>
      <c r="B248" s="1" t="n">
        <v>43745</v>
      </c>
      <c r="C248" s="1" t="n">
        <v>45795</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55649-2019</t>
        </is>
      </c>
      <c r="B249" s="1" t="n">
        <v>43760</v>
      </c>
      <c r="C249" s="1" t="n">
        <v>45795</v>
      </c>
      <c r="D249" t="inlineStr">
        <is>
          <t>DALARNAS LÄN</t>
        </is>
      </c>
      <c r="E249" t="inlineStr">
        <is>
          <t>ÄLVDALEN</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59488-2019</t>
        </is>
      </c>
      <c r="B250" s="1" t="n">
        <v>43776</v>
      </c>
      <c r="C250" s="1" t="n">
        <v>45795</v>
      </c>
      <c r="D250" t="inlineStr">
        <is>
          <t>DALARNAS LÄN</t>
        </is>
      </c>
      <c r="E250" t="inlineStr">
        <is>
          <t>ÄLVDALEN</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59846-2019</t>
        </is>
      </c>
      <c r="B251" s="1" t="n">
        <v>43777</v>
      </c>
      <c r="C251" s="1" t="n">
        <v>45795</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59959-2019</t>
        </is>
      </c>
      <c r="B252" s="1" t="n">
        <v>43777</v>
      </c>
      <c r="C252" s="1" t="n">
        <v>45795</v>
      </c>
      <c r="D252" t="inlineStr">
        <is>
          <t>DALARNAS LÄN</t>
        </is>
      </c>
      <c r="E252" t="inlineStr">
        <is>
          <t>ÄLVDALEN</t>
        </is>
      </c>
      <c r="F252" t="inlineStr">
        <is>
          <t>Allmännings- och besparingsskogar</t>
        </is>
      </c>
      <c r="G252" t="n">
        <v>3.1</v>
      </c>
      <c r="H252" t="n">
        <v>0</v>
      </c>
      <c r="I252" t="n">
        <v>0</v>
      </c>
      <c r="J252" t="n">
        <v>0</v>
      </c>
      <c r="K252" t="n">
        <v>0</v>
      </c>
      <c r="L252" t="n">
        <v>0</v>
      </c>
      <c r="M252" t="n">
        <v>0</v>
      </c>
      <c r="N252" t="n">
        <v>0</v>
      </c>
      <c r="O252" t="n">
        <v>0</v>
      </c>
      <c r="P252" t="n">
        <v>0</v>
      </c>
      <c r="Q252" t="n">
        <v>0</v>
      </c>
      <c r="R252" s="2" t="inlineStr"/>
    </row>
    <row r="253" ht="15" customHeight="1">
      <c r="A253" t="inlineStr">
        <is>
          <t>A 59947-2019</t>
        </is>
      </c>
      <c r="B253" s="1" t="n">
        <v>43777</v>
      </c>
      <c r="C253" s="1" t="n">
        <v>45795</v>
      </c>
      <c r="D253" t="inlineStr">
        <is>
          <t>DALARNAS LÄN</t>
        </is>
      </c>
      <c r="E253" t="inlineStr">
        <is>
          <t>ÄLVDALEN</t>
        </is>
      </c>
      <c r="G253" t="n">
        <v>3.6</v>
      </c>
      <c r="H253" t="n">
        <v>0</v>
      </c>
      <c r="I253" t="n">
        <v>0</v>
      </c>
      <c r="J253" t="n">
        <v>0</v>
      </c>
      <c r="K253" t="n">
        <v>0</v>
      </c>
      <c r="L253" t="n">
        <v>0</v>
      </c>
      <c r="M253" t="n">
        <v>0</v>
      </c>
      <c r="N253" t="n">
        <v>0</v>
      </c>
      <c r="O253" t="n">
        <v>0</v>
      </c>
      <c r="P253" t="n">
        <v>0</v>
      </c>
      <c r="Q253" t="n">
        <v>0</v>
      </c>
      <c r="R253" s="2" t="inlineStr"/>
    </row>
    <row r="254" ht="15" customHeight="1">
      <c r="A254" t="inlineStr">
        <is>
          <t>A 59957-2019</t>
        </is>
      </c>
      <c r="B254" s="1" t="n">
        <v>43777</v>
      </c>
      <c r="C254" s="1" t="n">
        <v>45795</v>
      </c>
      <c r="D254" t="inlineStr">
        <is>
          <t>DALARNAS LÄN</t>
        </is>
      </c>
      <c r="E254" t="inlineStr">
        <is>
          <t>ÄLVDALEN</t>
        </is>
      </c>
      <c r="G254" t="n">
        <v>4.5</v>
      </c>
      <c r="H254" t="n">
        <v>0</v>
      </c>
      <c r="I254" t="n">
        <v>0</v>
      </c>
      <c r="J254" t="n">
        <v>0</v>
      </c>
      <c r="K254" t="n">
        <v>0</v>
      </c>
      <c r="L254" t="n">
        <v>0</v>
      </c>
      <c r="M254" t="n">
        <v>0</v>
      </c>
      <c r="N254" t="n">
        <v>0</v>
      </c>
      <c r="O254" t="n">
        <v>0</v>
      </c>
      <c r="P254" t="n">
        <v>0</v>
      </c>
      <c r="Q254" t="n">
        <v>0</v>
      </c>
      <c r="R254" s="2" t="inlineStr"/>
    </row>
    <row r="255" ht="15" customHeight="1">
      <c r="A255" t="inlineStr">
        <is>
          <t>A 60345-2019</t>
        </is>
      </c>
      <c r="B255" s="1" t="n">
        <v>43780</v>
      </c>
      <c r="C255" s="1" t="n">
        <v>45795</v>
      </c>
      <c r="D255" t="inlineStr">
        <is>
          <t>DALARNAS LÄN</t>
        </is>
      </c>
      <c r="E255" t="inlineStr">
        <is>
          <t>ÄLVDALEN</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61262-2019</t>
        </is>
      </c>
      <c r="B256" s="1" t="n">
        <v>43783</v>
      </c>
      <c r="C256" s="1" t="n">
        <v>45795</v>
      </c>
      <c r="D256" t="inlineStr">
        <is>
          <t>DALARNAS LÄN</t>
        </is>
      </c>
      <c r="E256" t="inlineStr">
        <is>
          <t>ÄLVDALEN</t>
        </is>
      </c>
      <c r="F256" t="inlineStr">
        <is>
          <t>Bergvik skog väst AB</t>
        </is>
      </c>
      <c r="G256" t="n">
        <v>12.9</v>
      </c>
      <c r="H256" t="n">
        <v>0</v>
      </c>
      <c r="I256" t="n">
        <v>0</v>
      </c>
      <c r="J256" t="n">
        <v>0</v>
      </c>
      <c r="K256" t="n">
        <v>0</v>
      </c>
      <c r="L256" t="n">
        <v>0</v>
      </c>
      <c r="M256" t="n">
        <v>0</v>
      </c>
      <c r="N256" t="n">
        <v>0</v>
      </c>
      <c r="O256" t="n">
        <v>0</v>
      </c>
      <c r="P256" t="n">
        <v>0</v>
      </c>
      <c r="Q256" t="n">
        <v>0</v>
      </c>
      <c r="R256" s="2" t="inlineStr"/>
    </row>
    <row r="257" ht="15" customHeight="1">
      <c r="A257" t="inlineStr">
        <is>
          <t>A 61235-2019</t>
        </is>
      </c>
      <c r="B257" s="1" t="n">
        <v>43783</v>
      </c>
      <c r="C257" s="1" t="n">
        <v>45795</v>
      </c>
      <c r="D257" t="inlineStr">
        <is>
          <t>DALARNAS LÄN</t>
        </is>
      </c>
      <c r="E257" t="inlineStr">
        <is>
          <t>ÄLVDALEN</t>
        </is>
      </c>
      <c r="F257" t="inlineStr">
        <is>
          <t>Bergvik skog väst AB</t>
        </is>
      </c>
      <c r="G257" t="n">
        <v>9</v>
      </c>
      <c r="H257" t="n">
        <v>0</v>
      </c>
      <c r="I257" t="n">
        <v>0</v>
      </c>
      <c r="J257" t="n">
        <v>0</v>
      </c>
      <c r="K257" t="n">
        <v>0</v>
      </c>
      <c r="L257" t="n">
        <v>0</v>
      </c>
      <c r="M257" t="n">
        <v>0</v>
      </c>
      <c r="N257" t="n">
        <v>0</v>
      </c>
      <c r="O257" t="n">
        <v>0</v>
      </c>
      <c r="P257" t="n">
        <v>0</v>
      </c>
      <c r="Q257" t="n">
        <v>0</v>
      </c>
      <c r="R257" s="2" t="inlineStr"/>
    </row>
    <row r="258" ht="15" customHeight="1">
      <c r="A258" t="inlineStr">
        <is>
          <t>A 61312-2019</t>
        </is>
      </c>
      <c r="B258" s="1" t="n">
        <v>43783</v>
      </c>
      <c r="C258" s="1" t="n">
        <v>45795</v>
      </c>
      <c r="D258" t="inlineStr">
        <is>
          <t>DALARNAS LÄN</t>
        </is>
      </c>
      <c r="E258" t="inlineStr">
        <is>
          <t>ÄLVDALEN</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61303-2019</t>
        </is>
      </c>
      <c r="B259" s="1" t="n">
        <v>43783</v>
      </c>
      <c r="C259" s="1" t="n">
        <v>45795</v>
      </c>
      <c r="D259" t="inlineStr">
        <is>
          <t>DALARNAS LÄN</t>
        </is>
      </c>
      <c r="E259" t="inlineStr">
        <is>
          <t>ÄLVDALEN</t>
        </is>
      </c>
      <c r="F259" t="inlineStr">
        <is>
          <t>Allmännings- och besparingsskogar</t>
        </is>
      </c>
      <c r="G259" t="n">
        <v>0.2</v>
      </c>
      <c r="H259" t="n">
        <v>0</v>
      </c>
      <c r="I259" t="n">
        <v>0</v>
      </c>
      <c r="J259" t="n">
        <v>0</v>
      </c>
      <c r="K259" t="n">
        <v>0</v>
      </c>
      <c r="L259" t="n">
        <v>0</v>
      </c>
      <c r="M259" t="n">
        <v>0</v>
      </c>
      <c r="N259" t="n">
        <v>0</v>
      </c>
      <c r="O259" t="n">
        <v>0</v>
      </c>
      <c r="P259" t="n">
        <v>0</v>
      </c>
      <c r="Q259" t="n">
        <v>0</v>
      </c>
      <c r="R259" s="2" t="inlineStr"/>
    </row>
    <row r="260" ht="15" customHeight="1">
      <c r="A260" t="inlineStr">
        <is>
          <t>A 62630-2019</t>
        </is>
      </c>
      <c r="B260" s="1" t="n">
        <v>43789</v>
      </c>
      <c r="C260" s="1" t="n">
        <v>45795</v>
      </c>
      <c r="D260" t="inlineStr">
        <is>
          <t>DALARNAS LÄN</t>
        </is>
      </c>
      <c r="E260" t="inlineStr">
        <is>
          <t>ÄLVDALEN</t>
        </is>
      </c>
      <c r="G260" t="n">
        <v>7.2</v>
      </c>
      <c r="H260" t="n">
        <v>0</v>
      </c>
      <c r="I260" t="n">
        <v>0</v>
      </c>
      <c r="J260" t="n">
        <v>0</v>
      </c>
      <c r="K260" t="n">
        <v>0</v>
      </c>
      <c r="L260" t="n">
        <v>0</v>
      </c>
      <c r="M260" t="n">
        <v>0</v>
      </c>
      <c r="N260" t="n">
        <v>0</v>
      </c>
      <c r="O260" t="n">
        <v>0</v>
      </c>
      <c r="P260" t="n">
        <v>0</v>
      </c>
      <c r="Q260" t="n">
        <v>0</v>
      </c>
      <c r="R260" s="2" t="inlineStr"/>
    </row>
    <row r="261" ht="15" customHeight="1">
      <c r="A261" t="inlineStr">
        <is>
          <t>A 62691-2019</t>
        </is>
      </c>
      <c r="B261" s="1" t="n">
        <v>43789</v>
      </c>
      <c r="C261" s="1" t="n">
        <v>45795</v>
      </c>
      <c r="D261" t="inlineStr">
        <is>
          <t>DALARNAS LÄN</t>
        </is>
      </c>
      <c r="E261" t="inlineStr">
        <is>
          <t>ÄLVDALEN</t>
        </is>
      </c>
      <c r="G261" t="n">
        <v>1.4</v>
      </c>
      <c r="H261" t="n">
        <v>0</v>
      </c>
      <c r="I261" t="n">
        <v>0</v>
      </c>
      <c r="J261" t="n">
        <v>0</v>
      </c>
      <c r="K261" t="n">
        <v>0</v>
      </c>
      <c r="L261" t="n">
        <v>0</v>
      </c>
      <c r="M261" t="n">
        <v>0</v>
      </c>
      <c r="N261" t="n">
        <v>0</v>
      </c>
      <c r="O261" t="n">
        <v>0</v>
      </c>
      <c r="P261" t="n">
        <v>0</v>
      </c>
      <c r="Q261" t="n">
        <v>0</v>
      </c>
      <c r="R261" s="2" t="inlineStr"/>
    </row>
    <row r="262" ht="15" customHeight="1">
      <c r="A262" t="inlineStr">
        <is>
          <t>A 63161-2019</t>
        </is>
      </c>
      <c r="B262" s="1" t="n">
        <v>43791</v>
      </c>
      <c r="C262" s="1" t="n">
        <v>45795</v>
      </c>
      <c r="D262" t="inlineStr">
        <is>
          <t>DALARNAS LÄN</t>
        </is>
      </c>
      <c r="E262" t="inlineStr">
        <is>
          <t>ÄLVDALEN</t>
        </is>
      </c>
      <c r="G262" t="n">
        <v>2.6</v>
      </c>
      <c r="H262" t="n">
        <v>0</v>
      </c>
      <c r="I262" t="n">
        <v>0</v>
      </c>
      <c r="J262" t="n">
        <v>0</v>
      </c>
      <c r="K262" t="n">
        <v>0</v>
      </c>
      <c r="L262" t="n">
        <v>0</v>
      </c>
      <c r="M262" t="n">
        <v>0</v>
      </c>
      <c r="N262" t="n">
        <v>0</v>
      </c>
      <c r="O262" t="n">
        <v>0</v>
      </c>
      <c r="P262" t="n">
        <v>0</v>
      </c>
      <c r="Q262" t="n">
        <v>0</v>
      </c>
      <c r="R262" s="2" t="inlineStr"/>
    </row>
    <row r="263" ht="15" customHeight="1">
      <c r="A263" t="inlineStr">
        <is>
          <t>A 63242-2019</t>
        </is>
      </c>
      <c r="B263" s="1" t="n">
        <v>43792</v>
      </c>
      <c r="C263" s="1" t="n">
        <v>45795</v>
      </c>
      <c r="D263" t="inlineStr">
        <is>
          <t>DALARNAS LÄN</t>
        </is>
      </c>
      <c r="E263" t="inlineStr">
        <is>
          <t>ÄLVDALEN</t>
        </is>
      </c>
      <c r="G263" t="n">
        <v>2.1</v>
      </c>
      <c r="H263" t="n">
        <v>0</v>
      </c>
      <c r="I263" t="n">
        <v>0</v>
      </c>
      <c r="J263" t="n">
        <v>0</v>
      </c>
      <c r="K263" t="n">
        <v>0</v>
      </c>
      <c r="L263" t="n">
        <v>0</v>
      </c>
      <c r="M263" t="n">
        <v>0</v>
      </c>
      <c r="N263" t="n">
        <v>0</v>
      </c>
      <c r="O263" t="n">
        <v>0</v>
      </c>
      <c r="P263" t="n">
        <v>0</v>
      </c>
      <c r="Q263" t="n">
        <v>0</v>
      </c>
      <c r="R263" s="2" t="inlineStr"/>
    </row>
    <row r="264" ht="15" customHeight="1">
      <c r="A264" t="inlineStr">
        <is>
          <t>A 63470-2019</t>
        </is>
      </c>
      <c r="B264" s="1" t="n">
        <v>43794</v>
      </c>
      <c r="C264" s="1" t="n">
        <v>45795</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63536-2019</t>
        </is>
      </c>
      <c r="B265" s="1" t="n">
        <v>43794</v>
      </c>
      <c r="C265" s="1" t="n">
        <v>45795</v>
      </c>
      <c r="D265" t="inlineStr">
        <is>
          <t>DALARNAS LÄN</t>
        </is>
      </c>
      <c r="E265" t="inlineStr">
        <is>
          <t>ÄLVDALEN</t>
        </is>
      </c>
      <c r="G265" t="n">
        <v>10.5</v>
      </c>
      <c r="H265" t="n">
        <v>0</v>
      </c>
      <c r="I265" t="n">
        <v>0</v>
      </c>
      <c r="J265" t="n">
        <v>0</v>
      </c>
      <c r="K265" t="n">
        <v>0</v>
      </c>
      <c r="L265" t="n">
        <v>0</v>
      </c>
      <c r="M265" t="n">
        <v>0</v>
      </c>
      <c r="N265" t="n">
        <v>0</v>
      </c>
      <c r="O265" t="n">
        <v>0</v>
      </c>
      <c r="P265" t="n">
        <v>0</v>
      </c>
      <c r="Q265" t="n">
        <v>0</v>
      </c>
      <c r="R265" s="2" t="inlineStr"/>
    </row>
    <row r="266" ht="15" customHeight="1">
      <c r="A266" t="inlineStr">
        <is>
          <t>A 63787-2019</t>
        </is>
      </c>
      <c r="B266" s="1" t="n">
        <v>43795</v>
      </c>
      <c r="C266" s="1" t="n">
        <v>45795</v>
      </c>
      <c r="D266" t="inlineStr">
        <is>
          <t>DALARNAS LÄN</t>
        </is>
      </c>
      <c r="E266" t="inlineStr">
        <is>
          <t>ÄLVDALEN</t>
        </is>
      </c>
      <c r="F266" t="inlineStr">
        <is>
          <t>Sveaskog</t>
        </is>
      </c>
      <c r="G266" t="n">
        <v>14.1</v>
      </c>
      <c r="H266" t="n">
        <v>0</v>
      </c>
      <c r="I266" t="n">
        <v>0</v>
      </c>
      <c r="J266" t="n">
        <v>0</v>
      </c>
      <c r="K266" t="n">
        <v>0</v>
      </c>
      <c r="L266" t="n">
        <v>0</v>
      </c>
      <c r="M266" t="n">
        <v>0</v>
      </c>
      <c r="N266" t="n">
        <v>0</v>
      </c>
      <c r="O266" t="n">
        <v>0</v>
      </c>
      <c r="P266" t="n">
        <v>0</v>
      </c>
      <c r="Q266" t="n">
        <v>0</v>
      </c>
      <c r="R266" s="2" t="inlineStr"/>
    </row>
    <row r="267" ht="15" customHeight="1">
      <c r="A267" t="inlineStr">
        <is>
          <t>A 65980-2019</t>
        </is>
      </c>
      <c r="B267" s="1" t="n">
        <v>43805</v>
      </c>
      <c r="C267" s="1" t="n">
        <v>45795</v>
      </c>
      <c r="D267" t="inlineStr">
        <is>
          <t>DALARNAS LÄN</t>
        </is>
      </c>
      <c r="E267" t="inlineStr">
        <is>
          <t>ÄLVDALEN</t>
        </is>
      </c>
      <c r="G267" t="n">
        <v>0.4</v>
      </c>
      <c r="H267" t="n">
        <v>0</v>
      </c>
      <c r="I267" t="n">
        <v>0</v>
      </c>
      <c r="J267" t="n">
        <v>0</v>
      </c>
      <c r="K267" t="n">
        <v>0</v>
      </c>
      <c r="L267" t="n">
        <v>0</v>
      </c>
      <c r="M267" t="n">
        <v>0</v>
      </c>
      <c r="N267" t="n">
        <v>0</v>
      </c>
      <c r="O267" t="n">
        <v>0</v>
      </c>
      <c r="P267" t="n">
        <v>0</v>
      </c>
      <c r="Q267" t="n">
        <v>0</v>
      </c>
      <c r="R267" s="2" t="inlineStr"/>
    </row>
    <row r="268" ht="15" customHeight="1">
      <c r="A268" t="inlineStr">
        <is>
          <t>A 68854-2019</t>
        </is>
      </c>
      <c r="B268" s="1" t="n">
        <v>43820</v>
      </c>
      <c r="C268" s="1" t="n">
        <v>45795</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68936-2019</t>
        </is>
      </c>
      <c r="B269" s="1" t="n">
        <v>43822</v>
      </c>
      <c r="C269" s="1" t="n">
        <v>45795</v>
      </c>
      <c r="D269" t="inlineStr">
        <is>
          <t>DALARNAS LÄN</t>
        </is>
      </c>
      <c r="E269" t="inlineStr">
        <is>
          <t>ÄLVDALEN</t>
        </is>
      </c>
      <c r="G269" t="n">
        <v>3.5</v>
      </c>
      <c r="H269" t="n">
        <v>0</v>
      </c>
      <c r="I269" t="n">
        <v>0</v>
      </c>
      <c r="J269" t="n">
        <v>0</v>
      </c>
      <c r="K269" t="n">
        <v>0</v>
      </c>
      <c r="L269" t="n">
        <v>0</v>
      </c>
      <c r="M269" t="n">
        <v>0</v>
      </c>
      <c r="N269" t="n">
        <v>0</v>
      </c>
      <c r="O269" t="n">
        <v>0</v>
      </c>
      <c r="P269" t="n">
        <v>0</v>
      </c>
      <c r="Q269" t="n">
        <v>0</v>
      </c>
      <c r="R269" s="2" t="inlineStr"/>
    </row>
    <row r="270" ht="15" customHeight="1">
      <c r="A270" t="inlineStr">
        <is>
          <t>A 2050-2020</t>
        </is>
      </c>
      <c r="B270" s="1" t="n">
        <v>43845</v>
      </c>
      <c r="C270" s="1" t="n">
        <v>45795</v>
      </c>
      <c r="D270" t="inlineStr">
        <is>
          <t>DALARNAS LÄN</t>
        </is>
      </c>
      <c r="E270" t="inlineStr">
        <is>
          <t>ÄLVDALEN</t>
        </is>
      </c>
      <c r="G270" t="n">
        <v>9.5</v>
      </c>
      <c r="H270" t="n">
        <v>0</v>
      </c>
      <c r="I270" t="n">
        <v>0</v>
      </c>
      <c r="J270" t="n">
        <v>0</v>
      </c>
      <c r="K270" t="n">
        <v>0</v>
      </c>
      <c r="L270" t="n">
        <v>0</v>
      </c>
      <c r="M270" t="n">
        <v>0</v>
      </c>
      <c r="N270" t="n">
        <v>0</v>
      </c>
      <c r="O270" t="n">
        <v>0</v>
      </c>
      <c r="P270" t="n">
        <v>0</v>
      </c>
      <c r="Q270" t="n">
        <v>0</v>
      </c>
      <c r="R270" s="2" t="inlineStr"/>
    </row>
    <row r="271" ht="15" customHeight="1">
      <c r="A271" t="inlineStr">
        <is>
          <t>A 3301-2020</t>
        </is>
      </c>
      <c r="B271" s="1" t="n">
        <v>43852</v>
      </c>
      <c r="C271" s="1" t="n">
        <v>45795</v>
      </c>
      <c r="D271" t="inlineStr">
        <is>
          <t>DALARNAS LÄN</t>
        </is>
      </c>
      <c r="E271" t="inlineStr">
        <is>
          <t>ÄLVDALEN</t>
        </is>
      </c>
      <c r="G271" t="n">
        <v>3.3</v>
      </c>
      <c r="H271" t="n">
        <v>0</v>
      </c>
      <c r="I271" t="n">
        <v>0</v>
      </c>
      <c r="J271" t="n">
        <v>0</v>
      </c>
      <c r="K271" t="n">
        <v>0</v>
      </c>
      <c r="L271" t="n">
        <v>0</v>
      </c>
      <c r="M271" t="n">
        <v>0</v>
      </c>
      <c r="N271" t="n">
        <v>0</v>
      </c>
      <c r="O271" t="n">
        <v>0</v>
      </c>
      <c r="P271" t="n">
        <v>0</v>
      </c>
      <c r="Q271" t="n">
        <v>0</v>
      </c>
      <c r="R271" s="2" t="inlineStr"/>
    </row>
    <row r="272" ht="15" customHeight="1">
      <c r="A272" t="inlineStr">
        <is>
          <t>A 3917-2020</t>
        </is>
      </c>
      <c r="B272" s="1" t="n">
        <v>43854</v>
      </c>
      <c r="C272" s="1" t="n">
        <v>45795</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6317-2020</t>
        </is>
      </c>
      <c r="B273" s="1" t="n">
        <v>43866</v>
      </c>
      <c r="C273" s="1" t="n">
        <v>45795</v>
      </c>
      <c r="D273" t="inlineStr">
        <is>
          <t>DALARNAS LÄN</t>
        </is>
      </c>
      <c r="E273" t="inlineStr">
        <is>
          <t>ÄLVDALEN</t>
        </is>
      </c>
      <c r="G273" t="n">
        <v>2.8</v>
      </c>
      <c r="H273" t="n">
        <v>0</v>
      </c>
      <c r="I273" t="n">
        <v>0</v>
      </c>
      <c r="J273" t="n">
        <v>0</v>
      </c>
      <c r="K273" t="n">
        <v>0</v>
      </c>
      <c r="L273" t="n">
        <v>0</v>
      </c>
      <c r="M273" t="n">
        <v>0</v>
      </c>
      <c r="N273" t="n">
        <v>0</v>
      </c>
      <c r="O273" t="n">
        <v>0</v>
      </c>
      <c r="P273" t="n">
        <v>0</v>
      </c>
      <c r="Q273" t="n">
        <v>0</v>
      </c>
      <c r="R273" s="2" t="inlineStr"/>
    </row>
    <row r="274" ht="15" customHeight="1">
      <c r="A274" t="inlineStr">
        <is>
          <t>A 6319-2020</t>
        </is>
      </c>
      <c r="B274" s="1" t="n">
        <v>43866</v>
      </c>
      <c r="C274" s="1" t="n">
        <v>45795</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8751-2020</t>
        </is>
      </c>
      <c r="B275" s="1" t="n">
        <v>43878</v>
      </c>
      <c r="C275" s="1" t="n">
        <v>45795</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8864-2020</t>
        </is>
      </c>
      <c r="B276" s="1" t="n">
        <v>43878</v>
      </c>
      <c r="C276" s="1" t="n">
        <v>45795</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10047-2020</t>
        </is>
      </c>
      <c r="B277" s="1" t="n">
        <v>43882</v>
      </c>
      <c r="C277" s="1" t="n">
        <v>45795</v>
      </c>
      <c r="D277" t="inlineStr">
        <is>
          <t>DALARNAS LÄN</t>
        </is>
      </c>
      <c r="E277" t="inlineStr">
        <is>
          <t>ÄLVDALEN</t>
        </is>
      </c>
      <c r="G277" t="n">
        <v>5.7</v>
      </c>
      <c r="H277" t="n">
        <v>0</v>
      </c>
      <c r="I277" t="n">
        <v>0</v>
      </c>
      <c r="J277" t="n">
        <v>0</v>
      </c>
      <c r="K277" t="n">
        <v>0</v>
      </c>
      <c r="L277" t="n">
        <v>0</v>
      </c>
      <c r="M277" t="n">
        <v>0</v>
      </c>
      <c r="N277" t="n">
        <v>0</v>
      </c>
      <c r="O277" t="n">
        <v>0</v>
      </c>
      <c r="P277" t="n">
        <v>0</v>
      </c>
      <c r="Q277" t="n">
        <v>0</v>
      </c>
      <c r="R277" s="2" t="inlineStr"/>
    </row>
    <row r="278" ht="15" customHeight="1">
      <c r="A278" t="inlineStr">
        <is>
          <t>A 12540-2020</t>
        </is>
      </c>
      <c r="B278" s="1" t="n">
        <v>43897</v>
      </c>
      <c r="C278" s="1" t="n">
        <v>45795</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15596-2020</t>
        </is>
      </c>
      <c r="B279" s="1" t="n">
        <v>43914</v>
      </c>
      <c r="C279" s="1" t="n">
        <v>45795</v>
      </c>
      <c r="D279" t="inlineStr">
        <is>
          <t>DALARNAS LÄN</t>
        </is>
      </c>
      <c r="E279" t="inlineStr">
        <is>
          <t>ÄLVDALEN</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16308-2020</t>
        </is>
      </c>
      <c r="B280" s="1" t="n">
        <v>43917</v>
      </c>
      <c r="C280" s="1" t="n">
        <v>45795</v>
      </c>
      <c r="D280" t="inlineStr">
        <is>
          <t>DALARNAS LÄN</t>
        </is>
      </c>
      <c r="E280" t="inlineStr">
        <is>
          <t>ÄLVDALEN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16911-2020</t>
        </is>
      </c>
      <c r="B281" s="1" t="n">
        <v>43921</v>
      </c>
      <c r="C281" s="1" t="n">
        <v>45795</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17096-2020</t>
        </is>
      </c>
      <c r="B282" s="1" t="n">
        <v>43922</v>
      </c>
      <c r="C282" s="1" t="n">
        <v>45795</v>
      </c>
      <c r="D282" t="inlineStr">
        <is>
          <t>DALARNAS LÄN</t>
        </is>
      </c>
      <c r="E282" t="inlineStr">
        <is>
          <t>ÄLVDALEN</t>
        </is>
      </c>
      <c r="F282" t="inlineStr">
        <is>
          <t>Allmännings- och besparingsskogar</t>
        </is>
      </c>
      <c r="G282" t="n">
        <v>66.7</v>
      </c>
      <c r="H282" t="n">
        <v>0</v>
      </c>
      <c r="I282" t="n">
        <v>0</v>
      </c>
      <c r="J282" t="n">
        <v>0</v>
      </c>
      <c r="K282" t="n">
        <v>0</v>
      </c>
      <c r="L282" t="n">
        <v>0</v>
      </c>
      <c r="M282" t="n">
        <v>0</v>
      </c>
      <c r="N282" t="n">
        <v>0</v>
      </c>
      <c r="O282" t="n">
        <v>0</v>
      </c>
      <c r="P282" t="n">
        <v>0</v>
      </c>
      <c r="Q282" t="n">
        <v>0</v>
      </c>
      <c r="R282" s="2" t="inlineStr"/>
    </row>
    <row r="283" ht="15" customHeight="1">
      <c r="A283" t="inlineStr">
        <is>
          <t>A 17109-2020</t>
        </is>
      </c>
      <c r="B283" s="1" t="n">
        <v>43922</v>
      </c>
      <c r="C283" s="1" t="n">
        <v>45795</v>
      </c>
      <c r="D283" t="inlineStr">
        <is>
          <t>DALARNAS LÄN</t>
        </is>
      </c>
      <c r="E283" t="inlineStr">
        <is>
          <t>ÄLVDALEN</t>
        </is>
      </c>
      <c r="F283" t="inlineStr">
        <is>
          <t>Allmännings- och besparingsskogar</t>
        </is>
      </c>
      <c r="G283" t="n">
        <v>22.3</v>
      </c>
      <c r="H283" t="n">
        <v>0</v>
      </c>
      <c r="I283" t="n">
        <v>0</v>
      </c>
      <c r="J283" t="n">
        <v>0</v>
      </c>
      <c r="K283" t="n">
        <v>0</v>
      </c>
      <c r="L283" t="n">
        <v>0</v>
      </c>
      <c r="M283" t="n">
        <v>0</v>
      </c>
      <c r="N283" t="n">
        <v>0</v>
      </c>
      <c r="O283" t="n">
        <v>0</v>
      </c>
      <c r="P283" t="n">
        <v>0</v>
      </c>
      <c r="Q283" t="n">
        <v>0</v>
      </c>
      <c r="R283" s="2" t="inlineStr"/>
    </row>
    <row r="284" ht="15" customHeight="1">
      <c r="A284" t="inlineStr">
        <is>
          <t>A 17099-2020</t>
        </is>
      </c>
      <c r="B284" s="1" t="n">
        <v>43922</v>
      </c>
      <c r="C284" s="1" t="n">
        <v>45795</v>
      </c>
      <c r="D284" t="inlineStr">
        <is>
          <t>DALARNAS LÄN</t>
        </is>
      </c>
      <c r="E284" t="inlineStr">
        <is>
          <t>ÄLVDALEN</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17103-2020</t>
        </is>
      </c>
      <c r="B285" s="1" t="n">
        <v>43922</v>
      </c>
      <c r="C285" s="1" t="n">
        <v>45795</v>
      </c>
      <c r="D285" t="inlineStr">
        <is>
          <t>DALARNAS LÄN</t>
        </is>
      </c>
      <c r="E285" t="inlineStr">
        <is>
          <t>ÄLVDALEN</t>
        </is>
      </c>
      <c r="F285" t="inlineStr">
        <is>
          <t>Allmännings- och besparingsskogar</t>
        </is>
      </c>
      <c r="G285" t="n">
        <v>54.1</v>
      </c>
      <c r="H285" t="n">
        <v>0</v>
      </c>
      <c r="I285" t="n">
        <v>0</v>
      </c>
      <c r="J285" t="n">
        <v>0</v>
      </c>
      <c r="K285" t="n">
        <v>0</v>
      </c>
      <c r="L285" t="n">
        <v>0</v>
      </c>
      <c r="M285" t="n">
        <v>0</v>
      </c>
      <c r="N285" t="n">
        <v>0</v>
      </c>
      <c r="O285" t="n">
        <v>0</v>
      </c>
      <c r="P285" t="n">
        <v>0</v>
      </c>
      <c r="Q285" t="n">
        <v>0</v>
      </c>
      <c r="R285" s="2" t="inlineStr"/>
    </row>
    <row r="286" ht="15" customHeight="1">
      <c r="A286" t="inlineStr">
        <is>
          <t>A 17430-2020</t>
        </is>
      </c>
      <c r="B286" s="1" t="n">
        <v>43923</v>
      </c>
      <c r="C286" s="1" t="n">
        <v>45795</v>
      </c>
      <c r="D286" t="inlineStr">
        <is>
          <t>DALARNAS LÄN</t>
        </is>
      </c>
      <c r="E286" t="inlineStr">
        <is>
          <t>ÄLVDALEN</t>
        </is>
      </c>
      <c r="G286" t="n">
        <v>1.8</v>
      </c>
      <c r="H286" t="n">
        <v>0</v>
      </c>
      <c r="I286" t="n">
        <v>0</v>
      </c>
      <c r="J286" t="n">
        <v>0</v>
      </c>
      <c r="K286" t="n">
        <v>0</v>
      </c>
      <c r="L286" t="n">
        <v>0</v>
      </c>
      <c r="M286" t="n">
        <v>0</v>
      </c>
      <c r="N286" t="n">
        <v>0</v>
      </c>
      <c r="O286" t="n">
        <v>0</v>
      </c>
      <c r="P286" t="n">
        <v>0</v>
      </c>
      <c r="Q286" t="n">
        <v>0</v>
      </c>
      <c r="R286" s="2" t="inlineStr"/>
    </row>
    <row r="287" ht="15" customHeight="1">
      <c r="A287" t="inlineStr">
        <is>
          <t>A 18378-2020</t>
        </is>
      </c>
      <c r="B287" s="1" t="n">
        <v>43928</v>
      </c>
      <c r="C287" s="1" t="n">
        <v>45795</v>
      </c>
      <c r="D287" t="inlineStr">
        <is>
          <t>DALARNAS LÄN</t>
        </is>
      </c>
      <c r="E287" t="inlineStr">
        <is>
          <t>ÄLVDALEN</t>
        </is>
      </c>
      <c r="F287" t="inlineStr">
        <is>
          <t>Allmännings- och besparingsskogar</t>
        </is>
      </c>
      <c r="G287" t="n">
        <v>48.4</v>
      </c>
      <c r="H287" t="n">
        <v>0</v>
      </c>
      <c r="I287" t="n">
        <v>0</v>
      </c>
      <c r="J287" t="n">
        <v>0</v>
      </c>
      <c r="K287" t="n">
        <v>0</v>
      </c>
      <c r="L287" t="n">
        <v>0</v>
      </c>
      <c r="M287" t="n">
        <v>0</v>
      </c>
      <c r="N287" t="n">
        <v>0</v>
      </c>
      <c r="O287" t="n">
        <v>0</v>
      </c>
      <c r="P287" t="n">
        <v>0</v>
      </c>
      <c r="Q287" t="n">
        <v>0</v>
      </c>
      <c r="R287" s="2" t="inlineStr"/>
    </row>
    <row r="288" ht="15" customHeight="1">
      <c r="A288" t="inlineStr">
        <is>
          <t>A 23179-2020</t>
        </is>
      </c>
      <c r="B288" s="1" t="n">
        <v>43937</v>
      </c>
      <c r="C288" s="1" t="n">
        <v>45795</v>
      </c>
      <c r="D288" t="inlineStr">
        <is>
          <t>DALARNAS LÄN</t>
        </is>
      </c>
      <c r="E288" t="inlineStr">
        <is>
          <t>ÄLVDALEN</t>
        </is>
      </c>
      <c r="F288" t="inlineStr">
        <is>
          <t>Sveaskog</t>
        </is>
      </c>
      <c r="G288" t="n">
        <v>75.09999999999999</v>
      </c>
      <c r="H288" t="n">
        <v>0</v>
      </c>
      <c r="I288" t="n">
        <v>0</v>
      </c>
      <c r="J288" t="n">
        <v>0</v>
      </c>
      <c r="K288" t="n">
        <v>0</v>
      </c>
      <c r="L288" t="n">
        <v>0</v>
      </c>
      <c r="M288" t="n">
        <v>0</v>
      </c>
      <c r="N288" t="n">
        <v>0</v>
      </c>
      <c r="O288" t="n">
        <v>0</v>
      </c>
      <c r="P288" t="n">
        <v>0</v>
      </c>
      <c r="Q288" t="n">
        <v>0</v>
      </c>
      <c r="R288" s="2" t="inlineStr"/>
    </row>
    <row r="289" ht="15" customHeight="1">
      <c r="A289" t="inlineStr">
        <is>
          <t>A 20189-2020</t>
        </is>
      </c>
      <c r="B289" s="1" t="n">
        <v>43944</v>
      </c>
      <c r="C289" s="1" t="n">
        <v>45795</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20290-2020</t>
        </is>
      </c>
      <c r="B290" s="1" t="n">
        <v>43944</v>
      </c>
      <c r="C290" s="1" t="n">
        <v>45795</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21120-2020</t>
        </is>
      </c>
      <c r="B291" s="1" t="n">
        <v>43951</v>
      </c>
      <c r="C291" s="1" t="n">
        <v>45795</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21128-2020</t>
        </is>
      </c>
      <c r="B292" s="1" t="n">
        <v>43951</v>
      </c>
      <c r="C292" s="1" t="n">
        <v>45795</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21367-2020</t>
        </is>
      </c>
      <c r="B293" s="1" t="n">
        <v>43955</v>
      </c>
      <c r="C293" s="1" t="n">
        <v>45795</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21927-2020</t>
        </is>
      </c>
      <c r="B294" s="1" t="n">
        <v>43955</v>
      </c>
      <c r="C294" s="1" t="n">
        <v>45795</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23448-2020</t>
        </is>
      </c>
      <c r="B295" s="1" t="n">
        <v>43969</v>
      </c>
      <c r="C295" s="1" t="n">
        <v>45795</v>
      </c>
      <c r="D295" t="inlineStr">
        <is>
          <t>DALARNAS LÄN</t>
        </is>
      </c>
      <c r="E295" t="inlineStr">
        <is>
          <t>ÄLVDALEN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25966-2020</t>
        </is>
      </c>
      <c r="B296" s="1" t="n">
        <v>43985</v>
      </c>
      <c r="C296" s="1" t="n">
        <v>45795</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26792-2020</t>
        </is>
      </c>
      <c r="B297" s="1" t="n">
        <v>43990</v>
      </c>
      <c r="C297" s="1" t="n">
        <v>45795</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26808-2020</t>
        </is>
      </c>
      <c r="B298" s="1" t="n">
        <v>43990</v>
      </c>
      <c r="C298" s="1" t="n">
        <v>45795</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26788-2020</t>
        </is>
      </c>
      <c r="B299" s="1" t="n">
        <v>43990</v>
      </c>
      <c r="C299" s="1" t="n">
        <v>45795</v>
      </c>
      <c r="D299" t="inlineStr">
        <is>
          <t>DALARNAS LÄN</t>
        </is>
      </c>
      <c r="E299" t="inlineStr">
        <is>
          <t>ÄLVDALEN</t>
        </is>
      </c>
      <c r="G299" t="n">
        <v>0.2</v>
      </c>
      <c r="H299" t="n">
        <v>0</v>
      </c>
      <c r="I299" t="n">
        <v>0</v>
      </c>
      <c r="J299" t="n">
        <v>0</v>
      </c>
      <c r="K299" t="n">
        <v>0</v>
      </c>
      <c r="L299" t="n">
        <v>0</v>
      </c>
      <c r="M299" t="n">
        <v>0</v>
      </c>
      <c r="N299" t="n">
        <v>0</v>
      </c>
      <c r="O299" t="n">
        <v>0</v>
      </c>
      <c r="P299" t="n">
        <v>0</v>
      </c>
      <c r="Q299" t="n">
        <v>0</v>
      </c>
      <c r="R299" s="2" t="inlineStr"/>
    </row>
    <row r="300" ht="15" customHeight="1">
      <c r="A300" t="inlineStr">
        <is>
          <t>A 26801-2020</t>
        </is>
      </c>
      <c r="B300" s="1" t="n">
        <v>43990</v>
      </c>
      <c r="C300" s="1" t="n">
        <v>45795</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27040-2020</t>
        </is>
      </c>
      <c r="B301" s="1" t="n">
        <v>43991</v>
      </c>
      <c r="C301" s="1" t="n">
        <v>45795</v>
      </c>
      <c r="D301" t="inlineStr">
        <is>
          <t>DALARNAS LÄN</t>
        </is>
      </c>
      <c r="E301" t="inlineStr">
        <is>
          <t>ÄLVDALEN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27038-2020</t>
        </is>
      </c>
      <c r="B302" s="1" t="n">
        <v>43991</v>
      </c>
      <c r="C302" s="1" t="n">
        <v>45795</v>
      </c>
      <c r="D302" t="inlineStr">
        <is>
          <t>DALARNAS LÄN</t>
        </is>
      </c>
      <c r="E302" t="inlineStr">
        <is>
          <t>ÄLVDALEN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27041-2020</t>
        </is>
      </c>
      <c r="B303" s="1" t="n">
        <v>43991</v>
      </c>
      <c r="C303" s="1" t="n">
        <v>45795</v>
      </c>
      <c r="D303" t="inlineStr">
        <is>
          <t>DALARNAS LÄN</t>
        </is>
      </c>
      <c r="E303" t="inlineStr">
        <is>
          <t>ÄLVDALEN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29545-2020</t>
        </is>
      </c>
      <c r="B304" s="1" t="n">
        <v>44005</v>
      </c>
      <c r="C304" s="1" t="n">
        <v>45795</v>
      </c>
      <c r="D304" t="inlineStr">
        <is>
          <t>DALARNAS LÄN</t>
        </is>
      </c>
      <c r="E304" t="inlineStr">
        <is>
          <t>ÄLVDALEN</t>
        </is>
      </c>
      <c r="F304" t="inlineStr">
        <is>
          <t>Bergvik skog väst AB</t>
        </is>
      </c>
      <c r="G304" t="n">
        <v>7.2</v>
      </c>
      <c r="H304" t="n">
        <v>0</v>
      </c>
      <c r="I304" t="n">
        <v>0</v>
      </c>
      <c r="J304" t="n">
        <v>0</v>
      </c>
      <c r="K304" t="n">
        <v>0</v>
      </c>
      <c r="L304" t="n">
        <v>0</v>
      </c>
      <c r="M304" t="n">
        <v>0</v>
      </c>
      <c r="N304" t="n">
        <v>0</v>
      </c>
      <c r="O304" t="n">
        <v>0</v>
      </c>
      <c r="P304" t="n">
        <v>0</v>
      </c>
      <c r="Q304" t="n">
        <v>0</v>
      </c>
      <c r="R304" s="2" t="inlineStr"/>
    </row>
    <row r="305" ht="15" customHeight="1">
      <c r="A305" t="inlineStr">
        <is>
          <t>A 29703-2020</t>
        </is>
      </c>
      <c r="B305" s="1" t="n">
        <v>44005</v>
      </c>
      <c r="C305" s="1" t="n">
        <v>45795</v>
      </c>
      <c r="D305" t="inlineStr">
        <is>
          <t>DALARNAS LÄN</t>
        </is>
      </c>
      <c r="E305" t="inlineStr">
        <is>
          <t>ÄLVDALEN</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32286-2020</t>
        </is>
      </c>
      <c r="B306" s="1" t="n">
        <v>44015</v>
      </c>
      <c r="C306" s="1" t="n">
        <v>45795</v>
      </c>
      <c r="D306" t="inlineStr">
        <is>
          <t>DALARNAS LÄN</t>
        </is>
      </c>
      <c r="E306" t="inlineStr">
        <is>
          <t>ÄLVDALEN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32282-2020</t>
        </is>
      </c>
      <c r="B307" s="1" t="n">
        <v>44015</v>
      </c>
      <c r="C307" s="1" t="n">
        <v>45795</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32285-2020</t>
        </is>
      </c>
      <c r="B308" s="1" t="n">
        <v>44015</v>
      </c>
      <c r="C308" s="1" t="n">
        <v>45795</v>
      </c>
      <c r="D308" t="inlineStr">
        <is>
          <t>DALARNAS LÄN</t>
        </is>
      </c>
      <c r="E308" t="inlineStr">
        <is>
          <t>ÄLVDALEN</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33816-2020</t>
        </is>
      </c>
      <c r="B309" s="1" t="n">
        <v>44027</v>
      </c>
      <c r="C309" s="1" t="n">
        <v>45795</v>
      </c>
      <c r="D309" t="inlineStr">
        <is>
          <t>DALARNAS LÄN</t>
        </is>
      </c>
      <c r="E309" t="inlineStr">
        <is>
          <t>ÄLVDALEN</t>
        </is>
      </c>
      <c r="G309" t="n">
        <v>1.3</v>
      </c>
      <c r="H309" t="n">
        <v>0</v>
      </c>
      <c r="I309" t="n">
        <v>0</v>
      </c>
      <c r="J309" t="n">
        <v>0</v>
      </c>
      <c r="K309" t="n">
        <v>0</v>
      </c>
      <c r="L309" t="n">
        <v>0</v>
      </c>
      <c r="M309" t="n">
        <v>0</v>
      </c>
      <c r="N309" t="n">
        <v>0</v>
      </c>
      <c r="O309" t="n">
        <v>0</v>
      </c>
      <c r="P309" t="n">
        <v>0</v>
      </c>
      <c r="Q309" t="n">
        <v>0</v>
      </c>
      <c r="R309" s="2" t="inlineStr"/>
    </row>
    <row r="310" ht="15" customHeight="1">
      <c r="A310" t="inlineStr">
        <is>
          <t>A 35833-2020</t>
        </is>
      </c>
      <c r="B310" s="1" t="n">
        <v>44047</v>
      </c>
      <c r="C310" s="1" t="n">
        <v>45795</v>
      </c>
      <c r="D310" t="inlineStr">
        <is>
          <t>DALARNAS LÄN</t>
        </is>
      </c>
      <c r="E310" t="inlineStr">
        <is>
          <t>ÄLVDALEN</t>
        </is>
      </c>
      <c r="G310" t="n">
        <v>5.8</v>
      </c>
      <c r="H310" t="n">
        <v>0</v>
      </c>
      <c r="I310" t="n">
        <v>0</v>
      </c>
      <c r="J310" t="n">
        <v>0</v>
      </c>
      <c r="K310" t="n">
        <v>0</v>
      </c>
      <c r="L310" t="n">
        <v>0</v>
      </c>
      <c r="M310" t="n">
        <v>0</v>
      </c>
      <c r="N310" t="n">
        <v>0</v>
      </c>
      <c r="O310" t="n">
        <v>0</v>
      </c>
      <c r="P310" t="n">
        <v>0</v>
      </c>
      <c r="Q310" t="n">
        <v>0</v>
      </c>
      <c r="R310" s="2" t="inlineStr"/>
    </row>
    <row r="311" ht="15" customHeight="1">
      <c r="A311" t="inlineStr">
        <is>
          <t>A 36741-2020</t>
        </is>
      </c>
      <c r="B311" s="1" t="n">
        <v>44053</v>
      </c>
      <c r="C311" s="1" t="n">
        <v>45795</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37580-2020</t>
        </is>
      </c>
      <c r="B312" s="1" t="n">
        <v>44056</v>
      </c>
      <c r="C312" s="1" t="n">
        <v>45795</v>
      </c>
      <c r="D312" t="inlineStr">
        <is>
          <t>DALARNAS LÄN</t>
        </is>
      </c>
      <c r="E312" t="inlineStr">
        <is>
          <t>ÄLVDALEN</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39203-2020</t>
        </is>
      </c>
      <c r="B313" s="1" t="n">
        <v>44063</v>
      </c>
      <c r="C313" s="1" t="n">
        <v>45795</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41831-2020</t>
        </is>
      </c>
      <c r="B314" s="1" t="n">
        <v>44074</v>
      </c>
      <c r="C314" s="1" t="n">
        <v>45795</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41814-2020</t>
        </is>
      </c>
      <c r="B315" s="1" t="n">
        <v>44074</v>
      </c>
      <c r="C315" s="1" t="n">
        <v>45795</v>
      </c>
      <c r="D315" t="inlineStr">
        <is>
          <t>DALARNAS LÄN</t>
        </is>
      </c>
      <c r="E315" t="inlineStr">
        <is>
          <t>ÄLVDALEN</t>
        </is>
      </c>
      <c r="G315" t="n">
        <v>0.3</v>
      </c>
      <c r="H315" t="n">
        <v>0</v>
      </c>
      <c r="I315" t="n">
        <v>0</v>
      </c>
      <c r="J315" t="n">
        <v>0</v>
      </c>
      <c r="K315" t="n">
        <v>0</v>
      </c>
      <c r="L315" t="n">
        <v>0</v>
      </c>
      <c r="M315" t="n">
        <v>0</v>
      </c>
      <c r="N315" t="n">
        <v>0</v>
      </c>
      <c r="O315" t="n">
        <v>0</v>
      </c>
      <c r="P315" t="n">
        <v>0</v>
      </c>
      <c r="Q315" t="n">
        <v>0</v>
      </c>
      <c r="R315" s="2" t="inlineStr"/>
    </row>
    <row r="316" ht="15" customHeight="1">
      <c r="A316" t="inlineStr">
        <is>
          <t>A 42861-2020</t>
        </is>
      </c>
      <c r="B316" s="1" t="n">
        <v>44078</v>
      </c>
      <c r="C316" s="1" t="n">
        <v>45795</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46881-2020</t>
        </is>
      </c>
      <c r="B317" s="1" t="n">
        <v>44096</v>
      </c>
      <c r="C317" s="1" t="n">
        <v>45795</v>
      </c>
      <c r="D317" t="inlineStr">
        <is>
          <t>DALARNAS LÄN</t>
        </is>
      </c>
      <c r="E317" t="inlineStr">
        <is>
          <t>ÄLVDALEN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46893-2020</t>
        </is>
      </c>
      <c r="B318" s="1" t="n">
        <v>44096</v>
      </c>
      <c r="C318" s="1" t="n">
        <v>45795</v>
      </c>
      <c r="D318" t="inlineStr">
        <is>
          <t>DALARNAS LÄN</t>
        </is>
      </c>
      <c r="E318" t="inlineStr">
        <is>
          <t>ÄLVDALEN</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49737-2020</t>
        </is>
      </c>
      <c r="B319" s="1" t="n">
        <v>44106</v>
      </c>
      <c r="C319" s="1" t="n">
        <v>45795</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49587-2020</t>
        </is>
      </c>
      <c r="B320" s="1" t="n">
        <v>44106</v>
      </c>
      <c r="C320" s="1" t="n">
        <v>45795</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49734-2020</t>
        </is>
      </c>
      <c r="B321" s="1" t="n">
        <v>44106</v>
      </c>
      <c r="C321" s="1" t="n">
        <v>45795</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49956-2020</t>
        </is>
      </c>
      <c r="B322" s="1" t="n">
        <v>44109</v>
      </c>
      <c r="C322" s="1" t="n">
        <v>45795</v>
      </c>
      <c r="D322" t="inlineStr">
        <is>
          <t>DALARNAS LÄN</t>
        </is>
      </c>
      <c r="E322" t="inlineStr">
        <is>
          <t>ÄLVDALEN</t>
        </is>
      </c>
      <c r="F322" t="inlineStr">
        <is>
          <t>Övriga Aktiebolag</t>
        </is>
      </c>
      <c r="G322" t="n">
        <v>25.8</v>
      </c>
      <c r="H322" t="n">
        <v>0</v>
      </c>
      <c r="I322" t="n">
        <v>0</v>
      </c>
      <c r="J322" t="n">
        <v>0</v>
      </c>
      <c r="K322" t="n">
        <v>0</v>
      </c>
      <c r="L322" t="n">
        <v>0</v>
      </c>
      <c r="M322" t="n">
        <v>0</v>
      </c>
      <c r="N322" t="n">
        <v>0</v>
      </c>
      <c r="O322" t="n">
        <v>0</v>
      </c>
      <c r="P322" t="n">
        <v>0</v>
      </c>
      <c r="Q322" t="n">
        <v>0</v>
      </c>
      <c r="R322" s="2" t="inlineStr"/>
    </row>
    <row r="323" ht="15" customHeight="1">
      <c r="A323" t="inlineStr">
        <is>
          <t>A 49968-2020</t>
        </is>
      </c>
      <c r="B323" s="1" t="n">
        <v>44109</v>
      </c>
      <c r="C323" s="1" t="n">
        <v>45795</v>
      </c>
      <c r="D323" t="inlineStr">
        <is>
          <t>DALARNAS LÄN</t>
        </is>
      </c>
      <c r="E323" t="inlineStr">
        <is>
          <t>ÄLVDALEN</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51519-2020</t>
        </is>
      </c>
      <c r="B324" s="1" t="n">
        <v>44113</v>
      </c>
      <c r="C324" s="1" t="n">
        <v>45795</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52401-2020</t>
        </is>
      </c>
      <c r="B325" s="1" t="n">
        <v>44113</v>
      </c>
      <c r="C325" s="1" t="n">
        <v>45795</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54138-2020</t>
        </is>
      </c>
      <c r="B326" s="1" t="n">
        <v>44125</v>
      </c>
      <c r="C326" s="1" t="n">
        <v>45795</v>
      </c>
      <c r="D326" t="inlineStr">
        <is>
          <t>DALARNAS LÄN</t>
        </is>
      </c>
      <c r="E326" t="inlineStr">
        <is>
          <t>ÄLVDALEN</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45795</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58004-2020</t>
        </is>
      </c>
      <c r="B328" s="1" t="n">
        <v>44140</v>
      </c>
      <c r="C328" s="1" t="n">
        <v>45795</v>
      </c>
      <c r="D328" t="inlineStr">
        <is>
          <t>DALARNAS LÄN</t>
        </is>
      </c>
      <c r="E328" t="inlineStr">
        <is>
          <t>ÄLVDALEN</t>
        </is>
      </c>
      <c r="G328" t="n">
        <v>2.9</v>
      </c>
      <c r="H328" t="n">
        <v>0</v>
      </c>
      <c r="I328" t="n">
        <v>0</v>
      </c>
      <c r="J328" t="n">
        <v>0</v>
      </c>
      <c r="K328" t="n">
        <v>0</v>
      </c>
      <c r="L328" t="n">
        <v>0</v>
      </c>
      <c r="M328" t="n">
        <v>0</v>
      </c>
      <c r="N328" t="n">
        <v>0</v>
      </c>
      <c r="O328" t="n">
        <v>0</v>
      </c>
      <c r="P328" t="n">
        <v>0</v>
      </c>
      <c r="Q328" t="n">
        <v>0</v>
      </c>
      <c r="R328" s="2" t="inlineStr"/>
    </row>
    <row r="329" ht="15" customHeight="1">
      <c r="A329" t="inlineStr">
        <is>
          <t>A 58571-2020</t>
        </is>
      </c>
      <c r="B329" s="1" t="n">
        <v>44145</v>
      </c>
      <c r="C329" s="1" t="n">
        <v>45795</v>
      </c>
      <c r="D329" t="inlineStr">
        <is>
          <t>DALARNAS LÄN</t>
        </is>
      </c>
      <c r="E329" t="inlineStr">
        <is>
          <t>ÄLVDALEN</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58573-2020</t>
        </is>
      </c>
      <c r="B330" s="1" t="n">
        <v>44145</v>
      </c>
      <c r="C330" s="1" t="n">
        <v>45795</v>
      </c>
      <c r="D330" t="inlineStr">
        <is>
          <t>DALARNAS LÄN</t>
        </is>
      </c>
      <c r="E330" t="inlineStr">
        <is>
          <t>ÄLVDALEN</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58719-2020</t>
        </is>
      </c>
      <c r="B331" s="1" t="n">
        <v>44146</v>
      </c>
      <c r="C331" s="1" t="n">
        <v>45795</v>
      </c>
      <c r="D331" t="inlineStr">
        <is>
          <t>DALARNAS LÄN</t>
        </is>
      </c>
      <c r="E331" t="inlineStr">
        <is>
          <t>ÄLVDALEN</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58718-2020</t>
        </is>
      </c>
      <c r="B332" s="1" t="n">
        <v>44146</v>
      </c>
      <c r="C332" s="1" t="n">
        <v>45795</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45795</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63296-2020</t>
        </is>
      </c>
      <c r="B334" s="1" t="n">
        <v>44165</v>
      </c>
      <c r="C334" s="1" t="n">
        <v>45795</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66589-2020</t>
        </is>
      </c>
      <c r="B335" s="1" t="n">
        <v>44179</v>
      </c>
      <c r="C335" s="1" t="n">
        <v>45795</v>
      </c>
      <c r="D335" t="inlineStr">
        <is>
          <t>DALARNAS LÄN</t>
        </is>
      </c>
      <c r="E335" t="inlineStr">
        <is>
          <t>ÄLVDALEN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45795</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203-2021</t>
        </is>
      </c>
      <c r="B337" s="1" t="n">
        <v>44200</v>
      </c>
      <c r="C337" s="1" t="n">
        <v>45795</v>
      </c>
      <c r="D337" t="inlineStr">
        <is>
          <t>DALARNAS LÄN</t>
        </is>
      </c>
      <c r="E337" t="inlineStr">
        <is>
          <t>ÄLVDALEN</t>
        </is>
      </c>
      <c r="F337" t="inlineStr">
        <is>
          <t>Övriga statliga verk och myndigheter</t>
        </is>
      </c>
      <c r="G337" t="n">
        <v>19.1</v>
      </c>
      <c r="H337" t="n">
        <v>0</v>
      </c>
      <c r="I337" t="n">
        <v>0</v>
      </c>
      <c r="J337" t="n">
        <v>0</v>
      </c>
      <c r="K337" t="n">
        <v>0</v>
      </c>
      <c r="L337" t="n">
        <v>0</v>
      </c>
      <c r="M337" t="n">
        <v>0</v>
      </c>
      <c r="N337" t="n">
        <v>0</v>
      </c>
      <c r="O337" t="n">
        <v>0</v>
      </c>
      <c r="P337" t="n">
        <v>0</v>
      </c>
      <c r="Q337" t="n">
        <v>0</v>
      </c>
      <c r="R337" s="2" t="inlineStr"/>
    </row>
    <row r="338" ht="15" customHeight="1">
      <c r="A338" t="inlineStr">
        <is>
          <t>A 257-2021</t>
        </is>
      </c>
      <c r="B338" s="1" t="n">
        <v>44200</v>
      </c>
      <c r="C338" s="1" t="n">
        <v>45795</v>
      </c>
      <c r="D338" t="inlineStr">
        <is>
          <t>DALARNAS LÄN</t>
        </is>
      </c>
      <c r="E338" t="inlineStr">
        <is>
          <t>ÄLVDALEN</t>
        </is>
      </c>
      <c r="F338" t="inlineStr">
        <is>
          <t>Övriga statliga verk och myndigheter</t>
        </is>
      </c>
      <c r="G338" t="n">
        <v>6.1</v>
      </c>
      <c r="H338" t="n">
        <v>0</v>
      </c>
      <c r="I338" t="n">
        <v>0</v>
      </c>
      <c r="J338" t="n">
        <v>0</v>
      </c>
      <c r="K338" t="n">
        <v>0</v>
      </c>
      <c r="L338" t="n">
        <v>0</v>
      </c>
      <c r="M338" t="n">
        <v>0</v>
      </c>
      <c r="N338" t="n">
        <v>0</v>
      </c>
      <c r="O338" t="n">
        <v>0</v>
      </c>
      <c r="P338" t="n">
        <v>0</v>
      </c>
      <c r="Q338" t="n">
        <v>0</v>
      </c>
      <c r="R338" s="2" t="inlineStr"/>
    </row>
    <row r="339" ht="15" customHeight="1">
      <c r="A339" t="inlineStr">
        <is>
          <t>A 333-2021</t>
        </is>
      </c>
      <c r="B339" s="1" t="n">
        <v>44201</v>
      </c>
      <c r="C339" s="1" t="n">
        <v>45795</v>
      </c>
      <c r="D339" t="inlineStr">
        <is>
          <t>DALARNAS LÄN</t>
        </is>
      </c>
      <c r="E339" t="inlineStr">
        <is>
          <t>ÄLVDALEN</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435-2021</t>
        </is>
      </c>
      <c r="B340" s="1" t="n">
        <v>44201</v>
      </c>
      <c r="C340" s="1" t="n">
        <v>45795</v>
      </c>
      <c r="D340" t="inlineStr">
        <is>
          <t>DALARNAS LÄN</t>
        </is>
      </c>
      <c r="E340" t="inlineStr">
        <is>
          <t>ÄLVDALEN</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1871-2021</t>
        </is>
      </c>
      <c r="B341" s="1" t="n">
        <v>44210</v>
      </c>
      <c r="C341" s="1" t="n">
        <v>45795</v>
      </c>
      <c r="D341" t="inlineStr">
        <is>
          <t>DALARNAS LÄN</t>
        </is>
      </c>
      <c r="E341" t="inlineStr">
        <is>
          <t>ÄLVDALEN</t>
        </is>
      </c>
      <c r="F341" t="inlineStr">
        <is>
          <t>Övriga statliga verk och myndigheter</t>
        </is>
      </c>
      <c r="G341" t="n">
        <v>4.8</v>
      </c>
      <c r="H341" t="n">
        <v>0</v>
      </c>
      <c r="I341" t="n">
        <v>0</v>
      </c>
      <c r="J341" t="n">
        <v>0</v>
      </c>
      <c r="K341" t="n">
        <v>0</v>
      </c>
      <c r="L341" t="n">
        <v>0</v>
      </c>
      <c r="M341" t="n">
        <v>0</v>
      </c>
      <c r="N341" t="n">
        <v>0</v>
      </c>
      <c r="O341" t="n">
        <v>0</v>
      </c>
      <c r="P341" t="n">
        <v>0</v>
      </c>
      <c r="Q341" t="n">
        <v>0</v>
      </c>
      <c r="R341" s="2" t="inlineStr"/>
    </row>
    <row r="342" ht="15" customHeight="1">
      <c r="A342" t="inlineStr">
        <is>
          <t>A 1872-2021</t>
        </is>
      </c>
      <c r="B342" s="1" t="n">
        <v>44210</v>
      </c>
      <c r="C342" s="1" t="n">
        <v>45795</v>
      </c>
      <c r="D342" t="inlineStr">
        <is>
          <t>DALARNAS LÄN</t>
        </is>
      </c>
      <c r="E342" t="inlineStr">
        <is>
          <t>ÄLVDALEN</t>
        </is>
      </c>
      <c r="F342" t="inlineStr">
        <is>
          <t>Övriga statliga verk och myndigheter</t>
        </is>
      </c>
      <c r="G342" t="n">
        <v>19.6</v>
      </c>
      <c r="H342" t="n">
        <v>0</v>
      </c>
      <c r="I342" t="n">
        <v>0</v>
      </c>
      <c r="J342" t="n">
        <v>0</v>
      </c>
      <c r="K342" t="n">
        <v>0</v>
      </c>
      <c r="L342" t="n">
        <v>0</v>
      </c>
      <c r="M342" t="n">
        <v>0</v>
      </c>
      <c r="N342" t="n">
        <v>0</v>
      </c>
      <c r="O342" t="n">
        <v>0</v>
      </c>
      <c r="P342" t="n">
        <v>0</v>
      </c>
      <c r="Q342" t="n">
        <v>0</v>
      </c>
      <c r="R342" s="2" t="inlineStr"/>
    </row>
    <row r="343" ht="15" customHeight="1">
      <c r="A343" t="inlineStr">
        <is>
          <t>A 2219-2021</t>
        </is>
      </c>
      <c r="B343" s="1" t="n">
        <v>44210</v>
      </c>
      <c r="C343" s="1" t="n">
        <v>45795</v>
      </c>
      <c r="D343" t="inlineStr">
        <is>
          <t>DALARNAS LÄN</t>
        </is>
      </c>
      <c r="E343" t="inlineStr">
        <is>
          <t>ÄLVDALEN</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2690-2021</t>
        </is>
      </c>
      <c r="B344" s="1" t="n">
        <v>44214</v>
      </c>
      <c r="C344" s="1" t="n">
        <v>45795</v>
      </c>
      <c r="D344" t="inlineStr">
        <is>
          <t>DALARNAS LÄN</t>
        </is>
      </c>
      <c r="E344" t="inlineStr">
        <is>
          <t>ÄLVDALEN</t>
        </is>
      </c>
      <c r="F344" t="inlineStr">
        <is>
          <t>Allmännings- och besparingsskogar</t>
        </is>
      </c>
      <c r="G344" t="n">
        <v>70.3</v>
      </c>
      <c r="H344" t="n">
        <v>0</v>
      </c>
      <c r="I344" t="n">
        <v>0</v>
      </c>
      <c r="J344" t="n">
        <v>0</v>
      </c>
      <c r="K344" t="n">
        <v>0</v>
      </c>
      <c r="L344" t="n">
        <v>0</v>
      </c>
      <c r="M344" t="n">
        <v>0</v>
      </c>
      <c r="N344" t="n">
        <v>0</v>
      </c>
      <c r="O344" t="n">
        <v>0</v>
      </c>
      <c r="P344" t="n">
        <v>0</v>
      </c>
      <c r="Q344" t="n">
        <v>0</v>
      </c>
      <c r="R344" s="2" t="inlineStr"/>
    </row>
    <row r="345" ht="15" customHeight="1">
      <c r="A345" t="inlineStr">
        <is>
          <t>A 2746-2021</t>
        </is>
      </c>
      <c r="B345" s="1" t="n">
        <v>44215</v>
      </c>
      <c r="C345" s="1" t="n">
        <v>45795</v>
      </c>
      <c r="D345" t="inlineStr">
        <is>
          <t>DALARNAS LÄN</t>
        </is>
      </c>
      <c r="E345" t="inlineStr">
        <is>
          <t>ÄLVDALEN</t>
        </is>
      </c>
      <c r="F345" t="inlineStr">
        <is>
          <t>Kommuner</t>
        </is>
      </c>
      <c r="G345" t="n">
        <v>14.7</v>
      </c>
      <c r="H345" t="n">
        <v>0</v>
      </c>
      <c r="I345" t="n">
        <v>0</v>
      </c>
      <c r="J345" t="n">
        <v>0</v>
      </c>
      <c r="K345" t="n">
        <v>0</v>
      </c>
      <c r="L345" t="n">
        <v>0</v>
      </c>
      <c r="M345" t="n">
        <v>0</v>
      </c>
      <c r="N345" t="n">
        <v>0</v>
      </c>
      <c r="O345" t="n">
        <v>0</v>
      </c>
      <c r="P345" t="n">
        <v>0</v>
      </c>
      <c r="Q345" t="n">
        <v>0</v>
      </c>
      <c r="R345" s="2" t="inlineStr"/>
    </row>
    <row r="346" ht="15" customHeight="1">
      <c r="A346" t="inlineStr">
        <is>
          <t>A 4034-2021</t>
        </is>
      </c>
      <c r="B346" s="1" t="n">
        <v>44222</v>
      </c>
      <c r="C346" s="1" t="n">
        <v>45795</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4589-2021</t>
        </is>
      </c>
      <c r="B347" s="1" t="n">
        <v>44224</v>
      </c>
      <c r="C347" s="1" t="n">
        <v>45795</v>
      </c>
      <c r="D347" t="inlineStr">
        <is>
          <t>DALARNAS LÄN</t>
        </is>
      </c>
      <c r="E347" t="inlineStr">
        <is>
          <t>ÄLVDALEN</t>
        </is>
      </c>
      <c r="G347" t="n">
        <v>4.9</v>
      </c>
      <c r="H347" t="n">
        <v>0</v>
      </c>
      <c r="I347" t="n">
        <v>0</v>
      </c>
      <c r="J347" t="n">
        <v>0</v>
      </c>
      <c r="K347" t="n">
        <v>0</v>
      </c>
      <c r="L347" t="n">
        <v>0</v>
      </c>
      <c r="M347" t="n">
        <v>0</v>
      </c>
      <c r="N347" t="n">
        <v>0</v>
      </c>
      <c r="O347" t="n">
        <v>0</v>
      </c>
      <c r="P347" t="n">
        <v>0</v>
      </c>
      <c r="Q347" t="n">
        <v>0</v>
      </c>
      <c r="R347" s="2" t="inlineStr"/>
    </row>
    <row r="348" ht="15" customHeight="1">
      <c r="A348" t="inlineStr">
        <is>
          <t>A 5319-2021</t>
        </is>
      </c>
      <c r="B348" s="1" t="n">
        <v>44229</v>
      </c>
      <c r="C348" s="1" t="n">
        <v>45795</v>
      </c>
      <c r="D348" t="inlineStr">
        <is>
          <t>DALARNAS LÄN</t>
        </is>
      </c>
      <c r="E348" t="inlineStr">
        <is>
          <t>ÄLVDALEN</t>
        </is>
      </c>
      <c r="F348" t="inlineStr">
        <is>
          <t>Kommuner</t>
        </is>
      </c>
      <c r="G348" t="n">
        <v>15.3</v>
      </c>
      <c r="H348" t="n">
        <v>0</v>
      </c>
      <c r="I348" t="n">
        <v>0</v>
      </c>
      <c r="J348" t="n">
        <v>0</v>
      </c>
      <c r="K348" t="n">
        <v>0</v>
      </c>
      <c r="L348" t="n">
        <v>0</v>
      </c>
      <c r="M348" t="n">
        <v>0</v>
      </c>
      <c r="N348" t="n">
        <v>0</v>
      </c>
      <c r="O348" t="n">
        <v>0</v>
      </c>
      <c r="P348" t="n">
        <v>0</v>
      </c>
      <c r="Q348" t="n">
        <v>0</v>
      </c>
      <c r="R348" s="2" t="inlineStr"/>
    </row>
    <row r="349" ht="15" customHeight="1">
      <c r="A349" t="inlineStr">
        <is>
          <t>A 5567-2021</t>
        </is>
      </c>
      <c r="B349" s="1" t="n">
        <v>44230</v>
      </c>
      <c r="C349" s="1" t="n">
        <v>45795</v>
      </c>
      <c r="D349" t="inlineStr">
        <is>
          <t>DALARNAS LÄN</t>
        </is>
      </c>
      <c r="E349" t="inlineStr">
        <is>
          <t>ÄLVDALEN</t>
        </is>
      </c>
      <c r="F349" t="inlineStr">
        <is>
          <t>Övriga statliga verk och myndigheter</t>
        </is>
      </c>
      <c r="G349" t="n">
        <v>29.1</v>
      </c>
      <c r="H349" t="n">
        <v>0</v>
      </c>
      <c r="I349" t="n">
        <v>0</v>
      </c>
      <c r="J349" t="n">
        <v>0</v>
      </c>
      <c r="K349" t="n">
        <v>0</v>
      </c>
      <c r="L349" t="n">
        <v>0</v>
      </c>
      <c r="M349" t="n">
        <v>0</v>
      </c>
      <c r="N349" t="n">
        <v>0</v>
      </c>
      <c r="O349" t="n">
        <v>0</v>
      </c>
      <c r="P349" t="n">
        <v>0</v>
      </c>
      <c r="Q349" t="n">
        <v>0</v>
      </c>
      <c r="R349" s="2" t="inlineStr"/>
    </row>
    <row r="350" ht="15" customHeight="1">
      <c r="A350" t="inlineStr">
        <is>
          <t>A 7164-2021</t>
        </is>
      </c>
      <c r="B350" s="1" t="n">
        <v>44238</v>
      </c>
      <c r="C350" s="1" t="n">
        <v>45795</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7232-2021</t>
        </is>
      </c>
      <c r="B351" s="1" t="n">
        <v>44238</v>
      </c>
      <c r="C351" s="1" t="n">
        <v>45795</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11032-2021</t>
        </is>
      </c>
      <c r="B352" s="1" t="n">
        <v>44260</v>
      </c>
      <c r="C352" s="1" t="n">
        <v>45795</v>
      </c>
      <c r="D352" t="inlineStr">
        <is>
          <t>DALARNAS LÄN</t>
        </is>
      </c>
      <c r="E352" t="inlineStr">
        <is>
          <t>ÄLVDALEN</t>
        </is>
      </c>
      <c r="F352" t="inlineStr">
        <is>
          <t>Övriga statliga verk och myndigheter</t>
        </is>
      </c>
      <c r="G352" t="n">
        <v>35.9</v>
      </c>
      <c r="H352" t="n">
        <v>0</v>
      </c>
      <c r="I352" t="n">
        <v>0</v>
      </c>
      <c r="J352" t="n">
        <v>0</v>
      </c>
      <c r="K352" t="n">
        <v>0</v>
      </c>
      <c r="L352" t="n">
        <v>0</v>
      </c>
      <c r="M352" t="n">
        <v>0</v>
      </c>
      <c r="N352" t="n">
        <v>0</v>
      </c>
      <c r="O352" t="n">
        <v>0</v>
      </c>
      <c r="P352" t="n">
        <v>0</v>
      </c>
      <c r="Q352" t="n">
        <v>0</v>
      </c>
      <c r="R352" s="2" t="inlineStr"/>
    </row>
    <row r="353" ht="15" customHeight="1">
      <c r="A353" t="inlineStr">
        <is>
          <t>A 14290-2021</t>
        </is>
      </c>
      <c r="B353" s="1" t="n">
        <v>44278</v>
      </c>
      <c r="C353" s="1" t="n">
        <v>45795</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14548-2021</t>
        </is>
      </c>
      <c r="B354" s="1" t="n">
        <v>44279</v>
      </c>
      <c r="C354" s="1" t="n">
        <v>45795</v>
      </c>
      <c r="D354" t="inlineStr">
        <is>
          <t>DALARNAS LÄN</t>
        </is>
      </c>
      <c r="E354" t="inlineStr">
        <is>
          <t>ÄLVDALEN</t>
        </is>
      </c>
      <c r="G354" t="n">
        <v>6</v>
      </c>
      <c r="H354" t="n">
        <v>0</v>
      </c>
      <c r="I354" t="n">
        <v>0</v>
      </c>
      <c r="J354" t="n">
        <v>0</v>
      </c>
      <c r="K354" t="n">
        <v>0</v>
      </c>
      <c r="L354" t="n">
        <v>0</v>
      </c>
      <c r="M354" t="n">
        <v>0</v>
      </c>
      <c r="N354" t="n">
        <v>0</v>
      </c>
      <c r="O354" t="n">
        <v>0</v>
      </c>
      <c r="P354" t="n">
        <v>0</v>
      </c>
      <c r="Q354" t="n">
        <v>0</v>
      </c>
      <c r="R354" s="2" t="inlineStr"/>
    </row>
    <row r="355" ht="15" customHeight="1">
      <c r="A355" t="inlineStr">
        <is>
          <t>A 15045-2021</t>
        </is>
      </c>
      <c r="B355" s="1" t="n">
        <v>44281</v>
      </c>
      <c r="C355" s="1" t="n">
        <v>45795</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14995-2021</t>
        </is>
      </c>
      <c r="B356" s="1" t="n">
        <v>44281</v>
      </c>
      <c r="C356" s="1" t="n">
        <v>45795</v>
      </c>
      <c r="D356" t="inlineStr">
        <is>
          <t>DALARNAS LÄN</t>
        </is>
      </c>
      <c r="E356" t="inlineStr">
        <is>
          <t>ÄLVDALEN</t>
        </is>
      </c>
      <c r="G356" t="n">
        <v>17.8</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45795</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15952-2021</t>
        </is>
      </c>
      <c r="B358" s="1" t="n">
        <v>44286</v>
      </c>
      <c r="C358" s="1" t="n">
        <v>45795</v>
      </c>
      <c r="D358" t="inlineStr">
        <is>
          <t>DALARNAS LÄN</t>
        </is>
      </c>
      <c r="E358" t="inlineStr">
        <is>
          <t>ÄLVDALEN</t>
        </is>
      </c>
      <c r="F358" t="inlineStr">
        <is>
          <t>Övriga statliga verk och myndigheter</t>
        </is>
      </c>
      <c r="G358" t="n">
        <v>6.6</v>
      </c>
      <c r="H358" t="n">
        <v>0</v>
      </c>
      <c r="I358" t="n">
        <v>0</v>
      </c>
      <c r="J358" t="n">
        <v>0</v>
      </c>
      <c r="K358" t="n">
        <v>0</v>
      </c>
      <c r="L358" t="n">
        <v>0</v>
      </c>
      <c r="M358" t="n">
        <v>0</v>
      </c>
      <c r="N358" t="n">
        <v>0</v>
      </c>
      <c r="O358" t="n">
        <v>0</v>
      </c>
      <c r="P358" t="n">
        <v>0</v>
      </c>
      <c r="Q358" t="n">
        <v>0</v>
      </c>
      <c r="R358" s="2" t="inlineStr"/>
    </row>
    <row r="359" ht="15" customHeight="1">
      <c r="A359" t="inlineStr">
        <is>
          <t>A 16262-2021</t>
        </is>
      </c>
      <c r="B359" s="1" t="n">
        <v>44292</v>
      </c>
      <c r="C359" s="1" t="n">
        <v>45795</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18961-2021</t>
        </is>
      </c>
      <c r="B360" s="1" t="n">
        <v>44308</v>
      </c>
      <c r="C360" s="1" t="n">
        <v>45795</v>
      </c>
      <c r="D360" t="inlineStr">
        <is>
          <t>DALARNAS LÄN</t>
        </is>
      </c>
      <c r="E360" t="inlineStr">
        <is>
          <t>ÄLVDALEN</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19766-2021</t>
        </is>
      </c>
      <c r="B361" s="1" t="n">
        <v>44309</v>
      </c>
      <c r="C361" s="1" t="n">
        <v>45795</v>
      </c>
      <c r="D361" t="inlineStr">
        <is>
          <t>DALARNAS LÄN</t>
        </is>
      </c>
      <c r="E361" t="inlineStr">
        <is>
          <t>ÄLVDALEN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19763-2021</t>
        </is>
      </c>
      <c r="B362" s="1" t="n">
        <v>44309</v>
      </c>
      <c r="C362" s="1" t="n">
        <v>45795</v>
      </c>
      <c r="D362" t="inlineStr">
        <is>
          <t>DALARNAS LÄN</t>
        </is>
      </c>
      <c r="E362" t="inlineStr">
        <is>
          <t>ÄLVDALEN</t>
        </is>
      </c>
      <c r="G362" t="n">
        <v>1.4</v>
      </c>
      <c r="H362" t="n">
        <v>0</v>
      </c>
      <c r="I362" t="n">
        <v>0</v>
      </c>
      <c r="J362" t="n">
        <v>0</v>
      </c>
      <c r="K362" t="n">
        <v>0</v>
      </c>
      <c r="L362" t="n">
        <v>0</v>
      </c>
      <c r="M362" t="n">
        <v>0</v>
      </c>
      <c r="N362" t="n">
        <v>0</v>
      </c>
      <c r="O362" t="n">
        <v>0</v>
      </c>
      <c r="P362" t="n">
        <v>0</v>
      </c>
      <c r="Q362" t="n">
        <v>0</v>
      </c>
      <c r="R362" s="2" t="inlineStr"/>
    </row>
    <row r="363" ht="15" customHeight="1">
      <c r="A363" t="inlineStr">
        <is>
          <t>A 19313-2021</t>
        </is>
      </c>
      <c r="B363" s="1" t="n">
        <v>44309</v>
      </c>
      <c r="C363" s="1" t="n">
        <v>45795</v>
      </c>
      <c r="D363" t="inlineStr">
        <is>
          <t>DALARNAS LÄN</t>
        </is>
      </c>
      <c r="E363" t="inlineStr">
        <is>
          <t>ÄLVDALEN</t>
        </is>
      </c>
      <c r="G363" t="n">
        <v>0.2</v>
      </c>
      <c r="H363" t="n">
        <v>0</v>
      </c>
      <c r="I363" t="n">
        <v>0</v>
      </c>
      <c r="J363" t="n">
        <v>0</v>
      </c>
      <c r="K363" t="n">
        <v>0</v>
      </c>
      <c r="L363" t="n">
        <v>0</v>
      </c>
      <c r="M363" t="n">
        <v>0</v>
      </c>
      <c r="N363" t="n">
        <v>0</v>
      </c>
      <c r="O363" t="n">
        <v>0</v>
      </c>
      <c r="P363" t="n">
        <v>0</v>
      </c>
      <c r="Q363" t="n">
        <v>0</v>
      </c>
      <c r="R363" s="2" t="inlineStr"/>
    </row>
    <row r="364" ht="15" customHeight="1">
      <c r="A364" t="inlineStr">
        <is>
          <t>A 19312-2021</t>
        </is>
      </c>
      <c r="B364" s="1" t="n">
        <v>44309</v>
      </c>
      <c r="C364" s="1" t="n">
        <v>45795</v>
      </c>
      <c r="D364" t="inlineStr">
        <is>
          <t>DALARNAS LÄN</t>
        </is>
      </c>
      <c r="E364" t="inlineStr">
        <is>
          <t>ÄLVDALEN</t>
        </is>
      </c>
      <c r="G364" t="n">
        <v>0.4</v>
      </c>
      <c r="H364" t="n">
        <v>0</v>
      </c>
      <c r="I364" t="n">
        <v>0</v>
      </c>
      <c r="J364" t="n">
        <v>0</v>
      </c>
      <c r="K364" t="n">
        <v>0</v>
      </c>
      <c r="L364" t="n">
        <v>0</v>
      </c>
      <c r="M364" t="n">
        <v>0</v>
      </c>
      <c r="N364" t="n">
        <v>0</v>
      </c>
      <c r="O364" t="n">
        <v>0</v>
      </c>
      <c r="P364" t="n">
        <v>0</v>
      </c>
      <c r="Q364" t="n">
        <v>0</v>
      </c>
      <c r="R364" s="2" t="inlineStr"/>
    </row>
    <row r="365" ht="15" customHeight="1">
      <c r="A365" t="inlineStr">
        <is>
          <t>A 19761-2021</t>
        </is>
      </c>
      <c r="B365" s="1" t="n">
        <v>44309</v>
      </c>
      <c r="C365" s="1" t="n">
        <v>45795</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19759-2021</t>
        </is>
      </c>
      <c r="B366" s="1" t="n">
        <v>44309</v>
      </c>
      <c r="C366" s="1" t="n">
        <v>45795</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20050-2021</t>
        </is>
      </c>
      <c r="B367" s="1" t="n">
        <v>44314</v>
      </c>
      <c r="C367" s="1" t="n">
        <v>45795</v>
      </c>
      <c r="D367" t="inlineStr">
        <is>
          <t>DALARNAS LÄN</t>
        </is>
      </c>
      <c r="E367" t="inlineStr">
        <is>
          <t>ÄLVDALEN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20162-2021</t>
        </is>
      </c>
      <c r="B368" s="1" t="n">
        <v>44314</v>
      </c>
      <c r="C368" s="1" t="n">
        <v>45795</v>
      </c>
      <c r="D368" t="inlineStr">
        <is>
          <t>DALARNAS LÄN</t>
        </is>
      </c>
      <c r="E368" t="inlineStr">
        <is>
          <t>ÄLVDALEN</t>
        </is>
      </c>
      <c r="G368" t="n">
        <v>3.9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v>
      </c>
      <c r="C369" s="1" t="n">
        <v>45795</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22454-2021</t>
        </is>
      </c>
      <c r="B370" s="1" t="n">
        <v>44326</v>
      </c>
      <c r="C370" s="1" t="n">
        <v>45795</v>
      </c>
      <c r="D370" t="inlineStr">
        <is>
          <t>DALARNAS LÄN</t>
        </is>
      </c>
      <c r="E370" t="inlineStr">
        <is>
          <t>ÄLVDALEN</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22761-2021</t>
        </is>
      </c>
      <c r="B371" s="1" t="n">
        <v>44327</v>
      </c>
      <c r="C371" s="1" t="n">
        <v>45795</v>
      </c>
      <c r="D371" t="inlineStr">
        <is>
          <t>DALARNAS LÄN</t>
        </is>
      </c>
      <c r="E371" t="inlineStr">
        <is>
          <t>ÄLVDALEN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22760-2021</t>
        </is>
      </c>
      <c r="B372" s="1" t="n">
        <v>44327</v>
      </c>
      <c r="C372" s="1" t="n">
        <v>45795</v>
      </c>
      <c r="D372" t="inlineStr">
        <is>
          <t>DALARNAS LÄN</t>
        </is>
      </c>
      <c r="E372" t="inlineStr">
        <is>
          <t>ÄLVDALEN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22651-2021</t>
        </is>
      </c>
      <c r="B373" s="1" t="n">
        <v>44327</v>
      </c>
      <c r="C373" s="1" t="n">
        <v>45795</v>
      </c>
      <c r="D373" t="inlineStr">
        <is>
          <t>DALARNAS LÄN</t>
        </is>
      </c>
      <c r="E373" t="inlineStr">
        <is>
          <t>ÄLVDALEN</t>
        </is>
      </c>
      <c r="G373" t="n">
        <v>5.9</v>
      </c>
      <c r="H373" t="n">
        <v>0</v>
      </c>
      <c r="I373" t="n">
        <v>0</v>
      </c>
      <c r="J373" t="n">
        <v>0</v>
      </c>
      <c r="K373" t="n">
        <v>0</v>
      </c>
      <c r="L373" t="n">
        <v>0</v>
      </c>
      <c r="M373" t="n">
        <v>0</v>
      </c>
      <c r="N373" t="n">
        <v>0</v>
      </c>
      <c r="O373" t="n">
        <v>0</v>
      </c>
      <c r="P373" t="n">
        <v>0</v>
      </c>
      <c r="Q373" t="n">
        <v>0</v>
      </c>
      <c r="R373" s="2" t="inlineStr"/>
    </row>
    <row r="374" ht="15" customHeight="1">
      <c r="A374" t="inlineStr">
        <is>
          <t>A 24849-2021</t>
        </is>
      </c>
      <c r="B374" s="1" t="n">
        <v>44340</v>
      </c>
      <c r="C374" s="1" t="n">
        <v>45795</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45795</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26249-2021</t>
        </is>
      </c>
      <c r="B376" s="1" t="n">
        <v>44347</v>
      </c>
      <c r="C376" s="1" t="n">
        <v>45795</v>
      </c>
      <c r="D376" t="inlineStr">
        <is>
          <t>DALARNAS LÄN</t>
        </is>
      </c>
      <c r="E376" t="inlineStr">
        <is>
          <t>ÄLVDALEN</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v>
      </c>
      <c r="C377" s="1" t="n">
        <v>45795</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26726-2021</t>
        </is>
      </c>
      <c r="B378" s="1" t="n">
        <v>44349</v>
      </c>
      <c r="C378" s="1" t="n">
        <v>45795</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26874-2021</t>
        </is>
      </c>
      <c r="B379" s="1" t="n">
        <v>44349</v>
      </c>
      <c r="C379" s="1" t="n">
        <v>45795</v>
      </c>
      <c r="D379" t="inlineStr">
        <is>
          <t>DALARNAS LÄN</t>
        </is>
      </c>
      <c r="E379" t="inlineStr">
        <is>
          <t>ÄLVDALEN</t>
        </is>
      </c>
      <c r="F379" t="inlineStr">
        <is>
          <t>Bergvik skog öst AB</t>
        </is>
      </c>
      <c r="G379" t="n">
        <v>3.2</v>
      </c>
      <c r="H379" t="n">
        <v>0</v>
      </c>
      <c r="I379" t="n">
        <v>0</v>
      </c>
      <c r="J379" t="n">
        <v>0</v>
      </c>
      <c r="K379" t="n">
        <v>0</v>
      </c>
      <c r="L379" t="n">
        <v>0</v>
      </c>
      <c r="M379" t="n">
        <v>0</v>
      </c>
      <c r="N379" t="n">
        <v>0</v>
      </c>
      <c r="O379" t="n">
        <v>0</v>
      </c>
      <c r="P379" t="n">
        <v>0</v>
      </c>
      <c r="Q379" t="n">
        <v>0</v>
      </c>
      <c r="R379" s="2" t="inlineStr"/>
    </row>
    <row r="380" ht="15" customHeight="1">
      <c r="A380" t="inlineStr">
        <is>
          <t>A 27022-2021</t>
        </is>
      </c>
      <c r="B380" s="1" t="n">
        <v>44350</v>
      </c>
      <c r="C380" s="1" t="n">
        <v>45795</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28011-2021</t>
        </is>
      </c>
      <c r="B381" s="1" t="n">
        <v>44355</v>
      </c>
      <c r="C381" s="1" t="n">
        <v>45795</v>
      </c>
      <c r="D381" t="inlineStr">
        <is>
          <t>DALARNAS LÄN</t>
        </is>
      </c>
      <c r="E381" t="inlineStr">
        <is>
          <t>ÄLVDALEN</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28712-2021</t>
        </is>
      </c>
      <c r="B382" s="1" t="n">
        <v>44357</v>
      </c>
      <c r="C382" s="1" t="n">
        <v>45795</v>
      </c>
      <c r="D382" t="inlineStr">
        <is>
          <t>DALARNAS LÄN</t>
        </is>
      </c>
      <c r="E382" t="inlineStr">
        <is>
          <t>ÄLVDALEN</t>
        </is>
      </c>
      <c r="G382" t="n">
        <v>2</v>
      </c>
      <c r="H382" t="n">
        <v>0</v>
      </c>
      <c r="I382" t="n">
        <v>0</v>
      </c>
      <c r="J382" t="n">
        <v>0</v>
      </c>
      <c r="K382" t="n">
        <v>0</v>
      </c>
      <c r="L382" t="n">
        <v>0</v>
      </c>
      <c r="M382" t="n">
        <v>0</v>
      </c>
      <c r="N382" t="n">
        <v>0</v>
      </c>
      <c r="O382" t="n">
        <v>0</v>
      </c>
      <c r="P382" t="n">
        <v>0</v>
      </c>
      <c r="Q382" t="n">
        <v>0</v>
      </c>
      <c r="R382" s="2" t="inlineStr"/>
    </row>
    <row r="383" ht="15" customHeight="1">
      <c r="A383" t="inlineStr">
        <is>
          <t>A 30255-2021</t>
        </is>
      </c>
      <c r="B383" s="1" t="n">
        <v>44363</v>
      </c>
      <c r="C383" s="1" t="n">
        <v>45795</v>
      </c>
      <c r="D383" t="inlineStr">
        <is>
          <t>DALARNAS LÄN</t>
        </is>
      </c>
      <c r="E383" t="inlineStr">
        <is>
          <t>ÄLVDALEN</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30254-2021</t>
        </is>
      </c>
      <c r="B384" s="1" t="n">
        <v>44363</v>
      </c>
      <c r="C384" s="1" t="n">
        <v>45795</v>
      </c>
      <c r="D384" t="inlineStr">
        <is>
          <t>DALARNAS LÄN</t>
        </is>
      </c>
      <c r="E384" t="inlineStr">
        <is>
          <t>ÄLVDALEN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30249-2021</t>
        </is>
      </c>
      <c r="B385" s="1" t="n">
        <v>44363</v>
      </c>
      <c r="C385" s="1" t="n">
        <v>45795</v>
      </c>
      <c r="D385" t="inlineStr">
        <is>
          <t>DALARNAS LÄN</t>
        </is>
      </c>
      <c r="E385" t="inlineStr">
        <is>
          <t>ÄLVDALEN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30355-2021</t>
        </is>
      </c>
      <c r="B386" s="1" t="n">
        <v>44364</v>
      </c>
      <c r="C386" s="1" t="n">
        <v>45795</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30797-2021</t>
        </is>
      </c>
      <c r="B387" s="1" t="n">
        <v>44365</v>
      </c>
      <c r="C387" s="1" t="n">
        <v>45795</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30799-2021</t>
        </is>
      </c>
      <c r="B388" s="1" t="n">
        <v>44365</v>
      </c>
      <c r="C388" s="1" t="n">
        <v>45795</v>
      </c>
      <c r="D388" t="inlineStr">
        <is>
          <t>DALARNAS LÄN</t>
        </is>
      </c>
      <c r="E388" t="inlineStr">
        <is>
          <t>ÄLVDALEN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30972-2021</t>
        </is>
      </c>
      <c r="B389" s="1" t="n">
        <v>44365</v>
      </c>
      <c r="C389" s="1" t="n">
        <v>45795</v>
      </c>
      <c r="D389" t="inlineStr">
        <is>
          <t>DALARNAS LÄN</t>
        </is>
      </c>
      <c r="E389" t="inlineStr">
        <is>
          <t>ÄLVDALEN</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30969-2021</t>
        </is>
      </c>
      <c r="B390" s="1" t="n">
        <v>44365</v>
      </c>
      <c r="C390" s="1" t="n">
        <v>45795</v>
      </c>
      <c r="D390" t="inlineStr">
        <is>
          <t>DALARNAS LÄN</t>
        </is>
      </c>
      <c r="E390" t="inlineStr">
        <is>
          <t>ÄLVDALEN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31167-2021</t>
        </is>
      </c>
      <c r="B391" s="1" t="n">
        <v>44368</v>
      </c>
      <c r="C391" s="1" t="n">
        <v>45795</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31714-2021</t>
        </is>
      </c>
      <c r="B392" s="1" t="n">
        <v>44369</v>
      </c>
      <c r="C392" s="1" t="n">
        <v>45795</v>
      </c>
      <c r="D392" t="inlineStr">
        <is>
          <t>DALARNAS LÄN</t>
        </is>
      </c>
      <c r="E392" t="inlineStr">
        <is>
          <t>ÄLVDALEN</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32009-2021</t>
        </is>
      </c>
      <c r="B393" s="1" t="n">
        <v>44370</v>
      </c>
      <c r="C393" s="1" t="n">
        <v>45795</v>
      </c>
      <c r="D393" t="inlineStr">
        <is>
          <t>DALARNAS LÄN</t>
        </is>
      </c>
      <c r="E393" t="inlineStr">
        <is>
          <t>ÄLVDALEN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32362-2021</t>
        </is>
      </c>
      <c r="B394" s="1" t="n">
        <v>44371</v>
      </c>
      <c r="C394" s="1" t="n">
        <v>45795</v>
      </c>
      <c r="D394" t="inlineStr">
        <is>
          <t>DALARNAS LÄN</t>
        </is>
      </c>
      <c r="E394" t="inlineStr">
        <is>
          <t>ÄLVDALEN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33690-2021</t>
        </is>
      </c>
      <c r="B395" s="1" t="n">
        <v>44378</v>
      </c>
      <c r="C395" s="1" t="n">
        <v>45795</v>
      </c>
      <c r="D395" t="inlineStr">
        <is>
          <t>DALARNAS LÄN</t>
        </is>
      </c>
      <c r="E395" t="inlineStr">
        <is>
          <t>ÄLVDALEN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33689-2021</t>
        </is>
      </c>
      <c r="B396" s="1" t="n">
        <v>44378</v>
      </c>
      <c r="C396" s="1" t="n">
        <v>45795</v>
      </c>
      <c r="D396" t="inlineStr">
        <is>
          <t>DALARNAS LÄN</t>
        </is>
      </c>
      <c r="E396" t="inlineStr">
        <is>
          <t>ÄLVDALEN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36134-2021</t>
        </is>
      </c>
      <c r="B397" s="1" t="n">
        <v>44389</v>
      </c>
      <c r="C397" s="1" t="n">
        <v>45795</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36825-2021</t>
        </is>
      </c>
      <c r="B398" s="1" t="n">
        <v>44393</v>
      </c>
      <c r="C398" s="1" t="n">
        <v>45795</v>
      </c>
      <c r="D398" t="inlineStr">
        <is>
          <t>DALARNAS LÄN</t>
        </is>
      </c>
      <c r="E398" t="inlineStr">
        <is>
          <t>ÄLVDALEN</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36846-2021</t>
        </is>
      </c>
      <c r="B399" s="1" t="n">
        <v>44393</v>
      </c>
      <c r="C399" s="1" t="n">
        <v>45795</v>
      </c>
      <c r="D399" t="inlineStr">
        <is>
          <t>DALARNAS LÄN</t>
        </is>
      </c>
      <c r="E399" t="inlineStr">
        <is>
          <t>ÄLVDALEN</t>
        </is>
      </c>
      <c r="F399" t="inlineStr">
        <is>
          <t>Sveaskog</t>
        </is>
      </c>
      <c r="G399" t="n">
        <v>10.8</v>
      </c>
      <c r="H399" t="n">
        <v>0</v>
      </c>
      <c r="I399" t="n">
        <v>0</v>
      </c>
      <c r="J399" t="n">
        <v>0</v>
      </c>
      <c r="K399" t="n">
        <v>0</v>
      </c>
      <c r="L399" t="n">
        <v>0</v>
      </c>
      <c r="M399" t="n">
        <v>0</v>
      </c>
      <c r="N399" t="n">
        <v>0</v>
      </c>
      <c r="O399" t="n">
        <v>0</v>
      </c>
      <c r="P399" t="n">
        <v>0</v>
      </c>
      <c r="Q399" t="n">
        <v>0</v>
      </c>
      <c r="R399" s="2" t="inlineStr"/>
    </row>
    <row r="400" ht="15" customHeight="1">
      <c r="A400" t="inlineStr">
        <is>
          <t>A 36826-2021</t>
        </is>
      </c>
      <c r="B400" s="1" t="n">
        <v>44393</v>
      </c>
      <c r="C400" s="1" t="n">
        <v>45795</v>
      </c>
      <c r="D400" t="inlineStr">
        <is>
          <t>DALARNAS LÄN</t>
        </is>
      </c>
      <c r="E400" t="inlineStr">
        <is>
          <t>ÄLVDALEN</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36824-2021</t>
        </is>
      </c>
      <c r="B401" s="1" t="n">
        <v>44393</v>
      </c>
      <c r="C401" s="1" t="n">
        <v>45795</v>
      </c>
      <c r="D401" t="inlineStr">
        <is>
          <t>DALARNAS LÄN</t>
        </is>
      </c>
      <c r="E401" t="inlineStr">
        <is>
          <t>ÄLVDALEN</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37009-2021</t>
        </is>
      </c>
      <c r="B402" s="1" t="n">
        <v>44393</v>
      </c>
      <c r="C402" s="1" t="n">
        <v>45795</v>
      </c>
      <c r="D402" t="inlineStr">
        <is>
          <t>DALARNAS LÄN</t>
        </is>
      </c>
      <c r="E402" t="inlineStr">
        <is>
          <t>ÄLVDALEN</t>
        </is>
      </c>
      <c r="F402" t="inlineStr">
        <is>
          <t>Bergvik skog öst AB</t>
        </is>
      </c>
      <c r="G402" t="n">
        <v>3.3</v>
      </c>
      <c r="H402" t="n">
        <v>0</v>
      </c>
      <c r="I402" t="n">
        <v>0</v>
      </c>
      <c r="J402" t="n">
        <v>0</v>
      </c>
      <c r="K402" t="n">
        <v>0</v>
      </c>
      <c r="L402" t="n">
        <v>0</v>
      </c>
      <c r="M402" t="n">
        <v>0</v>
      </c>
      <c r="N402" t="n">
        <v>0</v>
      </c>
      <c r="O402" t="n">
        <v>0</v>
      </c>
      <c r="P402" t="n">
        <v>0</v>
      </c>
      <c r="Q402" t="n">
        <v>0</v>
      </c>
      <c r="R402" s="2" t="inlineStr"/>
    </row>
    <row r="403" ht="15" customHeight="1">
      <c r="A403" t="inlineStr">
        <is>
          <t>A 37490-2021</t>
        </is>
      </c>
      <c r="B403" s="1" t="n">
        <v>44399</v>
      </c>
      <c r="C403" s="1" t="n">
        <v>45795</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39064-2021</t>
        </is>
      </c>
      <c r="B404" s="1" t="n">
        <v>44411</v>
      </c>
      <c r="C404" s="1" t="n">
        <v>45795</v>
      </c>
      <c r="D404" t="inlineStr">
        <is>
          <t>DALARNAS LÄN</t>
        </is>
      </c>
      <c r="E404" t="inlineStr">
        <is>
          <t>ÄLVDALEN</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38957-2021</t>
        </is>
      </c>
      <c r="B405" s="1" t="n">
        <v>44411</v>
      </c>
      <c r="C405" s="1" t="n">
        <v>45795</v>
      </c>
      <c r="D405" t="inlineStr">
        <is>
          <t>DALARNAS LÄN</t>
        </is>
      </c>
      <c r="E405" t="inlineStr">
        <is>
          <t>ÄLVDALEN</t>
        </is>
      </c>
      <c r="G405" t="n">
        <v>4.6</v>
      </c>
      <c r="H405" t="n">
        <v>0</v>
      </c>
      <c r="I405" t="n">
        <v>0</v>
      </c>
      <c r="J405" t="n">
        <v>0</v>
      </c>
      <c r="K405" t="n">
        <v>0</v>
      </c>
      <c r="L405" t="n">
        <v>0</v>
      </c>
      <c r="M405" t="n">
        <v>0</v>
      </c>
      <c r="N405" t="n">
        <v>0</v>
      </c>
      <c r="O405" t="n">
        <v>0</v>
      </c>
      <c r="P405" t="n">
        <v>0</v>
      </c>
      <c r="Q405" t="n">
        <v>0</v>
      </c>
      <c r="R405" s="2" t="inlineStr"/>
    </row>
    <row r="406" ht="15" customHeight="1">
      <c r="A406" t="inlineStr">
        <is>
          <t>A 39199-2021</t>
        </is>
      </c>
      <c r="B406" s="1" t="n">
        <v>44412</v>
      </c>
      <c r="C406" s="1" t="n">
        <v>45795</v>
      </c>
      <c r="D406" t="inlineStr">
        <is>
          <t>DALARNAS LÄN</t>
        </is>
      </c>
      <c r="E406" t="inlineStr">
        <is>
          <t>ÄLVDALEN</t>
        </is>
      </c>
      <c r="F406" t="inlineStr">
        <is>
          <t>Övriga statliga verk och myndigheter</t>
        </is>
      </c>
      <c r="G406" t="n">
        <v>5.2</v>
      </c>
      <c r="H406" t="n">
        <v>0</v>
      </c>
      <c r="I406" t="n">
        <v>0</v>
      </c>
      <c r="J406" t="n">
        <v>0</v>
      </c>
      <c r="K406" t="n">
        <v>0</v>
      </c>
      <c r="L406" t="n">
        <v>0</v>
      </c>
      <c r="M406" t="n">
        <v>0</v>
      </c>
      <c r="N406" t="n">
        <v>0</v>
      </c>
      <c r="O406" t="n">
        <v>0</v>
      </c>
      <c r="P406" t="n">
        <v>0</v>
      </c>
      <c r="Q406" t="n">
        <v>0</v>
      </c>
      <c r="R406" s="2" t="inlineStr"/>
    </row>
    <row r="407" ht="15" customHeight="1">
      <c r="A407" t="inlineStr">
        <is>
          <t>A 39267-2021</t>
        </is>
      </c>
      <c r="B407" s="1" t="n">
        <v>44413</v>
      </c>
      <c r="C407" s="1" t="n">
        <v>45795</v>
      </c>
      <c r="D407" t="inlineStr">
        <is>
          <t>DALARNAS LÄN</t>
        </is>
      </c>
      <c r="E407" t="inlineStr">
        <is>
          <t>ÄLVDALEN</t>
        </is>
      </c>
      <c r="G407" t="n">
        <v>2.4</v>
      </c>
      <c r="H407" t="n">
        <v>0</v>
      </c>
      <c r="I407" t="n">
        <v>0</v>
      </c>
      <c r="J407" t="n">
        <v>0</v>
      </c>
      <c r="K407" t="n">
        <v>0</v>
      </c>
      <c r="L407" t="n">
        <v>0</v>
      </c>
      <c r="M407" t="n">
        <v>0</v>
      </c>
      <c r="N407" t="n">
        <v>0</v>
      </c>
      <c r="O407" t="n">
        <v>0</v>
      </c>
      <c r="P407" t="n">
        <v>0</v>
      </c>
      <c r="Q407" t="n">
        <v>0</v>
      </c>
      <c r="R407" s="2" t="inlineStr"/>
    </row>
    <row r="408" ht="15" customHeight="1">
      <c r="A408" t="inlineStr">
        <is>
          <t>A 40234-2021</t>
        </is>
      </c>
      <c r="B408" s="1" t="n">
        <v>44419</v>
      </c>
      <c r="C408" s="1" t="n">
        <v>45795</v>
      </c>
      <c r="D408" t="inlineStr">
        <is>
          <t>DALARNAS LÄN</t>
        </is>
      </c>
      <c r="E408" t="inlineStr">
        <is>
          <t>ÄLVDALEN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40235-2021</t>
        </is>
      </c>
      <c r="B409" s="1" t="n">
        <v>44419</v>
      </c>
      <c r="C409" s="1" t="n">
        <v>45795</v>
      </c>
      <c r="D409" t="inlineStr">
        <is>
          <t>DALARNAS LÄN</t>
        </is>
      </c>
      <c r="E409" t="inlineStr">
        <is>
          <t>ÄLVDALEN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40919-2021</t>
        </is>
      </c>
      <c r="B410" s="1" t="n">
        <v>44421</v>
      </c>
      <c r="C410" s="1" t="n">
        <v>45795</v>
      </c>
      <c r="D410" t="inlineStr">
        <is>
          <t>DALARNAS LÄN</t>
        </is>
      </c>
      <c r="E410" t="inlineStr">
        <is>
          <t>ÄLVDALEN</t>
        </is>
      </c>
      <c r="F410" t="inlineStr">
        <is>
          <t>Kyrkan</t>
        </is>
      </c>
      <c r="G410" t="n">
        <v>3.4</v>
      </c>
      <c r="H410" t="n">
        <v>0</v>
      </c>
      <c r="I410" t="n">
        <v>0</v>
      </c>
      <c r="J410" t="n">
        <v>0</v>
      </c>
      <c r="K410" t="n">
        <v>0</v>
      </c>
      <c r="L410" t="n">
        <v>0</v>
      </c>
      <c r="M410" t="n">
        <v>0</v>
      </c>
      <c r="N410" t="n">
        <v>0</v>
      </c>
      <c r="O410" t="n">
        <v>0</v>
      </c>
      <c r="P410" t="n">
        <v>0</v>
      </c>
      <c r="Q410" t="n">
        <v>0</v>
      </c>
      <c r="R410" s="2" t="inlineStr"/>
    </row>
    <row r="411" ht="15" customHeight="1">
      <c r="A411" t="inlineStr">
        <is>
          <t>A 41020-2021</t>
        </is>
      </c>
      <c r="B411" s="1" t="n">
        <v>44421</v>
      </c>
      <c r="C411" s="1" t="n">
        <v>45795</v>
      </c>
      <c r="D411" t="inlineStr">
        <is>
          <t>DALARNAS LÄN</t>
        </is>
      </c>
      <c r="E411" t="inlineStr">
        <is>
          <t>ÄLVDALEN</t>
        </is>
      </c>
      <c r="G411" t="n">
        <v>5.5</v>
      </c>
      <c r="H411" t="n">
        <v>0</v>
      </c>
      <c r="I411" t="n">
        <v>0</v>
      </c>
      <c r="J411" t="n">
        <v>0</v>
      </c>
      <c r="K411" t="n">
        <v>0</v>
      </c>
      <c r="L411" t="n">
        <v>0</v>
      </c>
      <c r="M411" t="n">
        <v>0</v>
      </c>
      <c r="N411" t="n">
        <v>0</v>
      </c>
      <c r="O411" t="n">
        <v>0</v>
      </c>
      <c r="P411" t="n">
        <v>0</v>
      </c>
      <c r="Q411" t="n">
        <v>0</v>
      </c>
      <c r="R411" s="2" t="inlineStr"/>
    </row>
    <row r="412" ht="15" customHeight="1">
      <c r="A412" t="inlineStr">
        <is>
          <t>A 43972-2021</t>
        </is>
      </c>
      <c r="B412" s="1" t="n">
        <v>44434</v>
      </c>
      <c r="C412" s="1" t="n">
        <v>45795</v>
      </c>
      <c r="D412" t="inlineStr">
        <is>
          <t>DALARNAS LÄN</t>
        </is>
      </c>
      <c r="E412" t="inlineStr">
        <is>
          <t>ÄLVDALEN</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45795</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44413-2021</t>
        </is>
      </c>
      <c r="B414" s="1" t="n">
        <v>44435</v>
      </c>
      <c r="C414" s="1" t="n">
        <v>45795</v>
      </c>
      <c r="D414" t="inlineStr">
        <is>
          <t>DALARNAS LÄN</t>
        </is>
      </c>
      <c r="E414" t="inlineStr">
        <is>
          <t>ÄLVDALEN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48558-2021</t>
        </is>
      </c>
      <c r="B415" s="1" t="n">
        <v>44452</v>
      </c>
      <c r="C415" s="1" t="n">
        <v>45795</v>
      </c>
      <c r="D415" t="inlineStr">
        <is>
          <t>DALARNAS LÄN</t>
        </is>
      </c>
      <c r="E415" t="inlineStr">
        <is>
          <t>ÄLVDALEN</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48608-2021</t>
        </is>
      </c>
      <c r="B416" s="1" t="n">
        <v>44452</v>
      </c>
      <c r="C416" s="1" t="n">
        <v>45795</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48772-2021</t>
        </is>
      </c>
      <c r="B417" s="1" t="n">
        <v>44452</v>
      </c>
      <c r="C417" s="1" t="n">
        <v>45795</v>
      </c>
      <c r="D417" t="inlineStr">
        <is>
          <t>DALARNAS LÄN</t>
        </is>
      </c>
      <c r="E417" t="inlineStr">
        <is>
          <t>ÄLVDALEN</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49495-2021</t>
        </is>
      </c>
      <c r="B418" s="1" t="n">
        <v>44455</v>
      </c>
      <c r="C418" s="1" t="n">
        <v>45795</v>
      </c>
      <c r="D418" t="inlineStr">
        <is>
          <t>DALARNAS LÄN</t>
        </is>
      </c>
      <c r="E418" t="inlineStr">
        <is>
          <t>ÄLVDALEN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49862-2021</t>
        </is>
      </c>
      <c r="B419" s="1" t="n">
        <v>44455</v>
      </c>
      <c r="C419" s="1" t="n">
        <v>45795</v>
      </c>
      <c r="D419" t="inlineStr">
        <is>
          <t>DALARNAS LÄN</t>
        </is>
      </c>
      <c r="E419" t="inlineStr">
        <is>
          <t>ÄLVDALEN</t>
        </is>
      </c>
      <c r="F419" t="inlineStr">
        <is>
          <t>Allmännings- och besparingsskogar</t>
        </is>
      </c>
      <c r="G419" t="n">
        <v>51.2</v>
      </c>
      <c r="H419" t="n">
        <v>0</v>
      </c>
      <c r="I419" t="n">
        <v>0</v>
      </c>
      <c r="J419" t="n">
        <v>0</v>
      </c>
      <c r="K419" t="n">
        <v>0</v>
      </c>
      <c r="L419" t="n">
        <v>0</v>
      </c>
      <c r="M419" t="n">
        <v>0</v>
      </c>
      <c r="N419" t="n">
        <v>0</v>
      </c>
      <c r="O419" t="n">
        <v>0</v>
      </c>
      <c r="P419" t="n">
        <v>0</v>
      </c>
      <c r="Q419" t="n">
        <v>0</v>
      </c>
      <c r="R419" s="2" t="inlineStr"/>
    </row>
    <row r="420" ht="15" customHeight="1">
      <c r="A420" t="inlineStr">
        <is>
          <t>A 50265-2021</t>
        </is>
      </c>
      <c r="B420" s="1" t="n">
        <v>44459</v>
      </c>
      <c r="C420" s="1" t="n">
        <v>45795</v>
      </c>
      <c r="D420" t="inlineStr">
        <is>
          <t>DALARNAS LÄN</t>
        </is>
      </c>
      <c r="E420" t="inlineStr">
        <is>
          <t>ÄLVDALEN</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50341-2021</t>
        </is>
      </c>
      <c r="B421" s="1" t="n">
        <v>44459</v>
      </c>
      <c r="C421" s="1" t="n">
        <v>45795</v>
      </c>
      <c r="D421" t="inlineStr">
        <is>
          <t>DALARNAS LÄN</t>
        </is>
      </c>
      <c r="E421" t="inlineStr">
        <is>
          <t>ÄLVDALEN</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50349-2021</t>
        </is>
      </c>
      <c r="B422" s="1" t="n">
        <v>44459</v>
      </c>
      <c r="C422" s="1" t="n">
        <v>45795</v>
      </c>
      <c r="D422" t="inlineStr">
        <is>
          <t>DALARNAS LÄN</t>
        </is>
      </c>
      <c r="E422" t="inlineStr">
        <is>
          <t>ÄLVDALEN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50708-2021</t>
        </is>
      </c>
      <c r="B423" s="1" t="n">
        <v>44459</v>
      </c>
      <c r="C423" s="1" t="n">
        <v>45795</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51161-2021</t>
        </is>
      </c>
      <c r="B424" s="1" t="n">
        <v>44461</v>
      </c>
      <c r="C424" s="1" t="n">
        <v>45795</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51844-2021</t>
        </is>
      </c>
      <c r="B425" s="1" t="n">
        <v>44462</v>
      </c>
      <c r="C425" s="1" t="n">
        <v>45795</v>
      </c>
      <c r="D425" t="inlineStr">
        <is>
          <t>DALARNAS LÄN</t>
        </is>
      </c>
      <c r="E425" t="inlineStr">
        <is>
          <t>ÄLVDALEN</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52124-2021</t>
        </is>
      </c>
      <c r="B426" s="1" t="n">
        <v>44463</v>
      </c>
      <c r="C426" s="1" t="n">
        <v>45795</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52877-2021</t>
        </is>
      </c>
      <c r="B427" s="1" t="n">
        <v>44467</v>
      </c>
      <c r="C427" s="1" t="n">
        <v>45795</v>
      </c>
      <c r="D427" t="inlineStr">
        <is>
          <t>DALARNAS LÄN</t>
        </is>
      </c>
      <c r="E427" t="inlineStr">
        <is>
          <t>ÄLVDALEN</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52866-2021</t>
        </is>
      </c>
      <c r="B428" s="1" t="n">
        <v>44467</v>
      </c>
      <c r="C428" s="1" t="n">
        <v>45795</v>
      </c>
      <c r="D428" t="inlineStr">
        <is>
          <t>DALARNAS LÄN</t>
        </is>
      </c>
      <c r="E428" t="inlineStr">
        <is>
          <t>ÄLVDALEN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52873-2021</t>
        </is>
      </c>
      <c r="B429" s="1" t="n">
        <v>44467</v>
      </c>
      <c r="C429" s="1" t="n">
        <v>45795</v>
      </c>
      <c r="D429" t="inlineStr">
        <is>
          <t>DALARNAS LÄN</t>
        </is>
      </c>
      <c r="E429" t="inlineStr">
        <is>
          <t>ÄLVDALEN</t>
        </is>
      </c>
      <c r="F429" t="inlineStr">
        <is>
          <t>Sveaskog</t>
        </is>
      </c>
      <c r="G429" t="n">
        <v>14.2</v>
      </c>
      <c r="H429" t="n">
        <v>0</v>
      </c>
      <c r="I429" t="n">
        <v>0</v>
      </c>
      <c r="J429" t="n">
        <v>0</v>
      </c>
      <c r="K429" t="n">
        <v>0</v>
      </c>
      <c r="L429" t="n">
        <v>0</v>
      </c>
      <c r="M429" t="n">
        <v>0</v>
      </c>
      <c r="N429" t="n">
        <v>0</v>
      </c>
      <c r="O429" t="n">
        <v>0</v>
      </c>
      <c r="P429" t="n">
        <v>0</v>
      </c>
      <c r="Q429" t="n">
        <v>0</v>
      </c>
      <c r="R429" s="2" t="inlineStr"/>
    </row>
    <row r="430" ht="15" customHeight="1">
      <c r="A430" t="inlineStr">
        <is>
          <t>A 54292-2021</t>
        </is>
      </c>
      <c r="B430" s="1" t="n">
        <v>44471</v>
      </c>
      <c r="C430" s="1" t="n">
        <v>45795</v>
      </c>
      <c r="D430" t="inlineStr">
        <is>
          <t>DALARNAS LÄN</t>
        </is>
      </c>
      <c r="E430" t="inlineStr">
        <is>
          <t>ÄLVDALEN</t>
        </is>
      </c>
      <c r="G430" t="n">
        <v>3.1</v>
      </c>
      <c r="H430" t="n">
        <v>0</v>
      </c>
      <c r="I430" t="n">
        <v>0</v>
      </c>
      <c r="J430" t="n">
        <v>0</v>
      </c>
      <c r="K430" t="n">
        <v>0</v>
      </c>
      <c r="L430" t="n">
        <v>0</v>
      </c>
      <c r="M430" t="n">
        <v>0</v>
      </c>
      <c r="N430" t="n">
        <v>0</v>
      </c>
      <c r="O430" t="n">
        <v>0</v>
      </c>
      <c r="P430" t="n">
        <v>0</v>
      </c>
      <c r="Q430" t="n">
        <v>0</v>
      </c>
      <c r="R430" s="2" t="inlineStr"/>
    </row>
    <row r="431" ht="15" customHeight="1">
      <c r="A431" t="inlineStr">
        <is>
          <t>A 54387-2021</t>
        </is>
      </c>
      <c r="B431" s="1" t="n">
        <v>44473</v>
      </c>
      <c r="C431" s="1" t="n">
        <v>45795</v>
      </c>
      <c r="D431" t="inlineStr">
        <is>
          <t>DALARNAS LÄN</t>
        </is>
      </c>
      <c r="E431" t="inlineStr">
        <is>
          <t>ÄLVDALEN</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55778-2021</t>
        </is>
      </c>
      <c r="B432" s="1" t="n">
        <v>44476</v>
      </c>
      <c r="C432" s="1" t="n">
        <v>45795</v>
      </c>
      <c r="D432" t="inlineStr">
        <is>
          <t>DALARNAS LÄN</t>
        </is>
      </c>
      <c r="E432" t="inlineStr">
        <is>
          <t>ÄLVDALEN</t>
        </is>
      </c>
      <c r="G432" t="n">
        <v>3.2</v>
      </c>
      <c r="H432" t="n">
        <v>0</v>
      </c>
      <c r="I432" t="n">
        <v>0</v>
      </c>
      <c r="J432" t="n">
        <v>0</v>
      </c>
      <c r="K432" t="n">
        <v>0</v>
      </c>
      <c r="L432" t="n">
        <v>0</v>
      </c>
      <c r="M432" t="n">
        <v>0</v>
      </c>
      <c r="N432" t="n">
        <v>0</v>
      </c>
      <c r="O432" t="n">
        <v>0</v>
      </c>
      <c r="P432" t="n">
        <v>0</v>
      </c>
      <c r="Q432" t="n">
        <v>0</v>
      </c>
      <c r="R432" s="2" t="inlineStr"/>
    </row>
    <row r="433" ht="15" customHeight="1">
      <c r="A433" t="inlineStr">
        <is>
          <t>A 55990-2021</t>
        </is>
      </c>
      <c r="B433" s="1" t="n">
        <v>44477</v>
      </c>
      <c r="C433" s="1" t="n">
        <v>45795</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56041-2021</t>
        </is>
      </c>
      <c r="B434" s="1" t="n">
        <v>44477</v>
      </c>
      <c r="C434" s="1" t="n">
        <v>45795</v>
      </c>
      <c r="D434" t="inlineStr">
        <is>
          <t>DALARNAS LÄN</t>
        </is>
      </c>
      <c r="E434" t="inlineStr">
        <is>
          <t>ÄLVDALEN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56047-2021</t>
        </is>
      </c>
      <c r="B435" s="1" t="n">
        <v>44477</v>
      </c>
      <c r="C435" s="1" t="n">
        <v>45795</v>
      </c>
      <c r="D435" t="inlineStr">
        <is>
          <t>DALARNAS LÄN</t>
        </is>
      </c>
      <c r="E435" t="inlineStr">
        <is>
          <t>ÄLVDALEN</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56045-2021</t>
        </is>
      </c>
      <c r="B436" s="1" t="n">
        <v>44477</v>
      </c>
      <c r="C436" s="1" t="n">
        <v>45795</v>
      </c>
      <c r="D436" t="inlineStr">
        <is>
          <t>DALARNAS LÄN</t>
        </is>
      </c>
      <c r="E436" t="inlineStr">
        <is>
          <t>ÄLVDALEN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56691-2021</t>
        </is>
      </c>
      <c r="B437" s="1" t="n">
        <v>44481</v>
      </c>
      <c r="C437" s="1" t="n">
        <v>45795</v>
      </c>
      <c r="D437" t="inlineStr">
        <is>
          <t>DALARNAS LÄN</t>
        </is>
      </c>
      <c r="E437" t="inlineStr">
        <is>
          <t>ÄLVDALEN</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57783-2021</t>
        </is>
      </c>
      <c r="B438" s="1" t="n">
        <v>44484</v>
      </c>
      <c r="C438" s="1" t="n">
        <v>45795</v>
      </c>
      <c r="D438" t="inlineStr">
        <is>
          <t>DALARNAS LÄN</t>
        </is>
      </c>
      <c r="E438" t="inlineStr">
        <is>
          <t>ÄLVDALEN</t>
        </is>
      </c>
      <c r="G438" t="n">
        <v>6.9</v>
      </c>
      <c r="H438" t="n">
        <v>0</v>
      </c>
      <c r="I438" t="n">
        <v>0</v>
      </c>
      <c r="J438" t="n">
        <v>0</v>
      </c>
      <c r="K438" t="n">
        <v>0</v>
      </c>
      <c r="L438" t="n">
        <v>0</v>
      </c>
      <c r="M438" t="n">
        <v>0</v>
      </c>
      <c r="N438" t="n">
        <v>0</v>
      </c>
      <c r="O438" t="n">
        <v>0</v>
      </c>
      <c r="P438" t="n">
        <v>0</v>
      </c>
      <c r="Q438" t="n">
        <v>0</v>
      </c>
      <c r="R438" s="2" t="inlineStr"/>
    </row>
    <row r="439" ht="15" customHeight="1">
      <c r="A439" t="inlineStr">
        <is>
          <t>A 57799-2021</t>
        </is>
      </c>
      <c r="B439" s="1" t="n">
        <v>44484</v>
      </c>
      <c r="C439" s="1" t="n">
        <v>45795</v>
      </c>
      <c r="D439" t="inlineStr">
        <is>
          <t>DALARNAS LÄN</t>
        </is>
      </c>
      <c r="E439" t="inlineStr">
        <is>
          <t>ÄLVDALEN</t>
        </is>
      </c>
      <c r="F439" t="inlineStr">
        <is>
          <t>Allmännings- och besparingsskogar</t>
        </is>
      </c>
      <c r="G439" t="n">
        <v>18.7</v>
      </c>
      <c r="H439" t="n">
        <v>0</v>
      </c>
      <c r="I439" t="n">
        <v>0</v>
      </c>
      <c r="J439" t="n">
        <v>0</v>
      </c>
      <c r="K439" t="n">
        <v>0</v>
      </c>
      <c r="L439" t="n">
        <v>0</v>
      </c>
      <c r="M439" t="n">
        <v>0</v>
      </c>
      <c r="N439" t="n">
        <v>0</v>
      </c>
      <c r="O439" t="n">
        <v>0</v>
      </c>
      <c r="P439" t="n">
        <v>0</v>
      </c>
      <c r="Q439" t="n">
        <v>0</v>
      </c>
      <c r="R439" s="2" t="inlineStr"/>
    </row>
    <row r="440" ht="15" customHeight="1">
      <c r="A440" t="inlineStr">
        <is>
          <t>A 58509-2021</t>
        </is>
      </c>
      <c r="B440" s="1" t="n">
        <v>44488</v>
      </c>
      <c r="C440" s="1" t="n">
        <v>45795</v>
      </c>
      <c r="D440" t="inlineStr">
        <is>
          <t>DALARNAS LÄN</t>
        </is>
      </c>
      <c r="E440" t="inlineStr">
        <is>
          <t>ÄLVDALEN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59658-2021</t>
        </is>
      </c>
      <c r="B441" s="1" t="n">
        <v>44494</v>
      </c>
      <c r="C441" s="1" t="n">
        <v>45795</v>
      </c>
      <c r="D441" t="inlineStr">
        <is>
          <t>DALARNAS LÄN</t>
        </is>
      </c>
      <c r="E441" t="inlineStr">
        <is>
          <t>ÄLVDALEN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60258-2021</t>
        </is>
      </c>
      <c r="B442" s="1" t="n">
        <v>44495</v>
      </c>
      <c r="C442" s="1" t="n">
        <v>45795</v>
      </c>
      <c r="D442" t="inlineStr">
        <is>
          <t>DALARNAS LÄN</t>
        </is>
      </c>
      <c r="E442" t="inlineStr">
        <is>
          <t>ÄLVDALEN</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60265-2021</t>
        </is>
      </c>
      <c r="B443" s="1" t="n">
        <v>44495</v>
      </c>
      <c r="C443" s="1" t="n">
        <v>45795</v>
      </c>
      <c r="D443" t="inlineStr">
        <is>
          <t>DALARNAS LÄN</t>
        </is>
      </c>
      <c r="E443" t="inlineStr">
        <is>
          <t>ÄLVDALEN</t>
        </is>
      </c>
      <c r="F443" t="inlineStr">
        <is>
          <t>Allmännings- och besparingsskogar</t>
        </is>
      </c>
      <c r="G443" t="n">
        <v>10</v>
      </c>
      <c r="H443" t="n">
        <v>0</v>
      </c>
      <c r="I443" t="n">
        <v>0</v>
      </c>
      <c r="J443" t="n">
        <v>0</v>
      </c>
      <c r="K443" t="n">
        <v>0</v>
      </c>
      <c r="L443" t="n">
        <v>0</v>
      </c>
      <c r="M443" t="n">
        <v>0</v>
      </c>
      <c r="N443" t="n">
        <v>0</v>
      </c>
      <c r="O443" t="n">
        <v>0</v>
      </c>
      <c r="P443" t="n">
        <v>0</v>
      </c>
      <c r="Q443" t="n">
        <v>0</v>
      </c>
      <c r="R443" s="2" t="inlineStr"/>
    </row>
    <row r="444" ht="15" customHeight="1">
      <c r="A444" t="inlineStr">
        <is>
          <t>A 60642-2021</t>
        </is>
      </c>
      <c r="B444" s="1" t="n">
        <v>44496</v>
      </c>
      <c r="C444" s="1" t="n">
        <v>45795</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61315-2021</t>
        </is>
      </c>
      <c r="B445" s="1" t="n">
        <v>44498</v>
      </c>
      <c r="C445" s="1" t="n">
        <v>45795</v>
      </c>
      <c r="D445" t="inlineStr">
        <is>
          <t>DALARNAS LÄN</t>
        </is>
      </c>
      <c r="E445" t="inlineStr">
        <is>
          <t>ÄLVDALEN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61563-2021</t>
        </is>
      </c>
      <c r="B446" s="1" t="n">
        <v>44501</v>
      </c>
      <c r="C446" s="1" t="n">
        <v>45795</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62024-2021</t>
        </is>
      </c>
      <c r="B447" s="1" t="n">
        <v>44502</v>
      </c>
      <c r="C447" s="1" t="n">
        <v>45795</v>
      </c>
      <c r="D447" t="inlineStr">
        <is>
          <t>DALARNAS LÄN</t>
        </is>
      </c>
      <c r="E447" t="inlineStr">
        <is>
          <t>ÄLVDALEN</t>
        </is>
      </c>
      <c r="G447" t="n">
        <v>3.4</v>
      </c>
      <c r="H447" t="n">
        <v>0</v>
      </c>
      <c r="I447" t="n">
        <v>0</v>
      </c>
      <c r="J447" t="n">
        <v>0</v>
      </c>
      <c r="K447" t="n">
        <v>0</v>
      </c>
      <c r="L447" t="n">
        <v>0</v>
      </c>
      <c r="M447" t="n">
        <v>0</v>
      </c>
      <c r="N447" t="n">
        <v>0</v>
      </c>
      <c r="O447" t="n">
        <v>0</v>
      </c>
      <c r="P447" t="n">
        <v>0</v>
      </c>
      <c r="Q447" t="n">
        <v>0</v>
      </c>
      <c r="R447" s="2" t="inlineStr"/>
    </row>
    <row r="448" ht="15" customHeight="1">
      <c r="A448" t="inlineStr">
        <is>
          <t>A 62643-2021</t>
        </is>
      </c>
      <c r="B448" s="1" t="n">
        <v>44503</v>
      </c>
      <c r="C448" s="1" t="n">
        <v>45795</v>
      </c>
      <c r="D448" t="inlineStr">
        <is>
          <t>DALARNAS LÄN</t>
        </is>
      </c>
      <c r="E448" t="inlineStr">
        <is>
          <t>ÄLVDALEN</t>
        </is>
      </c>
      <c r="F448" t="inlineStr">
        <is>
          <t>Sveaskog</t>
        </is>
      </c>
      <c r="G448" t="n">
        <v>48.7</v>
      </c>
      <c r="H448" t="n">
        <v>0</v>
      </c>
      <c r="I448" t="n">
        <v>0</v>
      </c>
      <c r="J448" t="n">
        <v>0</v>
      </c>
      <c r="K448" t="n">
        <v>0</v>
      </c>
      <c r="L448" t="n">
        <v>0</v>
      </c>
      <c r="M448" t="n">
        <v>0</v>
      </c>
      <c r="N448" t="n">
        <v>0</v>
      </c>
      <c r="O448" t="n">
        <v>0</v>
      </c>
      <c r="P448" t="n">
        <v>0</v>
      </c>
      <c r="Q448" t="n">
        <v>0</v>
      </c>
      <c r="R448" s="2" t="inlineStr"/>
    </row>
    <row r="449" ht="15" customHeight="1">
      <c r="A449" t="inlineStr">
        <is>
          <t>A 62680-2021</t>
        </is>
      </c>
      <c r="B449" s="1" t="n">
        <v>44504</v>
      </c>
      <c r="C449" s="1" t="n">
        <v>45795</v>
      </c>
      <c r="D449" t="inlineStr">
        <is>
          <t>DALARNAS LÄN</t>
        </is>
      </c>
      <c r="E449" t="inlineStr">
        <is>
          <t>ÄLVDALEN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63079-2021</t>
        </is>
      </c>
      <c r="B450" s="1" t="n">
        <v>44505</v>
      </c>
      <c r="C450" s="1" t="n">
        <v>45795</v>
      </c>
      <c r="D450" t="inlineStr">
        <is>
          <t>DALARNAS LÄN</t>
        </is>
      </c>
      <c r="E450" t="inlineStr">
        <is>
          <t>ÄLVDALEN</t>
        </is>
      </c>
      <c r="F450" t="inlineStr">
        <is>
          <t>Bergvik skog väst AB</t>
        </is>
      </c>
      <c r="G450" t="n">
        <v>4</v>
      </c>
      <c r="H450" t="n">
        <v>0</v>
      </c>
      <c r="I450" t="n">
        <v>0</v>
      </c>
      <c r="J450" t="n">
        <v>0</v>
      </c>
      <c r="K450" t="n">
        <v>0</v>
      </c>
      <c r="L450" t="n">
        <v>0</v>
      </c>
      <c r="M450" t="n">
        <v>0</v>
      </c>
      <c r="N450" t="n">
        <v>0</v>
      </c>
      <c r="O450" t="n">
        <v>0</v>
      </c>
      <c r="P450" t="n">
        <v>0</v>
      </c>
      <c r="Q450" t="n">
        <v>0</v>
      </c>
      <c r="R450" s="2" t="inlineStr"/>
    </row>
    <row r="451" ht="15" customHeight="1">
      <c r="A451" t="inlineStr">
        <is>
          <t>A 63114-2021</t>
        </is>
      </c>
      <c r="B451" s="1" t="n">
        <v>44505</v>
      </c>
      <c r="C451" s="1" t="n">
        <v>45795</v>
      </c>
      <c r="D451" t="inlineStr">
        <is>
          <t>DALARNAS LÄN</t>
        </is>
      </c>
      <c r="E451" t="inlineStr">
        <is>
          <t>ÄLVDALEN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63120-2021</t>
        </is>
      </c>
      <c r="B452" s="1" t="n">
        <v>44505</v>
      </c>
      <c r="C452" s="1" t="n">
        <v>45795</v>
      </c>
      <c r="D452" t="inlineStr">
        <is>
          <t>DALARNAS LÄN</t>
        </is>
      </c>
      <c r="E452" t="inlineStr">
        <is>
          <t>ÄLVDALEN</t>
        </is>
      </c>
      <c r="F452" t="inlineStr">
        <is>
          <t>Bergvik skog väst AB</t>
        </is>
      </c>
      <c r="G452" t="n">
        <v>18.6</v>
      </c>
      <c r="H452" t="n">
        <v>0</v>
      </c>
      <c r="I452" t="n">
        <v>0</v>
      </c>
      <c r="J452" t="n">
        <v>0</v>
      </c>
      <c r="K452" t="n">
        <v>0</v>
      </c>
      <c r="L452" t="n">
        <v>0</v>
      </c>
      <c r="M452" t="n">
        <v>0</v>
      </c>
      <c r="N452" t="n">
        <v>0</v>
      </c>
      <c r="O452" t="n">
        <v>0</v>
      </c>
      <c r="P452" t="n">
        <v>0</v>
      </c>
      <c r="Q452" t="n">
        <v>0</v>
      </c>
      <c r="R452" s="2" t="inlineStr"/>
    </row>
    <row r="453" ht="15" customHeight="1">
      <c r="A453" t="inlineStr">
        <is>
          <t>A 63273-2021</t>
        </is>
      </c>
      <c r="B453" s="1" t="n">
        <v>44508</v>
      </c>
      <c r="C453" s="1" t="n">
        <v>45795</v>
      </c>
      <c r="D453" t="inlineStr">
        <is>
          <t>DALARNAS LÄN</t>
        </is>
      </c>
      <c r="E453" t="inlineStr">
        <is>
          <t>ÄLVDALEN</t>
        </is>
      </c>
      <c r="F453" t="inlineStr">
        <is>
          <t>Bergvik skog väst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63242-2021</t>
        </is>
      </c>
      <c r="B454" s="1" t="n">
        <v>44508</v>
      </c>
      <c r="C454" s="1" t="n">
        <v>45795</v>
      </c>
      <c r="D454" t="inlineStr">
        <is>
          <t>DALARNAS LÄN</t>
        </is>
      </c>
      <c r="E454" t="inlineStr">
        <is>
          <t>ÄLVDALEN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63250-2021</t>
        </is>
      </c>
      <c r="B455" s="1" t="n">
        <v>44508</v>
      </c>
      <c r="C455" s="1" t="n">
        <v>45795</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63325-2021</t>
        </is>
      </c>
      <c r="B456" s="1" t="n">
        <v>44508</v>
      </c>
      <c r="C456" s="1" t="n">
        <v>45795</v>
      </c>
      <c r="D456" t="inlineStr">
        <is>
          <t>DALARNAS LÄN</t>
        </is>
      </c>
      <c r="E456" t="inlineStr">
        <is>
          <t>ÄLVDALEN</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66634-2021</t>
        </is>
      </c>
      <c r="B457" s="1" t="n">
        <v>44519</v>
      </c>
      <c r="C457" s="1" t="n">
        <v>45795</v>
      </c>
      <c r="D457" t="inlineStr">
        <is>
          <t>DALARNAS LÄN</t>
        </is>
      </c>
      <c r="E457" t="inlineStr">
        <is>
          <t>ÄLVDALEN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66887-2021</t>
        </is>
      </c>
      <c r="B458" s="1" t="n">
        <v>44522</v>
      </c>
      <c r="C458" s="1" t="n">
        <v>45795</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68204-2021</t>
        </is>
      </c>
      <c r="B459" s="1" t="n">
        <v>44526</v>
      </c>
      <c r="C459" s="1" t="n">
        <v>45795</v>
      </c>
      <c r="D459" t="inlineStr">
        <is>
          <t>DALARNAS LÄN</t>
        </is>
      </c>
      <c r="E459" t="inlineStr">
        <is>
          <t>ÄLVDALEN</t>
        </is>
      </c>
      <c r="F459" t="inlineStr">
        <is>
          <t>Kyrkan</t>
        </is>
      </c>
      <c r="G459" t="n">
        <v>5</v>
      </c>
      <c r="H459" t="n">
        <v>0</v>
      </c>
      <c r="I459" t="n">
        <v>0</v>
      </c>
      <c r="J459" t="n">
        <v>0</v>
      </c>
      <c r="K459" t="n">
        <v>0</v>
      </c>
      <c r="L459" t="n">
        <v>0</v>
      </c>
      <c r="M459" t="n">
        <v>0</v>
      </c>
      <c r="N459" t="n">
        <v>0</v>
      </c>
      <c r="O459" t="n">
        <v>0</v>
      </c>
      <c r="P459" t="n">
        <v>0</v>
      </c>
      <c r="Q459" t="n">
        <v>0</v>
      </c>
      <c r="R459" s="2" t="inlineStr"/>
    </row>
    <row r="460" ht="15" customHeight="1">
      <c r="A460" t="inlineStr">
        <is>
          <t>A 68219-2021</t>
        </is>
      </c>
      <c r="B460" s="1" t="n">
        <v>44526</v>
      </c>
      <c r="C460" s="1" t="n">
        <v>45795</v>
      </c>
      <c r="D460" t="inlineStr">
        <is>
          <t>DALARNAS LÄN</t>
        </is>
      </c>
      <c r="E460" t="inlineStr">
        <is>
          <t>ÄLVDALEN</t>
        </is>
      </c>
      <c r="F460" t="inlineStr">
        <is>
          <t>Kyrkan</t>
        </is>
      </c>
      <c r="G460" t="n">
        <v>2.7</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45795</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70140-2021</t>
        </is>
      </c>
      <c r="B462" s="1" t="n">
        <v>44533</v>
      </c>
      <c r="C462" s="1" t="n">
        <v>45795</v>
      </c>
      <c r="D462" t="inlineStr">
        <is>
          <t>DALARNAS LÄN</t>
        </is>
      </c>
      <c r="E462" t="inlineStr">
        <is>
          <t>ÄLVDALEN</t>
        </is>
      </c>
      <c r="G462" t="n">
        <v>2.5</v>
      </c>
      <c r="H462" t="n">
        <v>0</v>
      </c>
      <c r="I462" t="n">
        <v>0</v>
      </c>
      <c r="J462" t="n">
        <v>0</v>
      </c>
      <c r="K462" t="n">
        <v>0</v>
      </c>
      <c r="L462" t="n">
        <v>0</v>
      </c>
      <c r="M462" t="n">
        <v>0</v>
      </c>
      <c r="N462" t="n">
        <v>0</v>
      </c>
      <c r="O462" t="n">
        <v>0</v>
      </c>
      <c r="P462" t="n">
        <v>0</v>
      </c>
      <c r="Q462" t="n">
        <v>0</v>
      </c>
      <c r="R462" s="2" t="inlineStr"/>
    </row>
    <row r="463" ht="15" customHeight="1">
      <c r="A463" t="inlineStr">
        <is>
          <t>A 70252-2021</t>
        </is>
      </c>
      <c r="B463" s="1" t="n">
        <v>44536</v>
      </c>
      <c r="C463" s="1" t="n">
        <v>45795</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70990-2021</t>
        </is>
      </c>
      <c r="B464" s="1" t="n">
        <v>44538</v>
      </c>
      <c r="C464" s="1" t="n">
        <v>45795</v>
      </c>
      <c r="D464" t="inlineStr">
        <is>
          <t>DALARNAS LÄN</t>
        </is>
      </c>
      <c r="E464" t="inlineStr">
        <is>
          <t>ÄLVDALEN</t>
        </is>
      </c>
      <c r="F464" t="inlineStr">
        <is>
          <t>Kyrkan</t>
        </is>
      </c>
      <c r="G464" t="n">
        <v>3.5</v>
      </c>
      <c r="H464" t="n">
        <v>0</v>
      </c>
      <c r="I464" t="n">
        <v>0</v>
      </c>
      <c r="J464" t="n">
        <v>0</v>
      </c>
      <c r="K464" t="n">
        <v>0</v>
      </c>
      <c r="L464" t="n">
        <v>0</v>
      </c>
      <c r="M464" t="n">
        <v>0</v>
      </c>
      <c r="N464" t="n">
        <v>0</v>
      </c>
      <c r="O464" t="n">
        <v>0</v>
      </c>
      <c r="P464" t="n">
        <v>0</v>
      </c>
      <c r="Q464" t="n">
        <v>0</v>
      </c>
      <c r="R464" s="2" t="inlineStr"/>
    </row>
    <row r="465" ht="15" customHeight="1">
      <c r="A465" t="inlineStr">
        <is>
          <t>A 71282-2021</t>
        </is>
      </c>
      <c r="B465" s="1" t="n">
        <v>44539</v>
      </c>
      <c r="C465" s="1" t="n">
        <v>45795</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72813-2021</t>
        </is>
      </c>
      <c r="B466" s="1" t="n">
        <v>44546</v>
      </c>
      <c r="C466" s="1" t="n">
        <v>45795</v>
      </c>
      <c r="D466" t="inlineStr">
        <is>
          <t>DALARNAS LÄN</t>
        </is>
      </c>
      <c r="E466" t="inlineStr">
        <is>
          <t>ÄLVDALEN</t>
        </is>
      </c>
      <c r="G466" t="n">
        <v>4.2</v>
      </c>
      <c r="H466" t="n">
        <v>0</v>
      </c>
      <c r="I466" t="n">
        <v>0</v>
      </c>
      <c r="J466" t="n">
        <v>0</v>
      </c>
      <c r="K466" t="n">
        <v>0</v>
      </c>
      <c r="L466" t="n">
        <v>0</v>
      </c>
      <c r="M466" t="n">
        <v>0</v>
      </c>
      <c r="N466" t="n">
        <v>0</v>
      </c>
      <c r="O466" t="n">
        <v>0</v>
      </c>
      <c r="P466" t="n">
        <v>0</v>
      </c>
      <c r="Q466" t="n">
        <v>0</v>
      </c>
      <c r="R466" s="2" t="inlineStr"/>
    </row>
    <row r="467" ht="15" customHeight="1">
      <c r="A467" t="inlineStr">
        <is>
          <t>A 72846-2021</t>
        </is>
      </c>
      <c r="B467" s="1" t="n">
        <v>44547</v>
      </c>
      <c r="C467" s="1" t="n">
        <v>45795</v>
      </c>
      <c r="D467" t="inlineStr">
        <is>
          <t>DALARNAS LÄN</t>
        </is>
      </c>
      <c r="E467" t="inlineStr">
        <is>
          <t>ÄLVDALEN</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73691-2021</t>
        </is>
      </c>
      <c r="B468" s="1" t="n">
        <v>44552</v>
      </c>
      <c r="C468" s="1" t="n">
        <v>45795</v>
      </c>
      <c r="D468" t="inlineStr">
        <is>
          <t>DALARNAS LÄN</t>
        </is>
      </c>
      <c r="E468" t="inlineStr">
        <is>
          <t>ÄLVDALEN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73676-2021</t>
        </is>
      </c>
      <c r="B469" s="1" t="n">
        <v>44552</v>
      </c>
      <c r="C469" s="1" t="n">
        <v>45795</v>
      </c>
      <c r="D469" t="inlineStr">
        <is>
          <t>DALARNAS LÄN</t>
        </is>
      </c>
      <c r="E469" t="inlineStr">
        <is>
          <t>ÄLVDALEN</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74322-2021</t>
        </is>
      </c>
      <c r="B470" s="1" t="n">
        <v>44558</v>
      </c>
      <c r="C470" s="1" t="n">
        <v>45795</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74324-2021</t>
        </is>
      </c>
      <c r="B471" s="1" t="n">
        <v>44558</v>
      </c>
      <c r="C471" s="1" t="n">
        <v>45795</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713-2022</t>
        </is>
      </c>
      <c r="B472" s="1" t="n">
        <v>44568</v>
      </c>
      <c r="C472" s="1" t="n">
        <v>45795</v>
      </c>
      <c r="D472" t="inlineStr">
        <is>
          <t>DALARNAS LÄN</t>
        </is>
      </c>
      <c r="E472" t="inlineStr">
        <is>
          <t>ÄLVDALEN</t>
        </is>
      </c>
      <c r="G472" t="n">
        <v>1.6</v>
      </c>
      <c r="H472" t="n">
        <v>0</v>
      </c>
      <c r="I472" t="n">
        <v>0</v>
      </c>
      <c r="J472" t="n">
        <v>0</v>
      </c>
      <c r="K472" t="n">
        <v>0</v>
      </c>
      <c r="L472" t="n">
        <v>0</v>
      </c>
      <c r="M472" t="n">
        <v>0</v>
      </c>
      <c r="N472" t="n">
        <v>0</v>
      </c>
      <c r="O472" t="n">
        <v>0</v>
      </c>
      <c r="P472" t="n">
        <v>0</v>
      </c>
      <c r="Q472" t="n">
        <v>0</v>
      </c>
      <c r="R472" s="2" t="inlineStr"/>
    </row>
    <row r="473" ht="15" customHeight="1">
      <c r="A473" t="inlineStr">
        <is>
          <t>A 5422-2022</t>
        </is>
      </c>
      <c r="B473" s="1" t="n">
        <v>44595</v>
      </c>
      <c r="C473" s="1" t="n">
        <v>45795</v>
      </c>
      <c r="D473" t="inlineStr">
        <is>
          <t>DALARNAS LÄN</t>
        </is>
      </c>
      <c r="E473" t="inlineStr">
        <is>
          <t>ÄLVDALEN</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5549-2022</t>
        </is>
      </c>
      <c r="B474" s="1" t="n">
        <v>44595</v>
      </c>
      <c r="C474" s="1" t="n">
        <v>45795</v>
      </c>
      <c r="D474" t="inlineStr">
        <is>
          <t>DALARNAS LÄN</t>
        </is>
      </c>
      <c r="E474" t="inlineStr">
        <is>
          <t>ÄLVDALEN</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5981-2022</t>
        </is>
      </c>
      <c r="B475" s="1" t="n">
        <v>44599</v>
      </c>
      <c r="C475" s="1" t="n">
        <v>45795</v>
      </c>
      <c r="D475" t="inlineStr">
        <is>
          <t>DALARNAS LÄN</t>
        </is>
      </c>
      <c r="E475" t="inlineStr">
        <is>
          <t>ÄLVDALEN</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6270-2022</t>
        </is>
      </c>
      <c r="B476" s="1" t="n">
        <v>44600</v>
      </c>
      <c r="C476" s="1" t="n">
        <v>45795</v>
      </c>
      <c r="D476" t="inlineStr">
        <is>
          <t>DALARNAS LÄN</t>
        </is>
      </c>
      <c r="E476" t="inlineStr">
        <is>
          <t>ÄLVDALEN</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7530-2022</t>
        </is>
      </c>
      <c r="B477" s="1" t="n">
        <v>44607</v>
      </c>
      <c r="C477" s="1" t="n">
        <v>45795</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11180-2022</t>
        </is>
      </c>
      <c r="B478" s="1" t="n">
        <v>44629</v>
      </c>
      <c r="C478" s="1" t="n">
        <v>45795</v>
      </c>
      <c r="D478" t="inlineStr">
        <is>
          <t>DALARNAS LÄN</t>
        </is>
      </c>
      <c r="E478" t="inlineStr">
        <is>
          <t>ÄLVDALEN</t>
        </is>
      </c>
      <c r="G478" t="n">
        <v>1.3</v>
      </c>
      <c r="H478" t="n">
        <v>0</v>
      </c>
      <c r="I478" t="n">
        <v>0</v>
      </c>
      <c r="J478" t="n">
        <v>0</v>
      </c>
      <c r="K478" t="n">
        <v>0</v>
      </c>
      <c r="L478" t="n">
        <v>0</v>
      </c>
      <c r="M478" t="n">
        <v>0</v>
      </c>
      <c r="N478" t="n">
        <v>0</v>
      </c>
      <c r="O478" t="n">
        <v>0</v>
      </c>
      <c r="P478" t="n">
        <v>0</v>
      </c>
      <c r="Q478" t="n">
        <v>0</v>
      </c>
      <c r="R478" s="2" t="inlineStr"/>
    </row>
    <row r="479" ht="15" customHeight="1">
      <c r="A479" t="inlineStr">
        <is>
          <t>A 12066-2022</t>
        </is>
      </c>
      <c r="B479" s="1" t="n">
        <v>44636</v>
      </c>
      <c r="C479" s="1" t="n">
        <v>45795</v>
      </c>
      <c r="D479" t="inlineStr">
        <is>
          <t>DALARNAS LÄN</t>
        </is>
      </c>
      <c r="E479" t="inlineStr">
        <is>
          <t>ÄLVDALEN</t>
        </is>
      </c>
      <c r="G479" t="n">
        <v>4.4</v>
      </c>
      <c r="H479" t="n">
        <v>0</v>
      </c>
      <c r="I479" t="n">
        <v>0</v>
      </c>
      <c r="J479" t="n">
        <v>0</v>
      </c>
      <c r="K479" t="n">
        <v>0</v>
      </c>
      <c r="L479" t="n">
        <v>0</v>
      </c>
      <c r="M479" t="n">
        <v>0</v>
      </c>
      <c r="N479" t="n">
        <v>0</v>
      </c>
      <c r="O479" t="n">
        <v>0</v>
      </c>
      <c r="P479" t="n">
        <v>0</v>
      </c>
      <c r="Q479" t="n">
        <v>0</v>
      </c>
      <c r="R479" s="2" t="inlineStr"/>
    </row>
    <row r="480" ht="15" customHeight="1">
      <c r="A480" t="inlineStr">
        <is>
          <t>A 12995-2022</t>
        </is>
      </c>
      <c r="B480" s="1" t="n">
        <v>44643</v>
      </c>
      <c r="C480" s="1" t="n">
        <v>45795</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v>
      </c>
      <c r="C481" s="1" t="n">
        <v>45795</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14089-2022</t>
        </is>
      </c>
      <c r="B482" s="1" t="n">
        <v>44651</v>
      </c>
      <c r="C482" s="1" t="n">
        <v>45795</v>
      </c>
      <c r="D482" t="inlineStr">
        <is>
          <t>DALARNAS LÄN</t>
        </is>
      </c>
      <c r="E482" t="inlineStr">
        <is>
          <t>ÄLVDALEN</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14235-2022</t>
        </is>
      </c>
      <c r="B483" s="1" t="n">
        <v>44651</v>
      </c>
      <c r="C483" s="1" t="n">
        <v>45795</v>
      </c>
      <c r="D483" t="inlineStr">
        <is>
          <t>DALARNAS LÄN</t>
        </is>
      </c>
      <c r="E483" t="inlineStr">
        <is>
          <t>ÄLVDALEN</t>
        </is>
      </c>
      <c r="G483" t="n">
        <v>1.1</v>
      </c>
      <c r="H483" t="n">
        <v>0</v>
      </c>
      <c r="I483" t="n">
        <v>0</v>
      </c>
      <c r="J483" t="n">
        <v>0</v>
      </c>
      <c r="K483" t="n">
        <v>0</v>
      </c>
      <c r="L483" t="n">
        <v>0</v>
      </c>
      <c r="M483" t="n">
        <v>0</v>
      </c>
      <c r="N483" t="n">
        <v>0</v>
      </c>
      <c r="O483" t="n">
        <v>0</v>
      </c>
      <c r="P483" t="n">
        <v>0</v>
      </c>
      <c r="Q483" t="n">
        <v>0</v>
      </c>
      <c r="R483" s="2" t="inlineStr"/>
    </row>
    <row r="484" ht="15" customHeight="1">
      <c r="A484" t="inlineStr">
        <is>
          <t>A 14795-2022</t>
        </is>
      </c>
      <c r="B484" s="1" t="n">
        <v>44656</v>
      </c>
      <c r="C484" s="1" t="n">
        <v>45795</v>
      </c>
      <c r="D484" t="inlineStr">
        <is>
          <t>DALARNAS LÄN</t>
        </is>
      </c>
      <c r="E484" t="inlineStr">
        <is>
          <t>ÄLVDALEN</t>
        </is>
      </c>
      <c r="F484" t="inlineStr">
        <is>
          <t>Övriga statliga verk och myndigheter</t>
        </is>
      </c>
      <c r="G484" t="n">
        <v>15.9</v>
      </c>
      <c r="H484" t="n">
        <v>0</v>
      </c>
      <c r="I484" t="n">
        <v>0</v>
      </c>
      <c r="J484" t="n">
        <v>0</v>
      </c>
      <c r="K484" t="n">
        <v>0</v>
      </c>
      <c r="L484" t="n">
        <v>0</v>
      </c>
      <c r="M484" t="n">
        <v>0</v>
      </c>
      <c r="N484" t="n">
        <v>0</v>
      </c>
      <c r="O484" t="n">
        <v>0</v>
      </c>
      <c r="P484" t="n">
        <v>0</v>
      </c>
      <c r="Q484" t="n">
        <v>0</v>
      </c>
      <c r="R484" s="2" t="inlineStr"/>
    </row>
    <row r="485" ht="15" customHeight="1">
      <c r="A485" t="inlineStr">
        <is>
          <t>A 15603-2022</t>
        </is>
      </c>
      <c r="B485" s="1" t="n">
        <v>44662</v>
      </c>
      <c r="C485" s="1" t="n">
        <v>45795</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17346-2022</t>
        </is>
      </c>
      <c r="B486" s="1" t="n">
        <v>44678</v>
      </c>
      <c r="C486" s="1" t="n">
        <v>45795</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17627-2022</t>
        </is>
      </c>
      <c r="B487" s="1" t="n">
        <v>44680</v>
      </c>
      <c r="C487" s="1" t="n">
        <v>45795</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18436-2022</t>
        </is>
      </c>
      <c r="B488" s="1" t="n">
        <v>44686</v>
      </c>
      <c r="C488" s="1" t="n">
        <v>45795</v>
      </c>
      <c r="D488" t="inlineStr">
        <is>
          <t>DALARNAS LÄN</t>
        </is>
      </c>
      <c r="E488" t="inlineStr">
        <is>
          <t>ÄLVDALEN</t>
        </is>
      </c>
      <c r="G488" t="n">
        <v>6.4</v>
      </c>
      <c r="H488" t="n">
        <v>0</v>
      </c>
      <c r="I488" t="n">
        <v>0</v>
      </c>
      <c r="J488" t="n">
        <v>0</v>
      </c>
      <c r="K488" t="n">
        <v>0</v>
      </c>
      <c r="L488" t="n">
        <v>0</v>
      </c>
      <c r="M488" t="n">
        <v>0</v>
      </c>
      <c r="N488" t="n">
        <v>0</v>
      </c>
      <c r="O488" t="n">
        <v>0</v>
      </c>
      <c r="P488" t="n">
        <v>0</v>
      </c>
      <c r="Q488" t="n">
        <v>0</v>
      </c>
      <c r="R488" s="2" t="inlineStr"/>
    </row>
    <row r="489" ht="15" customHeight="1">
      <c r="A489" t="inlineStr">
        <is>
          <t>A 18911-2022</t>
        </is>
      </c>
      <c r="B489" s="1" t="n">
        <v>44690</v>
      </c>
      <c r="C489" s="1" t="n">
        <v>45795</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19192-2022</t>
        </is>
      </c>
      <c r="B490" s="1" t="n">
        <v>44691</v>
      </c>
      <c r="C490" s="1" t="n">
        <v>45795</v>
      </c>
      <c r="D490" t="inlineStr">
        <is>
          <t>DALARNAS LÄN</t>
        </is>
      </c>
      <c r="E490" t="inlineStr">
        <is>
          <t>ÄLVDALEN</t>
        </is>
      </c>
      <c r="F490" t="inlineStr">
        <is>
          <t>Allmännings- och besparingsskogar</t>
        </is>
      </c>
      <c r="G490" t="n">
        <v>47.7</v>
      </c>
      <c r="H490" t="n">
        <v>0</v>
      </c>
      <c r="I490" t="n">
        <v>0</v>
      </c>
      <c r="J490" t="n">
        <v>0</v>
      </c>
      <c r="K490" t="n">
        <v>0</v>
      </c>
      <c r="L490" t="n">
        <v>0</v>
      </c>
      <c r="M490" t="n">
        <v>0</v>
      </c>
      <c r="N490" t="n">
        <v>0</v>
      </c>
      <c r="O490" t="n">
        <v>0</v>
      </c>
      <c r="P490" t="n">
        <v>0</v>
      </c>
      <c r="Q490" t="n">
        <v>0</v>
      </c>
      <c r="R490" s="2" t="inlineStr"/>
    </row>
    <row r="491" ht="15" customHeight="1">
      <c r="A491" t="inlineStr">
        <is>
          <t>A 19933-2022</t>
        </is>
      </c>
      <c r="B491" s="1" t="n">
        <v>44697</v>
      </c>
      <c r="C491" s="1" t="n">
        <v>45795</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19939-2022</t>
        </is>
      </c>
      <c r="B492" s="1" t="n">
        <v>44697</v>
      </c>
      <c r="C492" s="1" t="n">
        <v>45795</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19918-2022</t>
        </is>
      </c>
      <c r="B493" s="1" t="n">
        <v>44697</v>
      </c>
      <c r="C493" s="1" t="n">
        <v>45795</v>
      </c>
      <c r="D493" t="inlineStr">
        <is>
          <t>DALARNAS LÄN</t>
        </is>
      </c>
      <c r="E493" t="inlineStr">
        <is>
          <t>ÄLVDALEN</t>
        </is>
      </c>
      <c r="F493" t="inlineStr">
        <is>
          <t>Sveaskog</t>
        </is>
      </c>
      <c r="G493" t="n">
        <v>20.8</v>
      </c>
      <c r="H493" t="n">
        <v>0</v>
      </c>
      <c r="I493" t="n">
        <v>0</v>
      </c>
      <c r="J493" t="n">
        <v>0</v>
      </c>
      <c r="K493" t="n">
        <v>0</v>
      </c>
      <c r="L493" t="n">
        <v>0</v>
      </c>
      <c r="M493" t="n">
        <v>0</v>
      </c>
      <c r="N493" t="n">
        <v>0</v>
      </c>
      <c r="O493" t="n">
        <v>0</v>
      </c>
      <c r="P493" t="n">
        <v>0</v>
      </c>
      <c r="Q493" t="n">
        <v>0</v>
      </c>
      <c r="R493" s="2" t="inlineStr"/>
    </row>
    <row r="494" ht="15" customHeight="1">
      <c r="A494" t="inlineStr">
        <is>
          <t>A 20561-2022</t>
        </is>
      </c>
      <c r="B494" s="1" t="n">
        <v>44700</v>
      </c>
      <c r="C494" s="1" t="n">
        <v>45795</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21280-2022</t>
        </is>
      </c>
      <c r="B495" s="1" t="n">
        <v>44705</v>
      </c>
      <c r="C495" s="1" t="n">
        <v>45795</v>
      </c>
      <c r="D495" t="inlineStr">
        <is>
          <t>DALARNAS LÄN</t>
        </is>
      </c>
      <c r="E495" t="inlineStr">
        <is>
          <t>ÄLVDALEN</t>
        </is>
      </c>
      <c r="G495" t="n">
        <v>4.5</v>
      </c>
      <c r="H495" t="n">
        <v>0</v>
      </c>
      <c r="I495" t="n">
        <v>0</v>
      </c>
      <c r="J495" t="n">
        <v>0</v>
      </c>
      <c r="K495" t="n">
        <v>0</v>
      </c>
      <c r="L495" t="n">
        <v>0</v>
      </c>
      <c r="M495" t="n">
        <v>0</v>
      </c>
      <c r="N495" t="n">
        <v>0</v>
      </c>
      <c r="O495" t="n">
        <v>0</v>
      </c>
      <c r="P495" t="n">
        <v>0</v>
      </c>
      <c r="Q495" t="n">
        <v>0</v>
      </c>
      <c r="R495" s="2" t="inlineStr"/>
    </row>
    <row r="496" ht="15" customHeight="1">
      <c r="A496" t="inlineStr">
        <is>
          <t>A 21279-2022</t>
        </is>
      </c>
      <c r="B496" s="1" t="n">
        <v>44705</v>
      </c>
      <c r="C496" s="1" t="n">
        <v>45795</v>
      </c>
      <c r="D496" t="inlineStr">
        <is>
          <t>DALARNAS LÄN</t>
        </is>
      </c>
      <c r="E496" t="inlineStr">
        <is>
          <t>ÄLVDALEN</t>
        </is>
      </c>
      <c r="G496" t="n">
        <v>4.6</v>
      </c>
      <c r="H496" t="n">
        <v>0</v>
      </c>
      <c r="I496" t="n">
        <v>0</v>
      </c>
      <c r="J496" t="n">
        <v>0</v>
      </c>
      <c r="K496" t="n">
        <v>0</v>
      </c>
      <c r="L496" t="n">
        <v>0</v>
      </c>
      <c r="M496" t="n">
        <v>0</v>
      </c>
      <c r="N496" t="n">
        <v>0</v>
      </c>
      <c r="O496" t="n">
        <v>0</v>
      </c>
      <c r="P496" t="n">
        <v>0</v>
      </c>
      <c r="Q496" t="n">
        <v>0</v>
      </c>
      <c r="R496" s="2" t="inlineStr"/>
    </row>
    <row r="497" ht="15" customHeight="1">
      <c r="A497" t="inlineStr">
        <is>
          <t>A 21630-2022</t>
        </is>
      </c>
      <c r="B497" s="1" t="n">
        <v>44706</v>
      </c>
      <c r="C497" s="1" t="n">
        <v>45795</v>
      </c>
      <c r="D497" t="inlineStr">
        <is>
          <t>DALARNAS LÄN</t>
        </is>
      </c>
      <c r="E497" t="inlineStr">
        <is>
          <t>ÄLVDALEN</t>
        </is>
      </c>
      <c r="F497" t="inlineStr">
        <is>
          <t>Övriga statliga verk och myndigheter</t>
        </is>
      </c>
      <c r="G497" t="n">
        <v>5.2</v>
      </c>
      <c r="H497" t="n">
        <v>0</v>
      </c>
      <c r="I497" t="n">
        <v>0</v>
      </c>
      <c r="J497" t="n">
        <v>0</v>
      </c>
      <c r="K497" t="n">
        <v>0</v>
      </c>
      <c r="L497" t="n">
        <v>0</v>
      </c>
      <c r="M497" t="n">
        <v>0</v>
      </c>
      <c r="N497" t="n">
        <v>0</v>
      </c>
      <c r="O497" t="n">
        <v>0</v>
      </c>
      <c r="P497" t="n">
        <v>0</v>
      </c>
      <c r="Q497" t="n">
        <v>0</v>
      </c>
      <c r="R497" s="2" t="inlineStr"/>
    </row>
    <row r="498" ht="15" customHeight="1">
      <c r="A498" t="inlineStr">
        <is>
          <t>A 22063-2022</t>
        </is>
      </c>
      <c r="B498" s="1" t="n">
        <v>44711</v>
      </c>
      <c r="C498" s="1" t="n">
        <v>45795</v>
      </c>
      <c r="D498" t="inlineStr">
        <is>
          <t>DALARNAS LÄN</t>
        </is>
      </c>
      <c r="E498" t="inlineStr">
        <is>
          <t>ÄLVDALEN</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22062-2022</t>
        </is>
      </c>
      <c r="B499" s="1" t="n">
        <v>44711</v>
      </c>
      <c r="C499" s="1" t="n">
        <v>45795</v>
      </c>
      <c r="D499" t="inlineStr">
        <is>
          <t>DALARNAS LÄN</t>
        </is>
      </c>
      <c r="E499" t="inlineStr">
        <is>
          <t>ÄLVDALEN</t>
        </is>
      </c>
      <c r="F499" t="inlineStr">
        <is>
          <t>Bergvik skog väst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25162-2022</t>
        </is>
      </c>
      <c r="B500" s="1" t="n">
        <v>44729</v>
      </c>
      <c r="C500" s="1" t="n">
        <v>45795</v>
      </c>
      <c r="D500" t="inlineStr">
        <is>
          <t>DALARNAS LÄN</t>
        </is>
      </c>
      <c r="E500" t="inlineStr">
        <is>
          <t>ÄLVDALEN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25121-2022</t>
        </is>
      </c>
      <c r="B501" s="1" t="n">
        <v>44729</v>
      </c>
      <c r="C501" s="1" t="n">
        <v>45795</v>
      </c>
      <c r="D501" t="inlineStr">
        <is>
          <t>DALARNAS LÄN</t>
        </is>
      </c>
      <c r="E501" t="inlineStr">
        <is>
          <t>ÄLVDALEN</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25602-2022</t>
        </is>
      </c>
      <c r="B502" s="1" t="n">
        <v>44732</v>
      </c>
      <c r="C502" s="1" t="n">
        <v>45795</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26622-2022</t>
        </is>
      </c>
      <c r="B503" s="1" t="n">
        <v>44739</v>
      </c>
      <c r="C503" s="1" t="n">
        <v>45795</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27480-2022</t>
        </is>
      </c>
      <c r="B504" s="1" t="n">
        <v>44742</v>
      </c>
      <c r="C504" s="1" t="n">
        <v>45795</v>
      </c>
      <c r="D504" t="inlineStr">
        <is>
          <t>DALARNAS LÄN</t>
        </is>
      </c>
      <c r="E504" t="inlineStr">
        <is>
          <t>ÄLVDALEN</t>
        </is>
      </c>
      <c r="F504" t="inlineStr">
        <is>
          <t>Bergvik skog väst AB</t>
        </is>
      </c>
      <c r="G504" t="n">
        <v>4.1</v>
      </c>
      <c r="H504" t="n">
        <v>0</v>
      </c>
      <c r="I504" t="n">
        <v>0</v>
      </c>
      <c r="J504" t="n">
        <v>0</v>
      </c>
      <c r="K504" t="n">
        <v>0</v>
      </c>
      <c r="L504" t="n">
        <v>0</v>
      </c>
      <c r="M504" t="n">
        <v>0</v>
      </c>
      <c r="N504" t="n">
        <v>0</v>
      </c>
      <c r="O504" t="n">
        <v>0</v>
      </c>
      <c r="P504" t="n">
        <v>0</v>
      </c>
      <c r="Q504" t="n">
        <v>0</v>
      </c>
      <c r="R504" s="2" t="inlineStr"/>
    </row>
    <row r="505" ht="15" customHeight="1">
      <c r="A505" t="inlineStr">
        <is>
          <t>A 27488-2022</t>
        </is>
      </c>
      <c r="B505" s="1" t="n">
        <v>44742</v>
      </c>
      <c r="C505" s="1" t="n">
        <v>45795</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29561-2022</t>
        </is>
      </c>
      <c r="B506" s="1" t="n">
        <v>44754</v>
      </c>
      <c r="C506" s="1" t="n">
        <v>45795</v>
      </c>
      <c r="D506" t="inlineStr">
        <is>
          <t>DALARNAS LÄN</t>
        </is>
      </c>
      <c r="E506" t="inlineStr">
        <is>
          <t>ÄLVDALEN</t>
        </is>
      </c>
      <c r="G506" t="n">
        <v>6.6</v>
      </c>
      <c r="H506" t="n">
        <v>0</v>
      </c>
      <c r="I506" t="n">
        <v>0</v>
      </c>
      <c r="J506" t="n">
        <v>0</v>
      </c>
      <c r="K506" t="n">
        <v>0</v>
      </c>
      <c r="L506" t="n">
        <v>0</v>
      </c>
      <c r="M506" t="n">
        <v>0</v>
      </c>
      <c r="N506" t="n">
        <v>0</v>
      </c>
      <c r="O506" t="n">
        <v>0</v>
      </c>
      <c r="P506" t="n">
        <v>0</v>
      </c>
      <c r="Q506" t="n">
        <v>0</v>
      </c>
      <c r="R506" s="2" t="inlineStr"/>
    </row>
    <row r="507" ht="15" customHeight="1">
      <c r="A507" t="inlineStr">
        <is>
          <t>A 29558-2022</t>
        </is>
      </c>
      <c r="B507" s="1" t="n">
        <v>44754</v>
      </c>
      <c r="C507" s="1" t="n">
        <v>45795</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29565-2022</t>
        </is>
      </c>
      <c r="B508" s="1" t="n">
        <v>44754</v>
      </c>
      <c r="C508" s="1" t="n">
        <v>45795</v>
      </c>
      <c r="D508" t="inlineStr">
        <is>
          <t>DALARNAS LÄN</t>
        </is>
      </c>
      <c r="E508" t="inlineStr">
        <is>
          <t>ÄLVDALEN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29566-2022</t>
        </is>
      </c>
      <c r="B509" s="1" t="n">
        <v>44754</v>
      </c>
      <c r="C509" s="1" t="n">
        <v>45795</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29711-2022</t>
        </is>
      </c>
      <c r="B510" s="1" t="n">
        <v>44755</v>
      </c>
      <c r="C510" s="1" t="n">
        <v>45795</v>
      </c>
      <c r="D510" t="inlineStr">
        <is>
          <t>DALARNAS LÄN</t>
        </is>
      </c>
      <c r="E510" t="inlineStr">
        <is>
          <t>ÄLVDALEN</t>
        </is>
      </c>
      <c r="G510" t="n">
        <v>8</v>
      </c>
      <c r="H510" t="n">
        <v>0</v>
      </c>
      <c r="I510" t="n">
        <v>0</v>
      </c>
      <c r="J510" t="n">
        <v>0</v>
      </c>
      <c r="K510" t="n">
        <v>0</v>
      </c>
      <c r="L510" t="n">
        <v>0</v>
      </c>
      <c r="M510" t="n">
        <v>0</v>
      </c>
      <c r="N510" t="n">
        <v>0</v>
      </c>
      <c r="O510" t="n">
        <v>0</v>
      </c>
      <c r="P510" t="n">
        <v>0</v>
      </c>
      <c r="Q510" t="n">
        <v>0</v>
      </c>
      <c r="R510" s="2" t="inlineStr"/>
    </row>
    <row r="511" ht="15" customHeight="1">
      <c r="A511" t="inlineStr">
        <is>
          <t>A 29713-2022</t>
        </is>
      </c>
      <c r="B511" s="1" t="n">
        <v>44755</v>
      </c>
      <c r="C511" s="1" t="n">
        <v>45795</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29804-2022</t>
        </is>
      </c>
      <c r="B512" s="1" t="n">
        <v>44755</v>
      </c>
      <c r="C512" s="1" t="n">
        <v>45795</v>
      </c>
      <c r="D512" t="inlineStr">
        <is>
          <t>DALARNAS LÄN</t>
        </is>
      </c>
      <c r="E512" t="inlineStr">
        <is>
          <t>ÄLVDALEN</t>
        </is>
      </c>
      <c r="F512" t="inlineStr">
        <is>
          <t>Allmännings- och besparingsskogar</t>
        </is>
      </c>
      <c r="G512" t="n">
        <v>11.4</v>
      </c>
      <c r="H512" t="n">
        <v>0</v>
      </c>
      <c r="I512" t="n">
        <v>0</v>
      </c>
      <c r="J512" t="n">
        <v>0</v>
      </c>
      <c r="K512" t="n">
        <v>0</v>
      </c>
      <c r="L512" t="n">
        <v>0</v>
      </c>
      <c r="M512" t="n">
        <v>0</v>
      </c>
      <c r="N512" t="n">
        <v>0</v>
      </c>
      <c r="O512" t="n">
        <v>0</v>
      </c>
      <c r="P512" t="n">
        <v>0</v>
      </c>
      <c r="Q512" t="n">
        <v>0</v>
      </c>
      <c r="R512" s="2" t="inlineStr"/>
    </row>
    <row r="513" ht="15" customHeight="1">
      <c r="A513" t="inlineStr">
        <is>
          <t>A 29710-2022</t>
        </is>
      </c>
      <c r="B513" s="1" t="n">
        <v>44755</v>
      </c>
      <c r="C513" s="1" t="n">
        <v>45795</v>
      </c>
      <c r="D513" t="inlineStr">
        <is>
          <t>DALARNAS LÄN</t>
        </is>
      </c>
      <c r="E513" t="inlineStr">
        <is>
          <t>ÄLVDALEN</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29806-2022</t>
        </is>
      </c>
      <c r="B514" s="1" t="n">
        <v>44755</v>
      </c>
      <c r="C514" s="1" t="n">
        <v>45795</v>
      </c>
      <c r="D514" t="inlineStr">
        <is>
          <t>DALARNAS LÄN</t>
        </is>
      </c>
      <c r="E514" t="inlineStr">
        <is>
          <t>ÄLVDALEN</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29716-2022</t>
        </is>
      </c>
      <c r="B515" s="1" t="n">
        <v>44755</v>
      </c>
      <c r="C515" s="1" t="n">
        <v>45795</v>
      </c>
      <c r="D515" t="inlineStr">
        <is>
          <t>DALARNAS LÄN</t>
        </is>
      </c>
      <c r="E515" t="inlineStr">
        <is>
          <t>ÄLVDALEN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29849-2022</t>
        </is>
      </c>
      <c r="B516" s="1" t="n">
        <v>44756</v>
      </c>
      <c r="C516" s="1" t="n">
        <v>45795</v>
      </c>
      <c r="D516" t="inlineStr">
        <is>
          <t>DALARNAS LÄN</t>
        </is>
      </c>
      <c r="E516" t="inlineStr">
        <is>
          <t>ÄLVDALEN</t>
        </is>
      </c>
      <c r="F516" t="inlineStr">
        <is>
          <t>Allmännings- och besparingsskogar</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29974-2022</t>
        </is>
      </c>
      <c r="B517" s="1" t="n">
        <v>44756</v>
      </c>
      <c r="C517" s="1" t="n">
        <v>45795</v>
      </c>
      <c r="D517" t="inlineStr">
        <is>
          <t>DALARNAS LÄN</t>
        </is>
      </c>
      <c r="E517" t="inlineStr">
        <is>
          <t>ÄLVDALEN</t>
        </is>
      </c>
      <c r="F517" t="inlineStr">
        <is>
          <t>Allmännings- och besparingsskogar</t>
        </is>
      </c>
      <c r="G517" t="n">
        <v>30</v>
      </c>
      <c r="H517" t="n">
        <v>0</v>
      </c>
      <c r="I517" t="n">
        <v>0</v>
      </c>
      <c r="J517" t="n">
        <v>0</v>
      </c>
      <c r="K517" t="n">
        <v>0</v>
      </c>
      <c r="L517" t="n">
        <v>0</v>
      </c>
      <c r="M517" t="n">
        <v>0</v>
      </c>
      <c r="N517" t="n">
        <v>0</v>
      </c>
      <c r="O517" t="n">
        <v>0</v>
      </c>
      <c r="P517" t="n">
        <v>0</v>
      </c>
      <c r="Q517" t="n">
        <v>0</v>
      </c>
      <c r="R517" s="2" t="inlineStr"/>
    </row>
    <row r="518" ht="15" customHeight="1">
      <c r="A518" t="inlineStr">
        <is>
          <t>A 30831-2022</t>
        </is>
      </c>
      <c r="B518" s="1" t="n">
        <v>44767</v>
      </c>
      <c r="C518" s="1" t="n">
        <v>45795</v>
      </c>
      <c r="D518" t="inlineStr">
        <is>
          <t>DALARNAS LÄN</t>
        </is>
      </c>
      <c r="E518" t="inlineStr">
        <is>
          <t>ÄLVDALEN</t>
        </is>
      </c>
      <c r="F518" t="inlineStr">
        <is>
          <t>Allmännings- och besparingsskogar</t>
        </is>
      </c>
      <c r="G518" t="n">
        <v>22.7</v>
      </c>
      <c r="H518" t="n">
        <v>0</v>
      </c>
      <c r="I518" t="n">
        <v>0</v>
      </c>
      <c r="J518" t="n">
        <v>0</v>
      </c>
      <c r="K518" t="n">
        <v>0</v>
      </c>
      <c r="L518" t="n">
        <v>0</v>
      </c>
      <c r="M518" t="n">
        <v>0</v>
      </c>
      <c r="N518" t="n">
        <v>0</v>
      </c>
      <c r="O518" t="n">
        <v>0</v>
      </c>
      <c r="P518" t="n">
        <v>0</v>
      </c>
      <c r="Q518" t="n">
        <v>0</v>
      </c>
      <c r="R518" s="2" t="inlineStr"/>
    </row>
    <row r="519" ht="15" customHeight="1">
      <c r="A519" t="inlineStr">
        <is>
          <t>A 31266-2022</t>
        </is>
      </c>
      <c r="B519" s="1" t="n">
        <v>44771</v>
      </c>
      <c r="C519" s="1" t="n">
        <v>45795</v>
      </c>
      <c r="D519" t="inlineStr">
        <is>
          <t>DALARNAS LÄN</t>
        </is>
      </c>
      <c r="E519" t="inlineStr">
        <is>
          <t>ÄLVDALEN</t>
        </is>
      </c>
      <c r="F519" t="inlineStr">
        <is>
          <t>Allmännings- och besparingsskogar</t>
        </is>
      </c>
      <c r="G519" t="n">
        <v>20.8</v>
      </c>
      <c r="H519" t="n">
        <v>0</v>
      </c>
      <c r="I519" t="n">
        <v>0</v>
      </c>
      <c r="J519" t="n">
        <v>0</v>
      </c>
      <c r="K519" t="n">
        <v>0</v>
      </c>
      <c r="L519" t="n">
        <v>0</v>
      </c>
      <c r="M519" t="n">
        <v>0</v>
      </c>
      <c r="N519" t="n">
        <v>0</v>
      </c>
      <c r="O519" t="n">
        <v>0</v>
      </c>
      <c r="P519" t="n">
        <v>0</v>
      </c>
      <c r="Q519" t="n">
        <v>0</v>
      </c>
      <c r="R519" s="2" t="inlineStr"/>
    </row>
    <row r="520" ht="15" customHeight="1">
      <c r="A520" t="inlineStr">
        <is>
          <t>A 32385-2022</t>
        </is>
      </c>
      <c r="B520" s="1" t="n">
        <v>44782</v>
      </c>
      <c r="C520" s="1" t="n">
        <v>45795</v>
      </c>
      <c r="D520" t="inlineStr">
        <is>
          <t>DALARNAS LÄN</t>
        </is>
      </c>
      <c r="E520" t="inlineStr">
        <is>
          <t>ÄLVDALEN</t>
        </is>
      </c>
      <c r="F520" t="inlineStr">
        <is>
          <t>Övriga statliga verk och myndigheter</t>
        </is>
      </c>
      <c r="G520" t="n">
        <v>9</v>
      </c>
      <c r="H520" t="n">
        <v>0</v>
      </c>
      <c r="I520" t="n">
        <v>0</v>
      </c>
      <c r="J520" t="n">
        <v>0</v>
      </c>
      <c r="K520" t="n">
        <v>0</v>
      </c>
      <c r="L520" t="n">
        <v>0</v>
      </c>
      <c r="M520" t="n">
        <v>0</v>
      </c>
      <c r="N520" t="n">
        <v>0</v>
      </c>
      <c r="O520" t="n">
        <v>0</v>
      </c>
      <c r="P520" t="n">
        <v>0</v>
      </c>
      <c r="Q520" t="n">
        <v>0</v>
      </c>
      <c r="R520" s="2" t="inlineStr"/>
    </row>
    <row r="521" ht="15" customHeight="1">
      <c r="A521" t="inlineStr">
        <is>
          <t>A 32467-2022</t>
        </is>
      </c>
      <c r="B521" s="1" t="n">
        <v>44782</v>
      </c>
      <c r="C521" s="1" t="n">
        <v>45795</v>
      </c>
      <c r="D521" t="inlineStr">
        <is>
          <t>DALARNAS LÄN</t>
        </is>
      </c>
      <c r="E521" t="inlineStr">
        <is>
          <t>ÄLVDALEN</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32468-2022</t>
        </is>
      </c>
      <c r="B522" s="1" t="n">
        <v>44782</v>
      </c>
      <c r="C522" s="1" t="n">
        <v>45795</v>
      </c>
      <c r="D522" t="inlineStr">
        <is>
          <t>DALARNAS LÄN</t>
        </is>
      </c>
      <c r="E522" t="inlineStr">
        <is>
          <t>ÄLVDALEN</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32848-2022</t>
        </is>
      </c>
      <c r="B523" s="1" t="n">
        <v>44784</v>
      </c>
      <c r="C523" s="1" t="n">
        <v>45795</v>
      </c>
      <c r="D523" t="inlineStr">
        <is>
          <t>DALARNAS LÄN</t>
        </is>
      </c>
      <c r="E523" t="inlineStr">
        <is>
          <t>ÄLVDALEN</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32894-2022</t>
        </is>
      </c>
      <c r="B524" s="1" t="n">
        <v>44784</v>
      </c>
      <c r="C524" s="1" t="n">
        <v>45795</v>
      </c>
      <c r="D524" t="inlineStr">
        <is>
          <t>DALARNAS LÄN</t>
        </is>
      </c>
      <c r="E524" t="inlineStr">
        <is>
          <t>ÄLVDALEN</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33425-2022</t>
        </is>
      </c>
      <c r="B525" s="1" t="n">
        <v>44788</v>
      </c>
      <c r="C525" s="1" t="n">
        <v>45795</v>
      </c>
      <c r="D525" t="inlineStr">
        <is>
          <t>DALARNAS LÄN</t>
        </is>
      </c>
      <c r="E525" t="inlineStr">
        <is>
          <t>ÄLVDALEN</t>
        </is>
      </c>
      <c r="F525" t="inlineStr">
        <is>
          <t>Bergvik skog öst AB</t>
        </is>
      </c>
      <c r="G525" t="n">
        <v>21.2</v>
      </c>
      <c r="H525" t="n">
        <v>0</v>
      </c>
      <c r="I525" t="n">
        <v>0</v>
      </c>
      <c r="J525" t="n">
        <v>0</v>
      </c>
      <c r="K525" t="n">
        <v>0</v>
      </c>
      <c r="L525" t="n">
        <v>0</v>
      </c>
      <c r="M525" t="n">
        <v>0</v>
      </c>
      <c r="N525" t="n">
        <v>0</v>
      </c>
      <c r="O525" t="n">
        <v>0</v>
      </c>
      <c r="P525" t="n">
        <v>0</v>
      </c>
      <c r="Q525" t="n">
        <v>0</v>
      </c>
      <c r="R525" s="2" t="inlineStr"/>
    </row>
    <row r="526" ht="15" customHeight="1">
      <c r="A526" t="inlineStr">
        <is>
          <t>A 36161-2022</t>
        </is>
      </c>
      <c r="B526" s="1" t="n">
        <v>44803</v>
      </c>
      <c r="C526" s="1" t="n">
        <v>45795</v>
      </c>
      <c r="D526" t="inlineStr">
        <is>
          <t>DALARNAS LÄN</t>
        </is>
      </c>
      <c r="E526" t="inlineStr">
        <is>
          <t>ÄLVDALEN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36513-2022</t>
        </is>
      </c>
      <c r="B527" s="1" t="n">
        <v>44804</v>
      </c>
      <c r="C527" s="1" t="n">
        <v>45795</v>
      </c>
      <c r="D527" t="inlineStr">
        <is>
          <t>DALARNAS LÄN</t>
        </is>
      </c>
      <c r="E527" t="inlineStr">
        <is>
          <t>ÄLVDALEN</t>
        </is>
      </c>
      <c r="G527" t="n">
        <v>3.1</v>
      </c>
      <c r="H527" t="n">
        <v>0</v>
      </c>
      <c r="I527" t="n">
        <v>0</v>
      </c>
      <c r="J527" t="n">
        <v>0</v>
      </c>
      <c r="K527" t="n">
        <v>0</v>
      </c>
      <c r="L527" t="n">
        <v>0</v>
      </c>
      <c r="M527" t="n">
        <v>0</v>
      </c>
      <c r="N527" t="n">
        <v>0</v>
      </c>
      <c r="O527" t="n">
        <v>0</v>
      </c>
      <c r="P527" t="n">
        <v>0</v>
      </c>
      <c r="Q527" t="n">
        <v>0</v>
      </c>
      <c r="R527" s="2" t="inlineStr"/>
    </row>
    <row r="528" ht="15" customHeight="1">
      <c r="A528" t="inlineStr">
        <is>
          <t>A 37399-2022</t>
        </is>
      </c>
      <c r="B528" s="1" t="n">
        <v>44809</v>
      </c>
      <c r="C528" s="1" t="n">
        <v>45795</v>
      </c>
      <c r="D528" t="inlineStr">
        <is>
          <t>DALARNAS LÄN</t>
        </is>
      </c>
      <c r="E528" t="inlineStr">
        <is>
          <t>ÄLVDALEN</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37740-2022</t>
        </is>
      </c>
      <c r="B529" s="1" t="n">
        <v>44810</v>
      </c>
      <c r="C529" s="1" t="n">
        <v>45795</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37957-2022</t>
        </is>
      </c>
      <c r="B530" s="1" t="n">
        <v>44811</v>
      </c>
      <c r="C530" s="1" t="n">
        <v>45795</v>
      </c>
      <c r="D530" t="inlineStr">
        <is>
          <t>DALARNAS LÄN</t>
        </is>
      </c>
      <c r="E530" t="inlineStr">
        <is>
          <t>ÄLVDALEN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37959-2022</t>
        </is>
      </c>
      <c r="B531" s="1" t="n">
        <v>44811</v>
      </c>
      <c r="C531" s="1" t="n">
        <v>45795</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38957-2022</t>
        </is>
      </c>
      <c r="B532" s="1" t="n">
        <v>44816</v>
      </c>
      <c r="C532" s="1" t="n">
        <v>45795</v>
      </c>
      <c r="D532" t="inlineStr">
        <is>
          <t>DALARNAS LÄN</t>
        </is>
      </c>
      <c r="E532" t="inlineStr">
        <is>
          <t>ÄLVDALEN</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39308-2022</t>
        </is>
      </c>
      <c r="B533" s="1" t="n">
        <v>44817</v>
      </c>
      <c r="C533" s="1" t="n">
        <v>45795</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39311-2022</t>
        </is>
      </c>
      <c r="B534" s="1" t="n">
        <v>44817</v>
      </c>
      <c r="C534" s="1" t="n">
        <v>45795</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v>
      </c>
      <c r="C535" s="1" t="n">
        <v>45795</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40726-2022</t>
        </is>
      </c>
      <c r="B536" s="1" t="n">
        <v>44824</v>
      </c>
      <c r="C536" s="1" t="n">
        <v>45795</v>
      </c>
      <c r="D536" t="inlineStr">
        <is>
          <t>DALARNAS LÄN</t>
        </is>
      </c>
      <c r="E536" t="inlineStr">
        <is>
          <t>ÄLVDALEN</t>
        </is>
      </c>
      <c r="F536" t="inlineStr">
        <is>
          <t>Övriga statliga verk och myndigheter</t>
        </is>
      </c>
      <c r="G536" t="n">
        <v>12.5</v>
      </c>
      <c r="H536" t="n">
        <v>0</v>
      </c>
      <c r="I536" t="n">
        <v>0</v>
      </c>
      <c r="J536" t="n">
        <v>0</v>
      </c>
      <c r="K536" t="n">
        <v>0</v>
      </c>
      <c r="L536" t="n">
        <v>0</v>
      </c>
      <c r="M536" t="n">
        <v>0</v>
      </c>
      <c r="N536" t="n">
        <v>0</v>
      </c>
      <c r="O536" t="n">
        <v>0</v>
      </c>
      <c r="P536" t="n">
        <v>0</v>
      </c>
      <c r="Q536" t="n">
        <v>0</v>
      </c>
      <c r="R536" s="2" t="inlineStr"/>
    </row>
    <row r="537" ht="15" customHeight="1">
      <c r="A537" t="inlineStr">
        <is>
          <t>A 40723-2022</t>
        </is>
      </c>
      <c r="B537" s="1" t="n">
        <v>44824</v>
      </c>
      <c r="C537" s="1" t="n">
        <v>45795</v>
      </c>
      <c r="D537" t="inlineStr">
        <is>
          <t>DALARNAS LÄN</t>
        </is>
      </c>
      <c r="E537" t="inlineStr">
        <is>
          <t>ÄLVDALEN</t>
        </is>
      </c>
      <c r="F537" t="inlineStr">
        <is>
          <t>Övriga statliga verk och myndigheter</t>
        </is>
      </c>
      <c r="G537" t="n">
        <v>14.7</v>
      </c>
      <c r="H537" t="n">
        <v>0</v>
      </c>
      <c r="I537" t="n">
        <v>0</v>
      </c>
      <c r="J537" t="n">
        <v>0</v>
      </c>
      <c r="K537" t="n">
        <v>0</v>
      </c>
      <c r="L537" t="n">
        <v>0</v>
      </c>
      <c r="M537" t="n">
        <v>0</v>
      </c>
      <c r="N537" t="n">
        <v>0</v>
      </c>
      <c r="O537" t="n">
        <v>0</v>
      </c>
      <c r="P537" t="n">
        <v>0</v>
      </c>
      <c r="Q537" t="n">
        <v>0</v>
      </c>
      <c r="R537" s="2" t="inlineStr"/>
    </row>
    <row r="538" ht="15" customHeight="1">
      <c r="A538" t="inlineStr">
        <is>
          <t>A 41856-2022</t>
        </is>
      </c>
      <c r="B538" s="1" t="n">
        <v>44829</v>
      </c>
      <c r="C538" s="1" t="n">
        <v>45795</v>
      </c>
      <c r="D538" t="inlineStr">
        <is>
          <t>DALARNAS LÄN</t>
        </is>
      </c>
      <c r="E538" t="inlineStr">
        <is>
          <t>ÄLVDALEN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41855-2022</t>
        </is>
      </c>
      <c r="B539" s="1" t="n">
        <v>44829</v>
      </c>
      <c r="C539" s="1" t="n">
        <v>45795</v>
      </c>
      <c r="D539" t="inlineStr">
        <is>
          <t>DALARNAS LÄN</t>
        </is>
      </c>
      <c r="E539" t="inlineStr">
        <is>
          <t>ÄLVDALEN</t>
        </is>
      </c>
      <c r="G539" t="n">
        <v>19.3</v>
      </c>
      <c r="H539" t="n">
        <v>0</v>
      </c>
      <c r="I539" t="n">
        <v>0</v>
      </c>
      <c r="J539" t="n">
        <v>0</v>
      </c>
      <c r="K539" t="n">
        <v>0</v>
      </c>
      <c r="L539" t="n">
        <v>0</v>
      </c>
      <c r="M539" t="n">
        <v>0</v>
      </c>
      <c r="N539" t="n">
        <v>0</v>
      </c>
      <c r="O539" t="n">
        <v>0</v>
      </c>
      <c r="P539" t="n">
        <v>0</v>
      </c>
      <c r="Q539" t="n">
        <v>0</v>
      </c>
      <c r="R539" s="2" t="inlineStr"/>
    </row>
    <row r="540" ht="15" customHeight="1">
      <c r="A540" t="inlineStr">
        <is>
          <t>A 43191-2022</t>
        </is>
      </c>
      <c r="B540" s="1" t="n">
        <v>44834</v>
      </c>
      <c r="C540" s="1" t="n">
        <v>45795</v>
      </c>
      <c r="D540" t="inlineStr">
        <is>
          <t>DALARNAS LÄN</t>
        </is>
      </c>
      <c r="E540" t="inlineStr">
        <is>
          <t>ÄLVDALEN</t>
        </is>
      </c>
      <c r="G540" t="n">
        <v>1.3</v>
      </c>
      <c r="H540" t="n">
        <v>0</v>
      </c>
      <c r="I540" t="n">
        <v>0</v>
      </c>
      <c r="J540" t="n">
        <v>0</v>
      </c>
      <c r="K540" t="n">
        <v>0</v>
      </c>
      <c r="L540" t="n">
        <v>0</v>
      </c>
      <c r="M540" t="n">
        <v>0</v>
      </c>
      <c r="N540" t="n">
        <v>0</v>
      </c>
      <c r="O540" t="n">
        <v>0</v>
      </c>
      <c r="P540" t="n">
        <v>0</v>
      </c>
      <c r="Q540" t="n">
        <v>0</v>
      </c>
      <c r="R540" s="2" t="inlineStr"/>
    </row>
    <row r="541" ht="15" customHeight="1">
      <c r="A541" t="inlineStr">
        <is>
          <t>A 43649-2022</t>
        </is>
      </c>
      <c r="B541" s="1" t="n">
        <v>44837</v>
      </c>
      <c r="C541" s="1" t="n">
        <v>45795</v>
      </c>
      <c r="D541" t="inlineStr">
        <is>
          <t>DALARNAS LÄN</t>
        </is>
      </c>
      <c r="E541" t="inlineStr">
        <is>
          <t>ÄLVDALEN</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43628-2022</t>
        </is>
      </c>
      <c r="B542" s="1" t="n">
        <v>44837</v>
      </c>
      <c r="C542" s="1" t="n">
        <v>45795</v>
      </c>
      <c r="D542" t="inlineStr">
        <is>
          <t>DALARNAS LÄN</t>
        </is>
      </c>
      <c r="E542" t="inlineStr">
        <is>
          <t>ÄLVDALEN</t>
        </is>
      </c>
      <c r="G542" t="n">
        <v>5.8</v>
      </c>
      <c r="H542" t="n">
        <v>0</v>
      </c>
      <c r="I542" t="n">
        <v>0</v>
      </c>
      <c r="J542" t="n">
        <v>0</v>
      </c>
      <c r="K542" t="n">
        <v>0</v>
      </c>
      <c r="L542" t="n">
        <v>0</v>
      </c>
      <c r="M542" t="n">
        <v>0</v>
      </c>
      <c r="N542" t="n">
        <v>0</v>
      </c>
      <c r="O542" t="n">
        <v>0</v>
      </c>
      <c r="P542" t="n">
        <v>0</v>
      </c>
      <c r="Q542" t="n">
        <v>0</v>
      </c>
      <c r="R542" s="2" t="inlineStr"/>
    </row>
    <row r="543" ht="15" customHeight="1">
      <c r="A543" t="inlineStr">
        <is>
          <t>A 43647-2022</t>
        </is>
      </c>
      <c r="B543" s="1" t="n">
        <v>44837</v>
      </c>
      <c r="C543" s="1" t="n">
        <v>45795</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43616-2022</t>
        </is>
      </c>
      <c r="B544" s="1" t="n">
        <v>44837</v>
      </c>
      <c r="C544" s="1" t="n">
        <v>45795</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44119-2022</t>
        </is>
      </c>
      <c r="B545" s="1" t="n">
        <v>44839</v>
      </c>
      <c r="C545" s="1" t="n">
        <v>45795</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45044-2022</t>
        </is>
      </c>
      <c r="B546" s="1" t="n">
        <v>44841</v>
      </c>
      <c r="C546" s="1" t="n">
        <v>45795</v>
      </c>
      <c r="D546" t="inlineStr">
        <is>
          <t>DALARNAS LÄN</t>
        </is>
      </c>
      <c r="E546" t="inlineStr">
        <is>
          <t>ÄLVDALEN</t>
        </is>
      </c>
      <c r="F546" t="inlineStr">
        <is>
          <t>Bergvik skog väst AB</t>
        </is>
      </c>
      <c r="G546" t="n">
        <v>8.9</v>
      </c>
      <c r="H546" t="n">
        <v>0</v>
      </c>
      <c r="I546" t="n">
        <v>0</v>
      </c>
      <c r="J546" t="n">
        <v>0</v>
      </c>
      <c r="K546" t="n">
        <v>0</v>
      </c>
      <c r="L546" t="n">
        <v>0</v>
      </c>
      <c r="M546" t="n">
        <v>0</v>
      </c>
      <c r="N546" t="n">
        <v>0</v>
      </c>
      <c r="O546" t="n">
        <v>0</v>
      </c>
      <c r="P546" t="n">
        <v>0</v>
      </c>
      <c r="Q546" t="n">
        <v>0</v>
      </c>
      <c r="R546" s="2" t="inlineStr"/>
    </row>
    <row r="547" ht="15" customHeight="1">
      <c r="A547" t="inlineStr">
        <is>
          <t>A 45050-2022</t>
        </is>
      </c>
      <c r="B547" s="1" t="n">
        <v>44841</v>
      </c>
      <c r="C547" s="1" t="n">
        <v>45795</v>
      </c>
      <c r="D547" t="inlineStr">
        <is>
          <t>DALARNAS LÄN</t>
        </is>
      </c>
      <c r="E547" t="inlineStr">
        <is>
          <t>ÄLVDALEN</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45049-2022</t>
        </is>
      </c>
      <c r="B548" s="1" t="n">
        <v>44841</v>
      </c>
      <c r="C548" s="1" t="n">
        <v>45795</v>
      </c>
      <c r="D548" t="inlineStr">
        <is>
          <t>DALARNAS LÄN</t>
        </is>
      </c>
      <c r="E548" t="inlineStr">
        <is>
          <t>ÄLVDALEN</t>
        </is>
      </c>
      <c r="F548" t="inlineStr">
        <is>
          <t>Bergvik skog väst AB</t>
        </is>
      </c>
      <c r="G548" t="n">
        <v>19.8</v>
      </c>
      <c r="H548" t="n">
        <v>0</v>
      </c>
      <c r="I548" t="n">
        <v>0</v>
      </c>
      <c r="J548" t="n">
        <v>0</v>
      </c>
      <c r="K548" t="n">
        <v>0</v>
      </c>
      <c r="L548" t="n">
        <v>0</v>
      </c>
      <c r="M548" t="n">
        <v>0</v>
      </c>
      <c r="N548" t="n">
        <v>0</v>
      </c>
      <c r="O548" t="n">
        <v>0</v>
      </c>
      <c r="P548" t="n">
        <v>0</v>
      </c>
      <c r="Q548" t="n">
        <v>0</v>
      </c>
      <c r="R548" s="2" t="inlineStr"/>
    </row>
    <row r="549" ht="15" customHeight="1">
      <c r="A549" t="inlineStr">
        <is>
          <t>A 45167-2022</t>
        </is>
      </c>
      <c r="B549" s="1" t="n">
        <v>44844</v>
      </c>
      <c r="C549" s="1" t="n">
        <v>45795</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45228-2022</t>
        </is>
      </c>
      <c r="B550" s="1" t="n">
        <v>44844</v>
      </c>
      <c r="C550" s="1" t="n">
        <v>45795</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45227-2022</t>
        </is>
      </c>
      <c r="B551" s="1" t="n">
        <v>44844</v>
      </c>
      <c r="C551" s="1" t="n">
        <v>45795</v>
      </c>
      <c r="D551" t="inlineStr">
        <is>
          <t>DALARNAS LÄN</t>
        </is>
      </c>
      <c r="E551" t="inlineStr">
        <is>
          <t>ÄLVDALEN</t>
        </is>
      </c>
      <c r="F551" t="inlineStr">
        <is>
          <t>Bergvik skog väst AB</t>
        </is>
      </c>
      <c r="G551" t="n">
        <v>22.3</v>
      </c>
      <c r="H551" t="n">
        <v>0</v>
      </c>
      <c r="I551" t="n">
        <v>0</v>
      </c>
      <c r="J551" t="n">
        <v>0</v>
      </c>
      <c r="K551" t="n">
        <v>0</v>
      </c>
      <c r="L551" t="n">
        <v>0</v>
      </c>
      <c r="M551" t="n">
        <v>0</v>
      </c>
      <c r="N551" t="n">
        <v>0</v>
      </c>
      <c r="O551" t="n">
        <v>0</v>
      </c>
      <c r="P551" t="n">
        <v>0</v>
      </c>
      <c r="Q551" t="n">
        <v>0</v>
      </c>
      <c r="R551" s="2" t="inlineStr"/>
    </row>
    <row r="552" ht="15" customHeight="1">
      <c r="A552" t="inlineStr">
        <is>
          <t>A 45245-2022</t>
        </is>
      </c>
      <c r="B552" s="1" t="n">
        <v>44844</v>
      </c>
      <c r="C552" s="1" t="n">
        <v>45795</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45157-2022</t>
        </is>
      </c>
      <c r="B553" s="1" t="n">
        <v>44844</v>
      </c>
      <c r="C553" s="1" t="n">
        <v>45795</v>
      </c>
      <c r="D553" t="inlineStr">
        <is>
          <t>DALARNAS LÄN</t>
        </is>
      </c>
      <c r="E553" t="inlineStr">
        <is>
          <t>ÄLVDALEN</t>
        </is>
      </c>
      <c r="G553" t="n">
        <v>7.9</v>
      </c>
      <c r="H553" t="n">
        <v>0</v>
      </c>
      <c r="I553" t="n">
        <v>0</v>
      </c>
      <c r="J553" t="n">
        <v>0</v>
      </c>
      <c r="K553" t="n">
        <v>0</v>
      </c>
      <c r="L553" t="n">
        <v>0</v>
      </c>
      <c r="M553" t="n">
        <v>0</v>
      </c>
      <c r="N553" t="n">
        <v>0</v>
      </c>
      <c r="O553" t="n">
        <v>0</v>
      </c>
      <c r="P553" t="n">
        <v>0</v>
      </c>
      <c r="Q553" t="n">
        <v>0</v>
      </c>
      <c r="R553" s="2" t="inlineStr"/>
    </row>
    <row r="554" ht="15" customHeight="1">
      <c r="A554" t="inlineStr">
        <is>
          <t>A 45165-2022</t>
        </is>
      </c>
      <c r="B554" s="1" t="n">
        <v>44844</v>
      </c>
      <c r="C554" s="1" t="n">
        <v>45795</v>
      </c>
      <c r="D554" t="inlineStr">
        <is>
          <t>DALARNAS LÄN</t>
        </is>
      </c>
      <c r="E554" t="inlineStr">
        <is>
          <t>ÄLVDALEN</t>
        </is>
      </c>
      <c r="G554" t="n">
        <v>5.2</v>
      </c>
      <c r="H554" t="n">
        <v>0</v>
      </c>
      <c r="I554" t="n">
        <v>0</v>
      </c>
      <c r="J554" t="n">
        <v>0</v>
      </c>
      <c r="K554" t="n">
        <v>0</v>
      </c>
      <c r="L554" t="n">
        <v>0</v>
      </c>
      <c r="M554" t="n">
        <v>0</v>
      </c>
      <c r="N554" t="n">
        <v>0</v>
      </c>
      <c r="O554" t="n">
        <v>0</v>
      </c>
      <c r="P554" t="n">
        <v>0</v>
      </c>
      <c r="Q554" t="n">
        <v>0</v>
      </c>
      <c r="R554" s="2" t="inlineStr"/>
    </row>
    <row r="555" ht="15" customHeight="1">
      <c r="A555" t="inlineStr">
        <is>
          <t>A 45233-2022</t>
        </is>
      </c>
      <c r="B555" s="1" t="n">
        <v>44844</v>
      </c>
      <c r="C555" s="1" t="n">
        <v>45795</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45783-2022</t>
        </is>
      </c>
      <c r="B556" s="1" t="n">
        <v>44846</v>
      </c>
      <c r="C556" s="1" t="n">
        <v>45795</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45785-2022</t>
        </is>
      </c>
      <c r="B557" s="1" t="n">
        <v>44846</v>
      </c>
      <c r="C557" s="1" t="n">
        <v>45795</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47878-2022</t>
        </is>
      </c>
      <c r="B558" s="1" t="n">
        <v>44855</v>
      </c>
      <c r="C558" s="1" t="n">
        <v>45795</v>
      </c>
      <c r="D558" t="inlineStr">
        <is>
          <t>DALARNAS LÄN</t>
        </is>
      </c>
      <c r="E558" t="inlineStr">
        <is>
          <t>ÄLVDALEN</t>
        </is>
      </c>
      <c r="G558" t="n">
        <v>10.2</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45795</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50037-2022</t>
        </is>
      </c>
      <c r="B560" s="1" t="n">
        <v>44865</v>
      </c>
      <c r="C560" s="1" t="n">
        <v>45795</v>
      </c>
      <c r="D560" t="inlineStr">
        <is>
          <t>DALARNAS LÄN</t>
        </is>
      </c>
      <c r="E560" t="inlineStr">
        <is>
          <t>ÄLVDALEN</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50209-2022</t>
        </is>
      </c>
      <c r="B561" s="1" t="n">
        <v>44865</v>
      </c>
      <c r="C561" s="1" t="n">
        <v>45795</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50464-2022</t>
        </is>
      </c>
      <c r="B562" s="1" t="n">
        <v>44866</v>
      </c>
      <c r="C562" s="1" t="n">
        <v>45795</v>
      </c>
      <c r="D562" t="inlineStr">
        <is>
          <t>DALARNAS LÄN</t>
        </is>
      </c>
      <c r="E562" t="inlineStr">
        <is>
          <t>ÄLVDALEN</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50885-2022</t>
        </is>
      </c>
      <c r="B563" s="1" t="n">
        <v>44867</v>
      </c>
      <c r="C563" s="1" t="n">
        <v>45795</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50774-2022</t>
        </is>
      </c>
      <c r="B564" s="1" t="n">
        <v>44867</v>
      </c>
      <c r="C564" s="1" t="n">
        <v>45795</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51259-2022</t>
        </is>
      </c>
      <c r="B565" s="1" t="n">
        <v>44868</v>
      </c>
      <c r="C565" s="1" t="n">
        <v>45795</v>
      </c>
      <c r="D565" t="inlineStr">
        <is>
          <t>DALARNAS LÄN</t>
        </is>
      </c>
      <c r="E565" t="inlineStr">
        <is>
          <t>ÄLVDALEN</t>
        </is>
      </c>
      <c r="F565" t="inlineStr">
        <is>
          <t>Övriga statliga verk och myndigheter</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51193-2022</t>
        </is>
      </c>
      <c r="B566" s="1" t="n">
        <v>44868</v>
      </c>
      <c r="C566" s="1" t="n">
        <v>45795</v>
      </c>
      <c r="D566" t="inlineStr">
        <is>
          <t>DALARNAS LÄN</t>
        </is>
      </c>
      <c r="E566" t="inlineStr">
        <is>
          <t>ÄLVDALEN</t>
        </is>
      </c>
      <c r="F566" t="inlineStr">
        <is>
          <t>Övriga Aktiebolag</t>
        </is>
      </c>
      <c r="G566" t="n">
        <v>17.7</v>
      </c>
      <c r="H566" t="n">
        <v>0</v>
      </c>
      <c r="I566" t="n">
        <v>0</v>
      </c>
      <c r="J566" t="n">
        <v>0</v>
      </c>
      <c r="K566" t="n">
        <v>0</v>
      </c>
      <c r="L566" t="n">
        <v>0</v>
      </c>
      <c r="M566" t="n">
        <v>0</v>
      </c>
      <c r="N566" t="n">
        <v>0</v>
      </c>
      <c r="O566" t="n">
        <v>0</v>
      </c>
      <c r="P566" t="n">
        <v>0</v>
      </c>
      <c r="Q566" t="n">
        <v>0</v>
      </c>
      <c r="R566" s="2" t="inlineStr"/>
    </row>
    <row r="567" ht="15" customHeight="1">
      <c r="A567" t="inlineStr">
        <is>
          <t>A 51484-2022</t>
        </is>
      </c>
      <c r="B567" s="1" t="n">
        <v>44869</v>
      </c>
      <c r="C567" s="1" t="n">
        <v>45795</v>
      </c>
      <c r="D567" t="inlineStr">
        <is>
          <t>DALARNAS LÄN</t>
        </is>
      </c>
      <c r="E567" t="inlineStr">
        <is>
          <t>ÄLVDALEN</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51504-2022</t>
        </is>
      </c>
      <c r="B568" s="1" t="n">
        <v>44869</v>
      </c>
      <c r="C568" s="1" t="n">
        <v>45795</v>
      </c>
      <c r="D568" t="inlineStr">
        <is>
          <t>DALARNAS LÄN</t>
        </is>
      </c>
      <c r="E568" t="inlineStr">
        <is>
          <t>ÄLVDALEN</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51483-2022</t>
        </is>
      </c>
      <c r="B569" s="1" t="n">
        <v>44869</v>
      </c>
      <c r="C569" s="1" t="n">
        <v>45795</v>
      </c>
      <c r="D569" t="inlineStr">
        <is>
          <t>DALARNAS LÄN</t>
        </is>
      </c>
      <c r="E569" t="inlineStr">
        <is>
          <t>ÄLVDALEN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52107-2022</t>
        </is>
      </c>
      <c r="B570" s="1" t="n">
        <v>44873</v>
      </c>
      <c r="C570" s="1" t="n">
        <v>45795</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52064-2022</t>
        </is>
      </c>
      <c r="B571" s="1" t="n">
        <v>44873</v>
      </c>
      <c r="C571" s="1" t="n">
        <v>45795</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52060-2022</t>
        </is>
      </c>
      <c r="B572" s="1" t="n">
        <v>44873</v>
      </c>
      <c r="C572" s="1" t="n">
        <v>45795</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52249-2022</t>
        </is>
      </c>
      <c r="B573" s="1" t="n">
        <v>44873</v>
      </c>
      <c r="C573" s="1" t="n">
        <v>45795</v>
      </c>
      <c r="D573" t="inlineStr">
        <is>
          <t>DALARNAS LÄN</t>
        </is>
      </c>
      <c r="E573" t="inlineStr">
        <is>
          <t>ÄLVDALEN</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52503-2022</t>
        </is>
      </c>
      <c r="B574" s="1" t="n">
        <v>44874</v>
      </c>
      <c r="C574" s="1" t="n">
        <v>45795</v>
      </c>
      <c r="D574" t="inlineStr">
        <is>
          <t>DALARNAS LÄN</t>
        </is>
      </c>
      <c r="E574" t="inlineStr">
        <is>
          <t>ÄLVDALEN</t>
        </is>
      </c>
      <c r="G574" t="n">
        <v>0.8</v>
      </c>
      <c r="H574" t="n">
        <v>0</v>
      </c>
      <c r="I574" t="n">
        <v>0</v>
      </c>
      <c r="J574" t="n">
        <v>0</v>
      </c>
      <c r="K574" t="n">
        <v>0</v>
      </c>
      <c r="L574" t="n">
        <v>0</v>
      </c>
      <c r="M574" t="n">
        <v>0</v>
      </c>
      <c r="N574" t="n">
        <v>0</v>
      </c>
      <c r="O574" t="n">
        <v>0</v>
      </c>
      <c r="P574" t="n">
        <v>0</v>
      </c>
      <c r="Q574" t="n">
        <v>0</v>
      </c>
      <c r="R574" s="2" t="inlineStr"/>
    </row>
    <row r="575" ht="15" customHeight="1">
      <c r="A575" t="inlineStr">
        <is>
          <t>A 52477-2022</t>
        </is>
      </c>
      <c r="B575" s="1" t="n">
        <v>44874</v>
      </c>
      <c r="C575" s="1" t="n">
        <v>45795</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52469-2022</t>
        </is>
      </c>
      <c r="B576" s="1" t="n">
        <v>44874</v>
      </c>
      <c r="C576" s="1" t="n">
        <v>45795</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52965-2022</t>
        </is>
      </c>
      <c r="B577" s="1" t="n">
        <v>44875</v>
      </c>
      <c r="C577" s="1" t="n">
        <v>45795</v>
      </c>
      <c r="D577" t="inlineStr">
        <is>
          <t>DALARNAS LÄN</t>
        </is>
      </c>
      <c r="E577" t="inlineStr">
        <is>
          <t>ÄLVDALEN</t>
        </is>
      </c>
      <c r="F577" t="inlineStr">
        <is>
          <t>Övriga statliga verk och myndigheter</t>
        </is>
      </c>
      <c r="G577" t="n">
        <v>8.4</v>
      </c>
      <c r="H577" t="n">
        <v>0</v>
      </c>
      <c r="I577" t="n">
        <v>0</v>
      </c>
      <c r="J577" t="n">
        <v>0</v>
      </c>
      <c r="K577" t="n">
        <v>0</v>
      </c>
      <c r="L577" t="n">
        <v>0</v>
      </c>
      <c r="M577" t="n">
        <v>0</v>
      </c>
      <c r="N577" t="n">
        <v>0</v>
      </c>
      <c r="O577" t="n">
        <v>0</v>
      </c>
      <c r="P577" t="n">
        <v>0</v>
      </c>
      <c r="Q577" t="n">
        <v>0</v>
      </c>
      <c r="R577" s="2" t="inlineStr"/>
    </row>
    <row r="578" ht="15" customHeight="1">
      <c r="A578" t="inlineStr">
        <is>
          <t>A 53345-2022</t>
        </is>
      </c>
      <c r="B578" s="1" t="n">
        <v>44879</v>
      </c>
      <c r="C578" s="1" t="n">
        <v>45795</v>
      </c>
      <c r="D578" t="inlineStr">
        <is>
          <t>DALARNAS LÄN</t>
        </is>
      </c>
      <c r="E578" t="inlineStr">
        <is>
          <t>ÄLVDALEN</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54407-2022</t>
        </is>
      </c>
      <c r="B579" s="1" t="n">
        <v>44882</v>
      </c>
      <c r="C579" s="1" t="n">
        <v>45795</v>
      </c>
      <c r="D579" t="inlineStr">
        <is>
          <t>DALARNAS LÄN</t>
        </is>
      </c>
      <c r="E579" t="inlineStr">
        <is>
          <t>ÄLVDALEN</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55015-2022</t>
        </is>
      </c>
      <c r="B580" s="1" t="n">
        <v>44886</v>
      </c>
      <c r="C580" s="1" t="n">
        <v>45795</v>
      </c>
      <c r="D580" t="inlineStr">
        <is>
          <t>DALARNAS LÄN</t>
        </is>
      </c>
      <c r="E580" t="inlineStr">
        <is>
          <t>ÄLVDALEN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56207-2022</t>
        </is>
      </c>
      <c r="B581" s="1" t="n">
        <v>44890</v>
      </c>
      <c r="C581" s="1" t="n">
        <v>45795</v>
      </c>
      <c r="D581" t="inlineStr">
        <is>
          <t>DALARNAS LÄN</t>
        </is>
      </c>
      <c r="E581" t="inlineStr">
        <is>
          <t>ÄLVDALEN</t>
        </is>
      </c>
      <c r="G581" t="n">
        <v>5.2</v>
      </c>
      <c r="H581" t="n">
        <v>0</v>
      </c>
      <c r="I581" t="n">
        <v>0</v>
      </c>
      <c r="J581" t="n">
        <v>0</v>
      </c>
      <c r="K581" t="n">
        <v>0</v>
      </c>
      <c r="L581" t="n">
        <v>0</v>
      </c>
      <c r="M581" t="n">
        <v>0</v>
      </c>
      <c r="N581" t="n">
        <v>0</v>
      </c>
      <c r="O581" t="n">
        <v>0</v>
      </c>
      <c r="P581" t="n">
        <v>0</v>
      </c>
      <c r="Q581" t="n">
        <v>0</v>
      </c>
      <c r="R581" s="2" t="inlineStr"/>
    </row>
    <row r="582" ht="15" customHeight="1">
      <c r="A582" t="inlineStr">
        <is>
          <t>A 56206-2022</t>
        </is>
      </c>
      <c r="B582" s="1" t="n">
        <v>44890</v>
      </c>
      <c r="C582" s="1" t="n">
        <v>45795</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56882-2022</t>
        </is>
      </c>
      <c r="B583" s="1" t="n">
        <v>44894</v>
      </c>
      <c r="C583" s="1" t="n">
        <v>45795</v>
      </c>
      <c r="D583" t="inlineStr">
        <is>
          <t>DALARNAS LÄN</t>
        </is>
      </c>
      <c r="E583" t="inlineStr">
        <is>
          <t>ÄLVDALEN</t>
        </is>
      </c>
      <c r="G583" t="n">
        <v>7.4</v>
      </c>
      <c r="H583" t="n">
        <v>0</v>
      </c>
      <c r="I583" t="n">
        <v>0</v>
      </c>
      <c r="J583" t="n">
        <v>0</v>
      </c>
      <c r="K583" t="n">
        <v>0</v>
      </c>
      <c r="L583" t="n">
        <v>0</v>
      </c>
      <c r="M583" t="n">
        <v>0</v>
      </c>
      <c r="N583" t="n">
        <v>0</v>
      </c>
      <c r="O583" t="n">
        <v>0</v>
      </c>
      <c r="P583" t="n">
        <v>0</v>
      </c>
      <c r="Q583" t="n">
        <v>0</v>
      </c>
      <c r="R583" s="2" t="inlineStr"/>
    </row>
    <row r="584" ht="15" customHeight="1">
      <c r="A584" t="inlineStr">
        <is>
          <t>A 57148-2022</t>
        </is>
      </c>
      <c r="B584" s="1" t="n">
        <v>44895</v>
      </c>
      <c r="C584" s="1" t="n">
        <v>45795</v>
      </c>
      <c r="D584" t="inlineStr">
        <is>
          <t>DALARNAS LÄN</t>
        </is>
      </c>
      <c r="E584" t="inlineStr">
        <is>
          <t>ÄLVDALEN</t>
        </is>
      </c>
      <c r="F584" t="inlineStr">
        <is>
          <t>Allmännings- och besparingsskogar</t>
        </is>
      </c>
      <c r="G584" t="n">
        <v>13.3</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45795</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58355-2022</t>
        </is>
      </c>
      <c r="B586" s="1" t="n">
        <v>44901</v>
      </c>
      <c r="C586" s="1" t="n">
        <v>45795</v>
      </c>
      <c r="D586" t="inlineStr">
        <is>
          <t>DALARNAS LÄN</t>
        </is>
      </c>
      <c r="E586" t="inlineStr">
        <is>
          <t>ÄLVDALEN</t>
        </is>
      </c>
      <c r="F586" t="inlineStr">
        <is>
          <t>Allmännings- och besparingsskogar</t>
        </is>
      </c>
      <c r="G586" t="n">
        <v>23.8</v>
      </c>
      <c r="H586" t="n">
        <v>0</v>
      </c>
      <c r="I586" t="n">
        <v>0</v>
      </c>
      <c r="J586" t="n">
        <v>0</v>
      </c>
      <c r="K586" t="n">
        <v>0</v>
      </c>
      <c r="L586" t="n">
        <v>0</v>
      </c>
      <c r="M586" t="n">
        <v>0</v>
      </c>
      <c r="N586" t="n">
        <v>0</v>
      </c>
      <c r="O586" t="n">
        <v>0</v>
      </c>
      <c r="P586" t="n">
        <v>0</v>
      </c>
      <c r="Q586" t="n">
        <v>0</v>
      </c>
      <c r="R586" s="2" t="inlineStr"/>
    </row>
    <row r="587" ht="15" customHeight="1">
      <c r="A587" t="inlineStr">
        <is>
          <t>A 58569-2022</t>
        </is>
      </c>
      <c r="B587" s="1" t="n">
        <v>44902</v>
      </c>
      <c r="C587" s="1" t="n">
        <v>45795</v>
      </c>
      <c r="D587" t="inlineStr">
        <is>
          <t>DALARNAS LÄN</t>
        </is>
      </c>
      <c r="E587" t="inlineStr">
        <is>
          <t>ÄLVDALEN</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58904-2022</t>
        </is>
      </c>
      <c r="B588" s="1" t="n">
        <v>44903</v>
      </c>
      <c r="C588" s="1" t="n">
        <v>45795</v>
      </c>
      <c r="D588" t="inlineStr">
        <is>
          <t>DALARNAS LÄN</t>
        </is>
      </c>
      <c r="E588" t="inlineStr">
        <is>
          <t>ÄLVDALEN</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59108-2022</t>
        </is>
      </c>
      <c r="B589" s="1" t="n">
        <v>44904</v>
      </c>
      <c r="C589" s="1" t="n">
        <v>45795</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45795</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59209-2022</t>
        </is>
      </c>
      <c r="B591" s="1" t="n">
        <v>44904</v>
      </c>
      <c r="C591" s="1" t="n">
        <v>45795</v>
      </c>
      <c r="D591" t="inlineStr">
        <is>
          <t>DALARNAS LÄN</t>
        </is>
      </c>
      <c r="E591" t="inlineStr">
        <is>
          <t>ÄLVDALEN</t>
        </is>
      </c>
      <c r="G591" t="n">
        <v>2.6</v>
      </c>
      <c r="H591" t="n">
        <v>0</v>
      </c>
      <c r="I591" t="n">
        <v>0</v>
      </c>
      <c r="J591" t="n">
        <v>0</v>
      </c>
      <c r="K591" t="n">
        <v>0</v>
      </c>
      <c r="L591" t="n">
        <v>0</v>
      </c>
      <c r="M591" t="n">
        <v>0</v>
      </c>
      <c r="N591" t="n">
        <v>0</v>
      </c>
      <c r="O591" t="n">
        <v>0</v>
      </c>
      <c r="P591" t="n">
        <v>0</v>
      </c>
      <c r="Q591" t="n">
        <v>0</v>
      </c>
      <c r="R591" s="2" t="inlineStr"/>
    </row>
    <row r="592" ht="15" customHeight="1">
      <c r="A592" t="inlineStr">
        <is>
          <t>A 59464-2022</t>
        </is>
      </c>
      <c r="B592" s="1" t="n">
        <v>44907</v>
      </c>
      <c r="C592" s="1" t="n">
        <v>45795</v>
      </c>
      <c r="D592" t="inlineStr">
        <is>
          <t>DALARNAS LÄN</t>
        </is>
      </c>
      <c r="E592" t="inlineStr">
        <is>
          <t>ÄLVDALEN</t>
        </is>
      </c>
      <c r="F592" t="inlineStr">
        <is>
          <t>Allmännings- och besparingsskogar</t>
        </is>
      </c>
      <c r="G592" t="n">
        <v>29.7</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45795</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61466-2022</t>
        </is>
      </c>
      <c r="B594" s="1" t="n">
        <v>44910</v>
      </c>
      <c r="C594" s="1" t="n">
        <v>45795</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60447-2022</t>
        </is>
      </c>
      <c r="B595" s="1" t="n">
        <v>44911</v>
      </c>
      <c r="C595" s="1" t="n">
        <v>45795</v>
      </c>
      <c r="D595" t="inlineStr">
        <is>
          <t>DALARNAS LÄN</t>
        </is>
      </c>
      <c r="E595" t="inlineStr">
        <is>
          <t>ÄLVDALEN</t>
        </is>
      </c>
      <c r="F595" t="inlineStr">
        <is>
          <t>Allmännings- och besparingsskogar</t>
        </is>
      </c>
      <c r="G595" t="n">
        <v>11.4</v>
      </c>
      <c r="H595" t="n">
        <v>0</v>
      </c>
      <c r="I595" t="n">
        <v>0</v>
      </c>
      <c r="J595" t="n">
        <v>0</v>
      </c>
      <c r="K595" t="n">
        <v>0</v>
      </c>
      <c r="L595" t="n">
        <v>0</v>
      </c>
      <c r="M595" t="n">
        <v>0</v>
      </c>
      <c r="N595" t="n">
        <v>0</v>
      </c>
      <c r="O595" t="n">
        <v>0</v>
      </c>
      <c r="P595" t="n">
        <v>0</v>
      </c>
      <c r="Q595" t="n">
        <v>0</v>
      </c>
      <c r="R595" s="2" t="inlineStr"/>
    </row>
    <row r="596" ht="15" customHeight="1">
      <c r="A596" t="inlineStr">
        <is>
          <t>A 60793-2022</t>
        </is>
      </c>
      <c r="B596" s="1" t="n">
        <v>44911</v>
      </c>
      <c r="C596" s="1" t="n">
        <v>45795</v>
      </c>
      <c r="D596" t="inlineStr">
        <is>
          <t>DALARNAS LÄN</t>
        </is>
      </c>
      <c r="E596" t="inlineStr">
        <is>
          <t>ÄLVDALEN</t>
        </is>
      </c>
      <c r="G596" t="n">
        <v>0.5</v>
      </c>
      <c r="H596" t="n">
        <v>0</v>
      </c>
      <c r="I596" t="n">
        <v>0</v>
      </c>
      <c r="J596" t="n">
        <v>0</v>
      </c>
      <c r="K596" t="n">
        <v>0</v>
      </c>
      <c r="L596" t="n">
        <v>0</v>
      </c>
      <c r="M596" t="n">
        <v>0</v>
      </c>
      <c r="N596" t="n">
        <v>0</v>
      </c>
      <c r="O596" t="n">
        <v>0</v>
      </c>
      <c r="P596" t="n">
        <v>0</v>
      </c>
      <c r="Q596" t="n">
        <v>0</v>
      </c>
      <c r="R596" s="2" t="inlineStr"/>
    </row>
    <row r="597" ht="15" customHeight="1">
      <c r="A597" t="inlineStr">
        <is>
          <t>A 61264-2022</t>
        </is>
      </c>
      <c r="B597" s="1" t="n">
        <v>44915</v>
      </c>
      <c r="C597" s="1" t="n">
        <v>45795</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62315-2022</t>
        </is>
      </c>
      <c r="B598" s="1" t="n">
        <v>44916</v>
      </c>
      <c r="C598" s="1" t="n">
        <v>45795</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62314-2022</t>
        </is>
      </c>
      <c r="B599" s="1" t="n">
        <v>44916</v>
      </c>
      <c r="C599" s="1" t="n">
        <v>45795</v>
      </c>
      <c r="D599" t="inlineStr">
        <is>
          <t>DALARNAS LÄN</t>
        </is>
      </c>
      <c r="E599" t="inlineStr">
        <is>
          <t>ÄLVDALEN</t>
        </is>
      </c>
      <c r="G599" t="n">
        <v>2.7</v>
      </c>
      <c r="H599" t="n">
        <v>0</v>
      </c>
      <c r="I599" t="n">
        <v>0</v>
      </c>
      <c r="J599" t="n">
        <v>0</v>
      </c>
      <c r="K599" t="n">
        <v>0</v>
      </c>
      <c r="L599" t="n">
        <v>0</v>
      </c>
      <c r="M599" t="n">
        <v>0</v>
      </c>
      <c r="N599" t="n">
        <v>0</v>
      </c>
      <c r="O599" t="n">
        <v>0</v>
      </c>
      <c r="P599" t="n">
        <v>0</v>
      </c>
      <c r="Q599" t="n">
        <v>0</v>
      </c>
      <c r="R599" s="2" t="inlineStr"/>
    </row>
    <row r="600" ht="15" customHeight="1">
      <c r="A600" t="inlineStr">
        <is>
          <t>A 61888-2022</t>
        </is>
      </c>
      <c r="B600" s="1" t="n">
        <v>44917</v>
      </c>
      <c r="C600" s="1" t="n">
        <v>45795</v>
      </c>
      <c r="D600" t="inlineStr">
        <is>
          <t>DALARNAS LÄN</t>
        </is>
      </c>
      <c r="E600" t="inlineStr">
        <is>
          <t>ÄLVDALEN</t>
        </is>
      </c>
      <c r="F600" t="inlineStr">
        <is>
          <t>Allmännings- och besparingsskogar</t>
        </is>
      </c>
      <c r="G600" t="n">
        <v>17.7</v>
      </c>
      <c r="H600" t="n">
        <v>0</v>
      </c>
      <c r="I600" t="n">
        <v>0</v>
      </c>
      <c r="J600" t="n">
        <v>0</v>
      </c>
      <c r="K600" t="n">
        <v>0</v>
      </c>
      <c r="L600" t="n">
        <v>0</v>
      </c>
      <c r="M600" t="n">
        <v>0</v>
      </c>
      <c r="N600" t="n">
        <v>0</v>
      </c>
      <c r="O600" t="n">
        <v>0</v>
      </c>
      <c r="P600" t="n">
        <v>0</v>
      </c>
      <c r="Q600" t="n">
        <v>0</v>
      </c>
      <c r="R600" s="2" t="inlineStr"/>
    </row>
    <row r="601" ht="15" customHeight="1">
      <c r="A601" t="inlineStr">
        <is>
          <t>A 62355-2022</t>
        </is>
      </c>
      <c r="B601" s="1" t="n">
        <v>44923</v>
      </c>
      <c r="C601" s="1" t="n">
        <v>45795</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45795</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62512-2022</t>
        </is>
      </c>
      <c r="B603" s="1" t="n">
        <v>44924</v>
      </c>
      <c r="C603" s="1" t="n">
        <v>45795</v>
      </c>
      <c r="D603" t="inlineStr">
        <is>
          <t>DALARNAS LÄN</t>
        </is>
      </c>
      <c r="E603" t="inlineStr">
        <is>
          <t>ÄLVDALEN</t>
        </is>
      </c>
      <c r="F603" t="inlineStr">
        <is>
          <t>Övriga statliga verk och myndigheter</t>
        </is>
      </c>
      <c r="G603" t="n">
        <v>15.1</v>
      </c>
      <c r="H603" t="n">
        <v>0</v>
      </c>
      <c r="I603" t="n">
        <v>0</v>
      </c>
      <c r="J603" t="n">
        <v>0</v>
      </c>
      <c r="K603" t="n">
        <v>0</v>
      </c>
      <c r="L603" t="n">
        <v>0</v>
      </c>
      <c r="M603" t="n">
        <v>0</v>
      </c>
      <c r="N603" t="n">
        <v>0</v>
      </c>
      <c r="O603" t="n">
        <v>0</v>
      </c>
      <c r="P603" t="n">
        <v>0</v>
      </c>
      <c r="Q603" t="n">
        <v>0</v>
      </c>
      <c r="R603" s="2" t="inlineStr"/>
    </row>
    <row r="604" ht="15" customHeight="1">
      <c r="A604" t="inlineStr">
        <is>
          <t>A 416-2023</t>
        </is>
      </c>
      <c r="B604" s="1" t="n">
        <v>44929</v>
      </c>
      <c r="C604" s="1" t="n">
        <v>45795</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642-2023</t>
        </is>
      </c>
      <c r="B605" s="1" t="n">
        <v>44930</v>
      </c>
      <c r="C605" s="1" t="n">
        <v>45795</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558-2023</t>
        </is>
      </c>
      <c r="B606" s="1" t="n">
        <v>44930</v>
      </c>
      <c r="C606" s="1" t="n">
        <v>45795</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621-2023</t>
        </is>
      </c>
      <c r="B607" s="1" t="n">
        <v>44930</v>
      </c>
      <c r="C607" s="1" t="n">
        <v>45795</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786-2023</t>
        </is>
      </c>
      <c r="B608" s="1" t="n">
        <v>44931</v>
      </c>
      <c r="C608" s="1" t="n">
        <v>45795</v>
      </c>
      <c r="D608" t="inlineStr">
        <is>
          <t>DALARNAS LÄN</t>
        </is>
      </c>
      <c r="E608" t="inlineStr">
        <is>
          <t>ÄLVDALEN</t>
        </is>
      </c>
      <c r="F608" t="inlineStr">
        <is>
          <t>Allmännings- och besparingsskogar</t>
        </is>
      </c>
      <c r="G608" t="n">
        <v>5.3</v>
      </c>
      <c r="H608" t="n">
        <v>0</v>
      </c>
      <c r="I608" t="n">
        <v>0</v>
      </c>
      <c r="J608" t="n">
        <v>0</v>
      </c>
      <c r="K608" t="n">
        <v>0</v>
      </c>
      <c r="L608" t="n">
        <v>0</v>
      </c>
      <c r="M608" t="n">
        <v>0</v>
      </c>
      <c r="N608" t="n">
        <v>0</v>
      </c>
      <c r="O608" t="n">
        <v>0</v>
      </c>
      <c r="P608" t="n">
        <v>0</v>
      </c>
      <c r="Q608" t="n">
        <v>0</v>
      </c>
      <c r="R608" s="2" t="inlineStr"/>
    </row>
    <row r="609" ht="15" customHeight="1">
      <c r="A609" t="inlineStr">
        <is>
          <t>A 785-2023</t>
        </is>
      </c>
      <c r="B609" s="1" t="n">
        <v>44931</v>
      </c>
      <c r="C609" s="1" t="n">
        <v>45795</v>
      </c>
      <c r="D609" t="inlineStr">
        <is>
          <t>DALARNAS LÄN</t>
        </is>
      </c>
      <c r="E609" t="inlineStr">
        <is>
          <t>ÄLVDALEN</t>
        </is>
      </c>
      <c r="G609" t="n">
        <v>9.1</v>
      </c>
      <c r="H609" t="n">
        <v>0</v>
      </c>
      <c r="I609" t="n">
        <v>0</v>
      </c>
      <c r="J609" t="n">
        <v>0</v>
      </c>
      <c r="K609" t="n">
        <v>0</v>
      </c>
      <c r="L609" t="n">
        <v>0</v>
      </c>
      <c r="M609" t="n">
        <v>0</v>
      </c>
      <c r="N609" t="n">
        <v>0</v>
      </c>
      <c r="O609" t="n">
        <v>0</v>
      </c>
      <c r="P609" t="n">
        <v>0</v>
      </c>
      <c r="Q609" t="n">
        <v>0</v>
      </c>
      <c r="R609" s="2" t="inlineStr"/>
    </row>
    <row r="610" ht="15" customHeight="1">
      <c r="A610" t="inlineStr">
        <is>
          <t>A 1523-2023</t>
        </is>
      </c>
      <c r="B610" s="1" t="n">
        <v>44937</v>
      </c>
      <c r="C610" s="1" t="n">
        <v>45795</v>
      </c>
      <c r="D610" t="inlineStr">
        <is>
          <t>DALARNAS LÄN</t>
        </is>
      </c>
      <c r="E610" t="inlineStr">
        <is>
          <t>ÄLVDALEN</t>
        </is>
      </c>
      <c r="F610" t="inlineStr">
        <is>
          <t>Allmännings- och besparingsskogar</t>
        </is>
      </c>
      <c r="G610" t="n">
        <v>32.9</v>
      </c>
      <c r="H610" t="n">
        <v>0</v>
      </c>
      <c r="I610" t="n">
        <v>0</v>
      </c>
      <c r="J610" t="n">
        <v>0</v>
      </c>
      <c r="K610" t="n">
        <v>0</v>
      </c>
      <c r="L610" t="n">
        <v>0</v>
      </c>
      <c r="M610" t="n">
        <v>0</v>
      </c>
      <c r="N610" t="n">
        <v>0</v>
      </c>
      <c r="O610" t="n">
        <v>0</v>
      </c>
      <c r="P610" t="n">
        <v>0</v>
      </c>
      <c r="Q610" t="n">
        <v>0</v>
      </c>
      <c r="R610" s="2" t="inlineStr"/>
    </row>
    <row r="611" ht="15" customHeight="1">
      <c r="A611" t="inlineStr">
        <is>
          <t>A 2306-2023</t>
        </is>
      </c>
      <c r="B611" s="1" t="n">
        <v>44942</v>
      </c>
      <c r="C611" s="1" t="n">
        <v>45795</v>
      </c>
      <c r="D611" t="inlineStr">
        <is>
          <t>DALARNAS LÄN</t>
        </is>
      </c>
      <c r="E611" t="inlineStr">
        <is>
          <t>ÄLVDALEN</t>
        </is>
      </c>
      <c r="G611" t="n">
        <v>9.4</v>
      </c>
      <c r="H611" t="n">
        <v>0</v>
      </c>
      <c r="I611" t="n">
        <v>0</v>
      </c>
      <c r="J611" t="n">
        <v>0</v>
      </c>
      <c r="K611" t="n">
        <v>0</v>
      </c>
      <c r="L611" t="n">
        <v>0</v>
      </c>
      <c r="M611" t="n">
        <v>0</v>
      </c>
      <c r="N611" t="n">
        <v>0</v>
      </c>
      <c r="O611" t="n">
        <v>0</v>
      </c>
      <c r="P611" t="n">
        <v>0</v>
      </c>
      <c r="Q611" t="n">
        <v>0</v>
      </c>
      <c r="R611" s="2" t="inlineStr"/>
    </row>
    <row r="612" ht="15" customHeight="1">
      <c r="A612" t="inlineStr">
        <is>
          <t>A 2311-2023</t>
        </is>
      </c>
      <c r="B612" s="1" t="n">
        <v>44942</v>
      </c>
      <c r="C612" s="1" t="n">
        <v>45795</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3937-2023</t>
        </is>
      </c>
      <c r="B613" s="1" t="n">
        <v>44952</v>
      </c>
      <c r="C613" s="1" t="n">
        <v>45795</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4190-2023</t>
        </is>
      </c>
      <c r="B614" s="1" t="n">
        <v>44953</v>
      </c>
      <c r="C614" s="1" t="n">
        <v>45795</v>
      </c>
      <c r="D614" t="inlineStr">
        <is>
          <t>DALARNAS LÄN</t>
        </is>
      </c>
      <c r="E614" t="inlineStr">
        <is>
          <t>ÄLVDALEN</t>
        </is>
      </c>
      <c r="G614" t="n">
        <v>2.9</v>
      </c>
      <c r="H614" t="n">
        <v>0</v>
      </c>
      <c r="I614" t="n">
        <v>0</v>
      </c>
      <c r="J614" t="n">
        <v>0</v>
      </c>
      <c r="K614" t="n">
        <v>0</v>
      </c>
      <c r="L614" t="n">
        <v>0</v>
      </c>
      <c r="M614" t="n">
        <v>0</v>
      </c>
      <c r="N614" t="n">
        <v>0</v>
      </c>
      <c r="O614" t="n">
        <v>0</v>
      </c>
      <c r="P614" t="n">
        <v>0</v>
      </c>
      <c r="Q614" t="n">
        <v>0</v>
      </c>
      <c r="R614" s="2" t="inlineStr"/>
    </row>
    <row r="615" ht="15" customHeight="1">
      <c r="A615" t="inlineStr">
        <is>
          <t>A 4674-2023</t>
        </is>
      </c>
      <c r="B615" s="1" t="n">
        <v>44957</v>
      </c>
      <c r="C615" s="1" t="n">
        <v>45795</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45795</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45795</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45795</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45795</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45795</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45795</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45795</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45795</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45795</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45795</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45795</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45795</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45795</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45795</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45795</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45795</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45795</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45795</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45795</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23970-2023</t>
        </is>
      </c>
      <c r="B635" s="1" t="n">
        <v>45078</v>
      </c>
      <c r="C635" s="1" t="n">
        <v>45795</v>
      </c>
      <c r="D635" t="inlineStr">
        <is>
          <t>DALARNAS LÄN</t>
        </is>
      </c>
      <c r="E635" t="inlineStr">
        <is>
          <t>ÄLVDALEN</t>
        </is>
      </c>
      <c r="F635" t="inlineStr">
        <is>
          <t>Allmännings- och besparingsskogar</t>
        </is>
      </c>
      <c r="G635" t="n">
        <v>3.6</v>
      </c>
      <c r="H635" t="n">
        <v>0</v>
      </c>
      <c r="I635" t="n">
        <v>0</v>
      </c>
      <c r="J635" t="n">
        <v>0</v>
      </c>
      <c r="K635" t="n">
        <v>0</v>
      </c>
      <c r="L635" t="n">
        <v>0</v>
      </c>
      <c r="M635" t="n">
        <v>0</v>
      </c>
      <c r="N635" t="n">
        <v>0</v>
      </c>
      <c r="O635" t="n">
        <v>0</v>
      </c>
      <c r="P635" t="n">
        <v>0</v>
      </c>
      <c r="Q635" t="n">
        <v>0</v>
      </c>
      <c r="R635" s="2" t="inlineStr"/>
    </row>
    <row r="636" ht="15" customHeight="1">
      <c r="A636" t="inlineStr">
        <is>
          <t>A 24369-2023</t>
        </is>
      </c>
      <c r="B636" s="1" t="n">
        <v>45082</v>
      </c>
      <c r="C636" s="1" t="n">
        <v>45795</v>
      </c>
      <c r="D636" t="inlineStr">
        <is>
          <t>DALARNAS LÄN</t>
        </is>
      </c>
      <c r="E636" t="inlineStr">
        <is>
          <t>ÄLVDALEN</t>
        </is>
      </c>
      <c r="F636" t="inlineStr">
        <is>
          <t>Allmännings- och besparingsskogar</t>
        </is>
      </c>
      <c r="G636" t="n">
        <v>5.4</v>
      </c>
      <c r="H636" t="n">
        <v>0</v>
      </c>
      <c r="I636" t="n">
        <v>0</v>
      </c>
      <c r="J636" t="n">
        <v>0</v>
      </c>
      <c r="K636" t="n">
        <v>0</v>
      </c>
      <c r="L636" t="n">
        <v>0</v>
      </c>
      <c r="M636" t="n">
        <v>0</v>
      </c>
      <c r="N636" t="n">
        <v>0</v>
      </c>
      <c r="O636" t="n">
        <v>0</v>
      </c>
      <c r="P636" t="n">
        <v>0</v>
      </c>
      <c r="Q636" t="n">
        <v>0</v>
      </c>
      <c r="R636" s="2" t="inlineStr"/>
    </row>
    <row r="637" ht="15" customHeight="1">
      <c r="A637" t="inlineStr">
        <is>
          <t>A 24615-2023</t>
        </is>
      </c>
      <c r="B637" s="1" t="n">
        <v>45084</v>
      </c>
      <c r="C637" s="1" t="n">
        <v>45795</v>
      </c>
      <c r="D637" t="inlineStr">
        <is>
          <t>DALARNAS LÄN</t>
        </is>
      </c>
      <c r="E637" t="inlineStr">
        <is>
          <t>ÄLVDALEN</t>
        </is>
      </c>
      <c r="G637" t="n">
        <v>9.6</v>
      </c>
      <c r="H637" t="n">
        <v>0</v>
      </c>
      <c r="I637" t="n">
        <v>0</v>
      </c>
      <c r="J637" t="n">
        <v>0</v>
      </c>
      <c r="K637" t="n">
        <v>0</v>
      </c>
      <c r="L637" t="n">
        <v>0</v>
      </c>
      <c r="M637" t="n">
        <v>0</v>
      </c>
      <c r="N637" t="n">
        <v>0</v>
      </c>
      <c r="O637" t="n">
        <v>0</v>
      </c>
      <c r="P637" t="n">
        <v>0</v>
      </c>
      <c r="Q637" t="n">
        <v>0</v>
      </c>
      <c r="R637" s="2" t="inlineStr"/>
    </row>
    <row r="638" ht="15" customHeight="1">
      <c r="A638" t="inlineStr">
        <is>
          <t>A 24762-2023</t>
        </is>
      </c>
      <c r="B638" s="1" t="n">
        <v>45084</v>
      </c>
      <c r="C638" s="1" t="n">
        <v>45795</v>
      </c>
      <c r="D638" t="inlineStr">
        <is>
          <t>DALARNAS LÄN</t>
        </is>
      </c>
      <c r="E638" t="inlineStr">
        <is>
          <t>ÄLVDALEN</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24718-2023</t>
        </is>
      </c>
      <c r="B639" s="1" t="n">
        <v>45084</v>
      </c>
      <c r="C639" s="1" t="n">
        <v>45795</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24859-2023</t>
        </is>
      </c>
      <c r="B640" s="1" t="n">
        <v>45085</v>
      </c>
      <c r="C640" s="1" t="n">
        <v>45795</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24934-2023</t>
        </is>
      </c>
      <c r="B641" s="1" t="n">
        <v>45085</v>
      </c>
      <c r="C641" s="1" t="n">
        <v>45795</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25083-2023</t>
        </is>
      </c>
      <c r="B642" s="1" t="n">
        <v>45086</v>
      </c>
      <c r="C642" s="1" t="n">
        <v>45795</v>
      </c>
      <c r="D642" t="inlineStr">
        <is>
          <t>DALARNAS LÄN</t>
        </is>
      </c>
      <c r="E642" t="inlineStr">
        <is>
          <t>ÄLVDALEN</t>
        </is>
      </c>
      <c r="F642" t="inlineStr">
        <is>
          <t>Sveaskog</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25085-2023</t>
        </is>
      </c>
      <c r="B643" s="1" t="n">
        <v>45086</v>
      </c>
      <c r="C643" s="1" t="n">
        <v>45795</v>
      </c>
      <c r="D643" t="inlineStr">
        <is>
          <t>DALARNAS LÄN</t>
        </is>
      </c>
      <c r="E643" t="inlineStr">
        <is>
          <t>ÄLVDALEN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26726-2023</t>
        </is>
      </c>
      <c r="B644" s="1" t="n">
        <v>45093</v>
      </c>
      <c r="C644" s="1" t="n">
        <v>45795</v>
      </c>
      <c r="D644" t="inlineStr">
        <is>
          <t>DALARNAS LÄN</t>
        </is>
      </c>
      <c r="E644" t="inlineStr">
        <is>
          <t>ÄLVDALEN</t>
        </is>
      </c>
      <c r="F644" t="inlineStr">
        <is>
          <t>Allmännings- och besparingsskogar</t>
        </is>
      </c>
      <c r="G644" t="n">
        <v>31.3</v>
      </c>
      <c r="H644" t="n">
        <v>0</v>
      </c>
      <c r="I644" t="n">
        <v>0</v>
      </c>
      <c r="J644" t="n">
        <v>0</v>
      </c>
      <c r="K644" t="n">
        <v>0</v>
      </c>
      <c r="L644" t="n">
        <v>0</v>
      </c>
      <c r="M644" t="n">
        <v>0</v>
      </c>
      <c r="N644" t="n">
        <v>0</v>
      </c>
      <c r="O644" t="n">
        <v>0</v>
      </c>
      <c r="P644" t="n">
        <v>0</v>
      </c>
      <c r="Q644" t="n">
        <v>0</v>
      </c>
      <c r="R644" s="2" t="inlineStr"/>
    </row>
    <row r="645" ht="15" customHeight="1">
      <c r="A645" t="inlineStr">
        <is>
          <t>A 26953-2023</t>
        </is>
      </c>
      <c r="B645" s="1" t="n">
        <v>45093</v>
      </c>
      <c r="C645" s="1" t="n">
        <v>45795</v>
      </c>
      <c r="D645" t="inlineStr">
        <is>
          <t>DALARNAS LÄN</t>
        </is>
      </c>
      <c r="E645" t="inlineStr">
        <is>
          <t>ÄLVDALEN</t>
        </is>
      </c>
      <c r="F645" t="inlineStr">
        <is>
          <t>Övriga Aktiebolag</t>
        </is>
      </c>
      <c r="G645" t="n">
        <v>7</v>
      </c>
      <c r="H645" t="n">
        <v>0</v>
      </c>
      <c r="I645" t="n">
        <v>0</v>
      </c>
      <c r="J645" t="n">
        <v>0</v>
      </c>
      <c r="K645" t="n">
        <v>0</v>
      </c>
      <c r="L645" t="n">
        <v>0</v>
      </c>
      <c r="M645" t="n">
        <v>0</v>
      </c>
      <c r="N645" t="n">
        <v>0</v>
      </c>
      <c r="O645" t="n">
        <v>0</v>
      </c>
      <c r="P645" t="n">
        <v>0</v>
      </c>
      <c r="Q645" t="n">
        <v>0</v>
      </c>
      <c r="R645" s="2" t="inlineStr"/>
    </row>
    <row r="646" ht="15" customHeight="1">
      <c r="A646" t="inlineStr">
        <is>
          <t>A 27221-2023</t>
        </is>
      </c>
      <c r="B646" s="1" t="n">
        <v>45096</v>
      </c>
      <c r="C646" s="1" t="n">
        <v>45795</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27615-2023</t>
        </is>
      </c>
      <c r="B647" s="1" t="n">
        <v>45097</v>
      </c>
      <c r="C647" s="1" t="n">
        <v>45795</v>
      </c>
      <c r="D647" t="inlineStr">
        <is>
          <t>DALARNAS LÄN</t>
        </is>
      </c>
      <c r="E647" t="inlineStr">
        <is>
          <t>ÄLVDALEN</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28216-2023</t>
        </is>
      </c>
      <c r="B648" s="1" t="n">
        <v>45099</v>
      </c>
      <c r="C648" s="1" t="n">
        <v>45795</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28664-2023</t>
        </is>
      </c>
      <c r="B649" s="1" t="n">
        <v>45103</v>
      </c>
      <c r="C649" s="1" t="n">
        <v>45795</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28778-2023</t>
        </is>
      </c>
      <c r="B650" s="1" t="n">
        <v>45104</v>
      </c>
      <c r="C650" s="1" t="n">
        <v>45795</v>
      </c>
      <c r="D650" t="inlineStr">
        <is>
          <t>DALARNAS LÄN</t>
        </is>
      </c>
      <c r="E650" t="inlineStr">
        <is>
          <t>ÄLVDALEN</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v>
      </c>
      <c r="C651" s="1" t="n">
        <v>45795</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29164-2023</t>
        </is>
      </c>
      <c r="B652" s="1" t="n">
        <v>45105</v>
      </c>
      <c r="C652" s="1" t="n">
        <v>45795</v>
      </c>
      <c r="D652" t="inlineStr">
        <is>
          <t>DALARNAS LÄN</t>
        </is>
      </c>
      <c r="E652" t="inlineStr">
        <is>
          <t>ÄLVDALEN</t>
        </is>
      </c>
      <c r="F652" t="inlineStr">
        <is>
          <t>Allmännings- och besparingsskogar</t>
        </is>
      </c>
      <c r="G652" t="n">
        <v>1</v>
      </c>
      <c r="H652" t="n">
        <v>0</v>
      </c>
      <c r="I652" t="n">
        <v>0</v>
      </c>
      <c r="J652" t="n">
        <v>0</v>
      </c>
      <c r="K652" t="n">
        <v>0</v>
      </c>
      <c r="L652" t="n">
        <v>0</v>
      </c>
      <c r="M652" t="n">
        <v>0</v>
      </c>
      <c r="N652" t="n">
        <v>0</v>
      </c>
      <c r="O652" t="n">
        <v>0</v>
      </c>
      <c r="P652" t="n">
        <v>0</v>
      </c>
      <c r="Q652" t="n">
        <v>0</v>
      </c>
      <c r="R652" s="2" t="inlineStr"/>
    </row>
    <row r="653" ht="15" customHeight="1">
      <c r="A653" t="inlineStr">
        <is>
          <t>A 29119-2023</t>
        </is>
      </c>
      <c r="B653" s="1" t="n">
        <v>45105</v>
      </c>
      <c r="C653" s="1" t="n">
        <v>45795</v>
      </c>
      <c r="D653" t="inlineStr">
        <is>
          <t>DALARNAS LÄN</t>
        </is>
      </c>
      <c r="E653" t="inlineStr">
        <is>
          <t>ÄLVDALEN</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29251-2023</t>
        </is>
      </c>
      <c r="B654" s="1" t="n">
        <v>45105</v>
      </c>
      <c r="C654" s="1" t="n">
        <v>45795</v>
      </c>
      <c r="D654" t="inlineStr">
        <is>
          <t>DALARNAS LÄN</t>
        </is>
      </c>
      <c r="E654" t="inlineStr">
        <is>
          <t>ÄLVDALEN</t>
        </is>
      </c>
      <c r="F654" t="inlineStr">
        <is>
          <t>Allmännings- och besparingsskogar</t>
        </is>
      </c>
      <c r="G654" t="n">
        <v>18.6</v>
      </c>
      <c r="H654" t="n">
        <v>0</v>
      </c>
      <c r="I654" t="n">
        <v>0</v>
      </c>
      <c r="J654" t="n">
        <v>0</v>
      </c>
      <c r="K654" t="n">
        <v>0</v>
      </c>
      <c r="L654" t="n">
        <v>0</v>
      </c>
      <c r="M654" t="n">
        <v>0</v>
      </c>
      <c r="N654" t="n">
        <v>0</v>
      </c>
      <c r="O654" t="n">
        <v>0</v>
      </c>
      <c r="P654" t="n">
        <v>0</v>
      </c>
      <c r="Q654" t="n">
        <v>0</v>
      </c>
      <c r="R654" s="2" t="inlineStr"/>
    </row>
    <row r="655" ht="15" customHeight="1">
      <c r="A655" t="inlineStr">
        <is>
          <t>A 31857-2023</t>
        </is>
      </c>
      <c r="B655" s="1" t="n">
        <v>45106</v>
      </c>
      <c r="C655" s="1" t="n">
        <v>45795</v>
      </c>
      <c r="D655" t="inlineStr">
        <is>
          <t>DALARNAS LÄN</t>
        </is>
      </c>
      <c r="E655" t="inlineStr">
        <is>
          <t>ÄLVDALEN</t>
        </is>
      </c>
      <c r="G655" t="n">
        <v>1</v>
      </c>
      <c r="H655" t="n">
        <v>0</v>
      </c>
      <c r="I655" t="n">
        <v>0</v>
      </c>
      <c r="J655" t="n">
        <v>0</v>
      </c>
      <c r="K655" t="n">
        <v>0</v>
      </c>
      <c r="L655" t="n">
        <v>0</v>
      </c>
      <c r="M655" t="n">
        <v>0</v>
      </c>
      <c r="N655" t="n">
        <v>0</v>
      </c>
      <c r="O655" t="n">
        <v>0</v>
      </c>
      <c r="P655" t="n">
        <v>0</v>
      </c>
      <c r="Q655" t="n">
        <v>0</v>
      </c>
      <c r="R655" s="2" t="inlineStr"/>
    </row>
    <row r="656" ht="15" customHeight="1">
      <c r="A656" t="inlineStr">
        <is>
          <t>A 29770-2023</t>
        </is>
      </c>
      <c r="B656" s="1" t="n">
        <v>45107</v>
      </c>
      <c r="C656" s="1" t="n">
        <v>45795</v>
      </c>
      <c r="D656" t="inlineStr">
        <is>
          <t>DALARNAS LÄN</t>
        </is>
      </c>
      <c r="E656" t="inlineStr">
        <is>
          <t>ÄLVDALEN</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45795</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32104-2023</t>
        </is>
      </c>
      <c r="B658" s="1" t="n">
        <v>45107</v>
      </c>
      <c r="C658" s="1" t="n">
        <v>45795</v>
      </c>
      <c r="D658" t="inlineStr">
        <is>
          <t>DALARNAS LÄN</t>
        </is>
      </c>
      <c r="E658" t="inlineStr">
        <is>
          <t>ÄLVDALEN</t>
        </is>
      </c>
      <c r="G658" t="n">
        <v>4.6</v>
      </c>
      <c r="H658" t="n">
        <v>0</v>
      </c>
      <c r="I658" t="n">
        <v>0</v>
      </c>
      <c r="J658" t="n">
        <v>0</v>
      </c>
      <c r="K658" t="n">
        <v>0</v>
      </c>
      <c r="L658" t="n">
        <v>0</v>
      </c>
      <c r="M658" t="n">
        <v>0</v>
      </c>
      <c r="N658" t="n">
        <v>0</v>
      </c>
      <c r="O658" t="n">
        <v>0</v>
      </c>
      <c r="P658" t="n">
        <v>0</v>
      </c>
      <c r="Q658" t="n">
        <v>0</v>
      </c>
      <c r="R658" s="2" t="inlineStr"/>
    </row>
    <row r="659" ht="15" customHeight="1">
      <c r="A659" t="inlineStr">
        <is>
          <t>A 30217-2023</t>
        </is>
      </c>
      <c r="B659" s="1" t="n">
        <v>45110</v>
      </c>
      <c r="C659" s="1" t="n">
        <v>45795</v>
      </c>
      <c r="D659" t="inlineStr">
        <is>
          <t>DALARNAS LÄN</t>
        </is>
      </c>
      <c r="E659" t="inlineStr">
        <is>
          <t>ÄLVDALEN</t>
        </is>
      </c>
      <c r="F659" t="inlineStr">
        <is>
          <t>Allmännings- och besparingsskogar</t>
        </is>
      </c>
      <c r="G659" t="n">
        <v>1.5</v>
      </c>
      <c r="H659" t="n">
        <v>0</v>
      </c>
      <c r="I659" t="n">
        <v>0</v>
      </c>
      <c r="J659" t="n">
        <v>0</v>
      </c>
      <c r="K659" t="n">
        <v>0</v>
      </c>
      <c r="L659" t="n">
        <v>0</v>
      </c>
      <c r="M659" t="n">
        <v>0</v>
      </c>
      <c r="N659" t="n">
        <v>0</v>
      </c>
      <c r="O659" t="n">
        <v>0</v>
      </c>
      <c r="P659" t="n">
        <v>0</v>
      </c>
      <c r="Q659" t="n">
        <v>0</v>
      </c>
      <c r="R659" s="2" t="inlineStr"/>
    </row>
    <row r="660" ht="15" customHeight="1">
      <c r="A660" t="inlineStr">
        <is>
          <t>A 30232-2023</t>
        </is>
      </c>
      <c r="B660" s="1" t="n">
        <v>45110</v>
      </c>
      <c r="C660" s="1" t="n">
        <v>45795</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30155-2023</t>
        </is>
      </c>
      <c r="B661" s="1" t="n">
        <v>45110</v>
      </c>
      <c r="C661" s="1" t="n">
        <v>45795</v>
      </c>
      <c r="D661" t="inlineStr">
        <is>
          <t>DALARNAS LÄN</t>
        </is>
      </c>
      <c r="E661" t="inlineStr">
        <is>
          <t>ÄLVDALEN</t>
        </is>
      </c>
      <c r="F661" t="inlineStr">
        <is>
          <t>Allmännings- och besparingsskogar</t>
        </is>
      </c>
      <c r="G661" t="n">
        <v>24.1</v>
      </c>
      <c r="H661" t="n">
        <v>0</v>
      </c>
      <c r="I661" t="n">
        <v>0</v>
      </c>
      <c r="J661" t="n">
        <v>0</v>
      </c>
      <c r="K661" t="n">
        <v>0</v>
      </c>
      <c r="L661" t="n">
        <v>0</v>
      </c>
      <c r="M661" t="n">
        <v>0</v>
      </c>
      <c r="N661" t="n">
        <v>0</v>
      </c>
      <c r="O661" t="n">
        <v>0</v>
      </c>
      <c r="P661" t="n">
        <v>0</v>
      </c>
      <c r="Q661" t="n">
        <v>0</v>
      </c>
      <c r="R661" s="2" t="inlineStr"/>
    </row>
    <row r="662" ht="15" customHeight="1">
      <c r="A662" t="inlineStr">
        <is>
          <t>A 30225-2023</t>
        </is>
      </c>
      <c r="B662" s="1" t="n">
        <v>45110</v>
      </c>
      <c r="C662" s="1" t="n">
        <v>45795</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30226-2023</t>
        </is>
      </c>
      <c r="B663" s="1" t="n">
        <v>45110</v>
      </c>
      <c r="C663" s="1" t="n">
        <v>45795</v>
      </c>
      <c r="D663" t="inlineStr">
        <is>
          <t>DALARNAS LÄN</t>
        </is>
      </c>
      <c r="E663" t="inlineStr">
        <is>
          <t>ÄLVDALEN</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30519-2023</t>
        </is>
      </c>
      <c r="B664" s="1" t="n">
        <v>45111</v>
      </c>
      <c r="C664" s="1" t="n">
        <v>45795</v>
      </c>
      <c r="D664" t="inlineStr">
        <is>
          <t>DALARNAS LÄN</t>
        </is>
      </c>
      <c r="E664" t="inlineStr">
        <is>
          <t>ÄLVDALEN</t>
        </is>
      </c>
      <c r="F664" t="inlineStr">
        <is>
          <t>Allmännings- och besparingsskogar</t>
        </is>
      </c>
      <c r="G664" t="n">
        <v>39.6</v>
      </c>
      <c r="H664" t="n">
        <v>0</v>
      </c>
      <c r="I664" t="n">
        <v>0</v>
      </c>
      <c r="J664" t="n">
        <v>0</v>
      </c>
      <c r="K664" t="n">
        <v>0</v>
      </c>
      <c r="L664" t="n">
        <v>0</v>
      </c>
      <c r="M664" t="n">
        <v>0</v>
      </c>
      <c r="N664" t="n">
        <v>0</v>
      </c>
      <c r="O664" t="n">
        <v>0</v>
      </c>
      <c r="P664" t="n">
        <v>0</v>
      </c>
      <c r="Q664" t="n">
        <v>0</v>
      </c>
      <c r="R664" s="2" t="inlineStr"/>
    </row>
    <row r="665" ht="15" customHeight="1">
      <c r="A665" t="inlineStr">
        <is>
          <t>A 30742-2023</t>
        </is>
      </c>
      <c r="B665" s="1" t="n">
        <v>45112</v>
      </c>
      <c r="C665" s="1" t="n">
        <v>45795</v>
      </c>
      <c r="D665" t="inlineStr">
        <is>
          <t>DALARNAS LÄN</t>
        </is>
      </c>
      <c r="E665" t="inlineStr">
        <is>
          <t>ÄLVDALEN</t>
        </is>
      </c>
      <c r="F665" t="inlineStr">
        <is>
          <t>Bergvik skog väst AB</t>
        </is>
      </c>
      <c r="G665" t="n">
        <v>6.4</v>
      </c>
      <c r="H665" t="n">
        <v>0</v>
      </c>
      <c r="I665" t="n">
        <v>0</v>
      </c>
      <c r="J665" t="n">
        <v>0</v>
      </c>
      <c r="K665" t="n">
        <v>0</v>
      </c>
      <c r="L665" t="n">
        <v>0</v>
      </c>
      <c r="M665" t="n">
        <v>0</v>
      </c>
      <c r="N665" t="n">
        <v>0</v>
      </c>
      <c r="O665" t="n">
        <v>0</v>
      </c>
      <c r="P665" t="n">
        <v>0</v>
      </c>
      <c r="Q665" t="n">
        <v>0</v>
      </c>
      <c r="R665" s="2" t="inlineStr"/>
    </row>
    <row r="666" ht="15" customHeight="1">
      <c r="A666" t="inlineStr">
        <is>
          <t>A 32886-2023</t>
        </is>
      </c>
      <c r="B666" s="1" t="n">
        <v>45112</v>
      </c>
      <c r="C666" s="1" t="n">
        <v>45795</v>
      </c>
      <c r="D666" t="inlineStr">
        <is>
          <t>DALARNAS LÄN</t>
        </is>
      </c>
      <c r="E666" t="inlineStr">
        <is>
          <t>ÄLVDALEN</t>
        </is>
      </c>
      <c r="G666" t="n">
        <v>4.9</v>
      </c>
      <c r="H666" t="n">
        <v>0</v>
      </c>
      <c r="I666" t="n">
        <v>0</v>
      </c>
      <c r="J666" t="n">
        <v>0</v>
      </c>
      <c r="K666" t="n">
        <v>0</v>
      </c>
      <c r="L666" t="n">
        <v>0</v>
      </c>
      <c r="M666" t="n">
        <v>0</v>
      </c>
      <c r="N666" t="n">
        <v>0</v>
      </c>
      <c r="O666" t="n">
        <v>0</v>
      </c>
      <c r="P666" t="n">
        <v>0</v>
      </c>
      <c r="Q666" t="n">
        <v>0</v>
      </c>
      <c r="R666" s="2" t="inlineStr"/>
    </row>
    <row r="667" ht="15" customHeight="1">
      <c r="A667" t="inlineStr">
        <is>
          <t>A 30985-2023</t>
        </is>
      </c>
      <c r="B667" s="1" t="n">
        <v>45113</v>
      </c>
      <c r="C667" s="1" t="n">
        <v>45795</v>
      </c>
      <c r="D667" t="inlineStr">
        <is>
          <t>DALARNAS LÄN</t>
        </is>
      </c>
      <c r="E667" t="inlineStr">
        <is>
          <t>ÄLVDALEN</t>
        </is>
      </c>
      <c r="F667" t="inlineStr">
        <is>
          <t>Allmännings- och besparingsskogar</t>
        </is>
      </c>
      <c r="G667" t="n">
        <v>2.9</v>
      </c>
      <c r="H667" t="n">
        <v>0</v>
      </c>
      <c r="I667" t="n">
        <v>0</v>
      </c>
      <c r="J667" t="n">
        <v>0</v>
      </c>
      <c r="K667" t="n">
        <v>0</v>
      </c>
      <c r="L667" t="n">
        <v>0</v>
      </c>
      <c r="M667" t="n">
        <v>0</v>
      </c>
      <c r="N667" t="n">
        <v>0</v>
      </c>
      <c r="O667" t="n">
        <v>0</v>
      </c>
      <c r="P667" t="n">
        <v>0</v>
      </c>
      <c r="Q667" t="n">
        <v>0</v>
      </c>
      <c r="R667" s="2" t="inlineStr"/>
    </row>
    <row r="668" ht="15" customHeight="1">
      <c r="A668" t="inlineStr">
        <is>
          <t>A 30902-2023</t>
        </is>
      </c>
      <c r="B668" s="1" t="n">
        <v>45113</v>
      </c>
      <c r="C668" s="1" t="n">
        <v>45795</v>
      </c>
      <c r="D668" t="inlineStr">
        <is>
          <t>DALARNAS LÄN</t>
        </is>
      </c>
      <c r="E668" t="inlineStr">
        <is>
          <t>ÄLVDALEN</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30987-2023</t>
        </is>
      </c>
      <c r="B669" s="1" t="n">
        <v>45113</v>
      </c>
      <c r="C669" s="1" t="n">
        <v>45795</v>
      </c>
      <c r="D669" t="inlineStr">
        <is>
          <t>DALARNAS LÄN</t>
        </is>
      </c>
      <c r="E669" t="inlineStr">
        <is>
          <t>ÄLVDALEN</t>
        </is>
      </c>
      <c r="F669" t="inlineStr">
        <is>
          <t>Allmännings- och besparingsskogar</t>
        </is>
      </c>
      <c r="G669" t="n">
        <v>3.8</v>
      </c>
      <c r="H669" t="n">
        <v>0</v>
      </c>
      <c r="I669" t="n">
        <v>0</v>
      </c>
      <c r="J669" t="n">
        <v>0</v>
      </c>
      <c r="K669" t="n">
        <v>0</v>
      </c>
      <c r="L669" t="n">
        <v>0</v>
      </c>
      <c r="M669" t="n">
        <v>0</v>
      </c>
      <c r="N669" t="n">
        <v>0</v>
      </c>
      <c r="O669" t="n">
        <v>0</v>
      </c>
      <c r="P669" t="n">
        <v>0</v>
      </c>
      <c r="Q669" t="n">
        <v>0</v>
      </c>
      <c r="R669" s="2" t="inlineStr"/>
    </row>
    <row r="670" ht="15" customHeight="1">
      <c r="A670" t="inlineStr">
        <is>
          <t>A 31076-2023</t>
        </is>
      </c>
      <c r="B670" s="1" t="n">
        <v>45113</v>
      </c>
      <c r="C670" s="1" t="n">
        <v>45795</v>
      </c>
      <c r="D670" t="inlineStr">
        <is>
          <t>DALARNAS LÄN</t>
        </is>
      </c>
      <c r="E670" t="inlineStr">
        <is>
          <t>ÄLVDALEN</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31301-2023</t>
        </is>
      </c>
      <c r="B671" s="1" t="n">
        <v>45114</v>
      </c>
      <c r="C671" s="1" t="n">
        <v>45795</v>
      </c>
      <c r="D671" t="inlineStr">
        <is>
          <t>DALARNAS LÄN</t>
        </is>
      </c>
      <c r="E671" t="inlineStr">
        <is>
          <t>ÄLVDALEN</t>
        </is>
      </c>
      <c r="F671" t="inlineStr">
        <is>
          <t>Allmännings- och besparingsskogar</t>
        </is>
      </c>
      <c r="G671" t="n">
        <v>23.4</v>
      </c>
      <c r="H671" t="n">
        <v>0</v>
      </c>
      <c r="I671" t="n">
        <v>0</v>
      </c>
      <c r="J671" t="n">
        <v>0</v>
      </c>
      <c r="K671" t="n">
        <v>0</v>
      </c>
      <c r="L671" t="n">
        <v>0</v>
      </c>
      <c r="M671" t="n">
        <v>0</v>
      </c>
      <c r="N671" t="n">
        <v>0</v>
      </c>
      <c r="O671" t="n">
        <v>0</v>
      </c>
      <c r="P671" t="n">
        <v>0</v>
      </c>
      <c r="Q671" t="n">
        <v>0</v>
      </c>
      <c r="R671" s="2" t="inlineStr"/>
    </row>
    <row r="672" ht="15" customHeight="1">
      <c r="A672" t="inlineStr">
        <is>
          <t>A 31328-2023</t>
        </is>
      </c>
      <c r="B672" s="1" t="n">
        <v>45114</v>
      </c>
      <c r="C672" s="1" t="n">
        <v>45795</v>
      </c>
      <c r="D672" t="inlineStr">
        <is>
          <t>DALARNAS LÄN</t>
        </is>
      </c>
      <c r="E672" t="inlineStr">
        <is>
          <t>ÄLVDALEN</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33099-2023</t>
        </is>
      </c>
      <c r="B673" s="1" t="n">
        <v>45114</v>
      </c>
      <c r="C673" s="1" t="n">
        <v>45795</v>
      </c>
      <c r="D673" t="inlineStr">
        <is>
          <t>DALARNAS LÄN</t>
        </is>
      </c>
      <c r="E673" t="inlineStr">
        <is>
          <t>ÄLVDALEN</t>
        </is>
      </c>
      <c r="G673" t="n">
        <v>3.5</v>
      </c>
      <c r="H673" t="n">
        <v>0</v>
      </c>
      <c r="I673" t="n">
        <v>0</v>
      </c>
      <c r="J673" t="n">
        <v>0</v>
      </c>
      <c r="K673" t="n">
        <v>0</v>
      </c>
      <c r="L673" t="n">
        <v>0</v>
      </c>
      <c r="M673" t="n">
        <v>0</v>
      </c>
      <c r="N673" t="n">
        <v>0</v>
      </c>
      <c r="O673" t="n">
        <v>0</v>
      </c>
      <c r="P673" t="n">
        <v>0</v>
      </c>
      <c r="Q673" t="n">
        <v>0</v>
      </c>
      <c r="R673" s="2" t="inlineStr"/>
    </row>
    <row r="674" ht="15" customHeight="1">
      <c r="A674" t="inlineStr">
        <is>
          <t>A 33107-2023</t>
        </is>
      </c>
      <c r="B674" s="1" t="n">
        <v>45114</v>
      </c>
      <c r="C674" s="1" t="n">
        <v>45795</v>
      </c>
      <c r="D674" t="inlineStr">
        <is>
          <t>DALARNAS LÄN</t>
        </is>
      </c>
      <c r="E674" t="inlineStr">
        <is>
          <t>ÄLVDALEN</t>
        </is>
      </c>
      <c r="G674" t="n">
        <v>0.9</v>
      </c>
      <c r="H674" t="n">
        <v>0</v>
      </c>
      <c r="I674" t="n">
        <v>0</v>
      </c>
      <c r="J674" t="n">
        <v>0</v>
      </c>
      <c r="K674" t="n">
        <v>0</v>
      </c>
      <c r="L674" t="n">
        <v>0</v>
      </c>
      <c r="M674" t="n">
        <v>0</v>
      </c>
      <c r="N674" t="n">
        <v>0</v>
      </c>
      <c r="O674" t="n">
        <v>0</v>
      </c>
      <c r="P674" t="n">
        <v>0</v>
      </c>
      <c r="Q674" t="n">
        <v>0</v>
      </c>
      <c r="R674" s="2" t="inlineStr"/>
    </row>
    <row r="675" ht="15" customHeight="1">
      <c r="A675" t="inlineStr">
        <is>
          <t>A 33102-2023</t>
        </is>
      </c>
      <c r="B675" s="1" t="n">
        <v>45114</v>
      </c>
      <c r="C675" s="1" t="n">
        <v>45795</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33109-2023</t>
        </is>
      </c>
      <c r="B676" s="1" t="n">
        <v>45114</v>
      </c>
      <c r="C676" s="1" t="n">
        <v>45795</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31332-2023</t>
        </is>
      </c>
      <c r="B677" s="1" t="n">
        <v>45114</v>
      </c>
      <c r="C677" s="1" t="n">
        <v>45795</v>
      </c>
      <c r="D677" t="inlineStr">
        <is>
          <t>DALARNAS LÄN</t>
        </is>
      </c>
      <c r="E677" t="inlineStr">
        <is>
          <t>ÄLVDALEN</t>
        </is>
      </c>
      <c r="F677" t="inlineStr">
        <is>
          <t>Övriga statliga verk och myndigheter</t>
        </is>
      </c>
      <c r="G677" t="n">
        <v>0.5</v>
      </c>
      <c r="H677" t="n">
        <v>0</v>
      </c>
      <c r="I677" t="n">
        <v>0</v>
      </c>
      <c r="J677" t="n">
        <v>0</v>
      </c>
      <c r="K677" t="n">
        <v>0</v>
      </c>
      <c r="L677" t="n">
        <v>0</v>
      </c>
      <c r="M677" t="n">
        <v>0</v>
      </c>
      <c r="N677" t="n">
        <v>0</v>
      </c>
      <c r="O677" t="n">
        <v>0</v>
      </c>
      <c r="P677" t="n">
        <v>0</v>
      </c>
      <c r="Q677" t="n">
        <v>0</v>
      </c>
      <c r="R677" s="2" t="inlineStr"/>
    </row>
    <row r="678" ht="15" customHeight="1">
      <c r="A678" t="inlineStr">
        <is>
          <t>A 33100-2023</t>
        </is>
      </c>
      <c r="B678" s="1" t="n">
        <v>45114</v>
      </c>
      <c r="C678" s="1" t="n">
        <v>45795</v>
      </c>
      <c r="D678" t="inlineStr">
        <is>
          <t>DALARNAS LÄN</t>
        </is>
      </c>
      <c r="E678" t="inlineStr">
        <is>
          <t>ÄLVDALEN</t>
        </is>
      </c>
      <c r="G678" t="n">
        <v>0.5</v>
      </c>
      <c r="H678" t="n">
        <v>0</v>
      </c>
      <c r="I678" t="n">
        <v>0</v>
      </c>
      <c r="J678" t="n">
        <v>0</v>
      </c>
      <c r="K678" t="n">
        <v>0</v>
      </c>
      <c r="L678" t="n">
        <v>0</v>
      </c>
      <c r="M678" t="n">
        <v>0</v>
      </c>
      <c r="N678" t="n">
        <v>0</v>
      </c>
      <c r="O678" t="n">
        <v>0</v>
      </c>
      <c r="P678" t="n">
        <v>0</v>
      </c>
      <c r="Q678" t="n">
        <v>0</v>
      </c>
      <c r="R678" s="2" t="inlineStr"/>
    </row>
    <row r="679" ht="15" customHeight="1">
      <c r="A679" t="inlineStr">
        <is>
          <t>A 33108-2023</t>
        </is>
      </c>
      <c r="B679" s="1" t="n">
        <v>45114</v>
      </c>
      <c r="C679" s="1" t="n">
        <v>45795</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33104-2023</t>
        </is>
      </c>
      <c r="B680" s="1" t="n">
        <v>45114</v>
      </c>
      <c r="C680" s="1" t="n">
        <v>45795</v>
      </c>
      <c r="D680" t="inlineStr">
        <is>
          <t>DALARNAS LÄN</t>
        </is>
      </c>
      <c r="E680" t="inlineStr">
        <is>
          <t>ÄLVDALEN</t>
        </is>
      </c>
      <c r="G680" t="n">
        <v>9.9</v>
      </c>
      <c r="H680" t="n">
        <v>0</v>
      </c>
      <c r="I680" t="n">
        <v>0</v>
      </c>
      <c r="J680" t="n">
        <v>0</v>
      </c>
      <c r="K680" t="n">
        <v>0</v>
      </c>
      <c r="L680" t="n">
        <v>0</v>
      </c>
      <c r="M680" t="n">
        <v>0</v>
      </c>
      <c r="N680" t="n">
        <v>0</v>
      </c>
      <c r="O680" t="n">
        <v>0</v>
      </c>
      <c r="P680" t="n">
        <v>0</v>
      </c>
      <c r="Q680" t="n">
        <v>0</v>
      </c>
      <c r="R680" s="2" t="inlineStr"/>
    </row>
    <row r="681" ht="15" customHeight="1">
      <c r="A681" t="inlineStr">
        <is>
          <t>A 33110-2023</t>
        </is>
      </c>
      <c r="B681" s="1" t="n">
        <v>45114</v>
      </c>
      <c r="C681" s="1" t="n">
        <v>45795</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33545-2023</t>
        </is>
      </c>
      <c r="B682" s="1" t="n">
        <v>45118</v>
      </c>
      <c r="C682" s="1" t="n">
        <v>45795</v>
      </c>
      <c r="D682" t="inlineStr">
        <is>
          <t>DALARNAS LÄN</t>
        </is>
      </c>
      <c r="E682" t="inlineStr">
        <is>
          <t>ÄLVDALEN</t>
        </is>
      </c>
      <c r="G682" t="n">
        <v>16.2</v>
      </c>
      <c r="H682" t="n">
        <v>0</v>
      </c>
      <c r="I682" t="n">
        <v>0</v>
      </c>
      <c r="J682" t="n">
        <v>0</v>
      </c>
      <c r="K682" t="n">
        <v>0</v>
      </c>
      <c r="L682" t="n">
        <v>0</v>
      </c>
      <c r="M682" t="n">
        <v>0</v>
      </c>
      <c r="N682" t="n">
        <v>0</v>
      </c>
      <c r="O682" t="n">
        <v>0</v>
      </c>
      <c r="P682" t="n">
        <v>0</v>
      </c>
      <c r="Q682" t="n">
        <v>0</v>
      </c>
      <c r="R682" s="2" t="inlineStr"/>
    </row>
    <row r="683" ht="15" customHeight="1">
      <c r="A683" t="inlineStr">
        <is>
          <t>A 32352-2023</t>
        </is>
      </c>
      <c r="B683" s="1" t="n">
        <v>45120</v>
      </c>
      <c r="C683" s="1" t="n">
        <v>45795</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32594-2023</t>
        </is>
      </c>
      <c r="B684" s="1" t="n">
        <v>45121</v>
      </c>
      <c r="C684" s="1" t="n">
        <v>45795</v>
      </c>
      <c r="D684" t="inlineStr">
        <is>
          <t>DALARNAS LÄN</t>
        </is>
      </c>
      <c r="E684" t="inlineStr">
        <is>
          <t>ÄLVDALEN</t>
        </is>
      </c>
      <c r="G684" t="n">
        <v>4</v>
      </c>
      <c r="H684" t="n">
        <v>0</v>
      </c>
      <c r="I684" t="n">
        <v>0</v>
      </c>
      <c r="J684" t="n">
        <v>0</v>
      </c>
      <c r="K684" t="n">
        <v>0</v>
      </c>
      <c r="L684" t="n">
        <v>0</v>
      </c>
      <c r="M684" t="n">
        <v>0</v>
      </c>
      <c r="N684" t="n">
        <v>0</v>
      </c>
      <c r="O684" t="n">
        <v>0</v>
      </c>
      <c r="P684" t="n">
        <v>0</v>
      </c>
      <c r="Q684" t="n">
        <v>0</v>
      </c>
      <c r="R684" s="2" t="inlineStr"/>
    </row>
    <row r="685" ht="15" customHeight="1">
      <c r="A685" t="inlineStr">
        <is>
          <t>A 32622-2023</t>
        </is>
      </c>
      <c r="B685" s="1" t="n">
        <v>45121</v>
      </c>
      <c r="C685" s="1" t="n">
        <v>45795</v>
      </c>
      <c r="D685" t="inlineStr">
        <is>
          <t>DALARNAS LÄN</t>
        </is>
      </c>
      <c r="E685" t="inlineStr">
        <is>
          <t>ÄLVDALEN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32832-2023</t>
        </is>
      </c>
      <c r="B686" s="1" t="n">
        <v>45124</v>
      </c>
      <c r="C686" s="1" t="n">
        <v>45795</v>
      </c>
      <c r="D686" t="inlineStr">
        <is>
          <t>DALARNAS LÄN</t>
        </is>
      </c>
      <c r="E686" t="inlineStr">
        <is>
          <t>ÄLVDALEN</t>
        </is>
      </c>
      <c r="G686" t="n">
        <v>15.8</v>
      </c>
      <c r="H686" t="n">
        <v>0</v>
      </c>
      <c r="I686" t="n">
        <v>0</v>
      </c>
      <c r="J686" t="n">
        <v>0</v>
      </c>
      <c r="K686" t="n">
        <v>0</v>
      </c>
      <c r="L686" t="n">
        <v>0</v>
      </c>
      <c r="M686" t="n">
        <v>0</v>
      </c>
      <c r="N686" t="n">
        <v>0</v>
      </c>
      <c r="O686" t="n">
        <v>0</v>
      </c>
      <c r="P686" t="n">
        <v>0</v>
      </c>
      <c r="Q686" t="n">
        <v>0</v>
      </c>
      <c r="R686" s="2" t="inlineStr"/>
    </row>
    <row r="687" ht="15" customHeight="1">
      <c r="A687" t="inlineStr">
        <is>
          <t>A 32841-2023</t>
        </is>
      </c>
      <c r="B687" s="1" t="n">
        <v>45124</v>
      </c>
      <c r="C687" s="1" t="n">
        <v>45795</v>
      </c>
      <c r="D687" t="inlineStr">
        <is>
          <t>DALARNAS LÄN</t>
        </is>
      </c>
      <c r="E687" t="inlineStr">
        <is>
          <t>ÄLVDALEN</t>
        </is>
      </c>
      <c r="G687" t="n">
        <v>1.5</v>
      </c>
      <c r="H687" t="n">
        <v>0</v>
      </c>
      <c r="I687" t="n">
        <v>0</v>
      </c>
      <c r="J687" t="n">
        <v>0</v>
      </c>
      <c r="K687" t="n">
        <v>0</v>
      </c>
      <c r="L687" t="n">
        <v>0</v>
      </c>
      <c r="M687" t="n">
        <v>0</v>
      </c>
      <c r="N687" t="n">
        <v>0</v>
      </c>
      <c r="O687" t="n">
        <v>0</v>
      </c>
      <c r="P687" t="n">
        <v>0</v>
      </c>
      <c r="Q687" t="n">
        <v>0</v>
      </c>
      <c r="R687" s="2" t="inlineStr"/>
    </row>
    <row r="688" ht="15" customHeight="1">
      <c r="A688" t="inlineStr">
        <is>
          <t>A 32838-2023</t>
        </is>
      </c>
      <c r="B688" s="1" t="n">
        <v>45124</v>
      </c>
      <c r="C688" s="1" t="n">
        <v>45795</v>
      </c>
      <c r="D688" t="inlineStr">
        <is>
          <t>DALARNAS LÄN</t>
        </is>
      </c>
      <c r="E688" t="inlineStr">
        <is>
          <t>ÄLVDALEN</t>
        </is>
      </c>
      <c r="G688" t="n">
        <v>3.7</v>
      </c>
      <c r="H688" t="n">
        <v>0</v>
      </c>
      <c r="I688" t="n">
        <v>0</v>
      </c>
      <c r="J688" t="n">
        <v>0</v>
      </c>
      <c r="K688" t="n">
        <v>0</v>
      </c>
      <c r="L688" t="n">
        <v>0</v>
      </c>
      <c r="M688" t="n">
        <v>0</v>
      </c>
      <c r="N688" t="n">
        <v>0</v>
      </c>
      <c r="O688" t="n">
        <v>0</v>
      </c>
      <c r="P688" t="n">
        <v>0</v>
      </c>
      <c r="Q688" t="n">
        <v>0</v>
      </c>
      <c r="R688" s="2" t="inlineStr"/>
    </row>
    <row r="689" ht="15" customHeight="1">
      <c r="A689" t="inlineStr">
        <is>
          <t>A 33951-2023</t>
        </is>
      </c>
      <c r="B689" s="1" t="n">
        <v>45124</v>
      </c>
      <c r="C689" s="1" t="n">
        <v>45795</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33073-2023</t>
        </is>
      </c>
      <c r="B690" s="1" t="n">
        <v>45126</v>
      </c>
      <c r="C690" s="1" t="n">
        <v>45795</v>
      </c>
      <c r="D690" t="inlineStr">
        <is>
          <t>DALARNAS LÄN</t>
        </is>
      </c>
      <c r="E690" t="inlineStr">
        <is>
          <t>ÄLVDALEN</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33068-2023</t>
        </is>
      </c>
      <c r="B691" s="1" t="n">
        <v>45126</v>
      </c>
      <c r="C691" s="1" t="n">
        <v>45795</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33465-2023</t>
        </is>
      </c>
      <c r="B692" s="1" t="n">
        <v>45131</v>
      </c>
      <c r="C692" s="1" t="n">
        <v>45795</v>
      </c>
      <c r="D692" t="inlineStr">
        <is>
          <t>DALARNAS LÄN</t>
        </is>
      </c>
      <c r="E692" t="inlineStr">
        <is>
          <t>ÄLVDALEN</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33918-2023</t>
        </is>
      </c>
      <c r="B693" s="1" t="n">
        <v>45134</v>
      </c>
      <c r="C693" s="1" t="n">
        <v>45795</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34420-2023</t>
        </is>
      </c>
      <c r="B694" s="1" t="n">
        <v>45139</v>
      </c>
      <c r="C694" s="1" t="n">
        <v>45795</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34544-2023</t>
        </is>
      </c>
      <c r="B695" s="1" t="n">
        <v>45140</v>
      </c>
      <c r="C695" s="1" t="n">
        <v>45795</v>
      </c>
      <c r="D695" t="inlineStr">
        <is>
          <t>DALARNAS LÄN</t>
        </is>
      </c>
      <c r="E695" t="inlineStr">
        <is>
          <t>ÄLVDALEN</t>
        </is>
      </c>
      <c r="F695" t="inlineStr">
        <is>
          <t>Övriga statliga verk och myndigheter</t>
        </is>
      </c>
      <c r="G695" t="n">
        <v>19.7</v>
      </c>
      <c r="H695" t="n">
        <v>0</v>
      </c>
      <c r="I695" t="n">
        <v>0</v>
      </c>
      <c r="J695" t="n">
        <v>0</v>
      </c>
      <c r="K695" t="n">
        <v>0</v>
      </c>
      <c r="L695" t="n">
        <v>0</v>
      </c>
      <c r="M695" t="n">
        <v>0</v>
      </c>
      <c r="N695" t="n">
        <v>0</v>
      </c>
      <c r="O695" t="n">
        <v>0</v>
      </c>
      <c r="P695" t="n">
        <v>0</v>
      </c>
      <c r="Q695" t="n">
        <v>0</v>
      </c>
      <c r="R695" s="2" t="inlineStr"/>
    </row>
    <row r="696" ht="15" customHeight="1">
      <c r="A696" t="inlineStr">
        <is>
          <t>A 34835-2023</t>
        </is>
      </c>
      <c r="B696" s="1" t="n">
        <v>45141</v>
      </c>
      <c r="C696" s="1" t="n">
        <v>45795</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34837-2023</t>
        </is>
      </c>
      <c r="B697" s="1" t="n">
        <v>45141</v>
      </c>
      <c r="C697" s="1" t="n">
        <v>45795</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34836-2023</t>
        </is>
      </c>
      <c r="B698" s="1" t="n">
        <v>45141</v>
      </c>
      <c r="C698" s="1" t="n">
        <v>45795</v>
      </c>
      <c r="D698" t="inlineStr">
        <is>
          <t>DALARNAS LÄN</t>
        </is>
      </c>
      <c r="E698" t="inlineStr">
        <is>
          <t>ÄLVDALEN</t>
        </is>
      </c>
      <c r="G698" t="n">
        <v>8.1</v>
      </c>
      <c r="H698" t="n">
        <v>0</v>
      </c>
      <c r="I698" t="n">
        <v>0</v>
      </c>
      <c r="J698" t="n">
        <v>0</v>
      </c>
      <c r="K698" t="n">
        <v>0</v>
      </c>
      <c r="L698" t="n">
        <v>0</v>
      </c>
      <c r="M698" t="n">
        <v>0</v>
      </c>
      <c r="N698" t="n">
        <v>0</v>
      </c>
      <c r="O698" t="n">
        <v>0</v>
      </c>
      <c r="P698" t="n">
        <v>0</v>
      </c>
      <c r="Q698" t="n">
        <v>0</v>
      </c>
      <c r="R698" s="2" t="inlineStr"/>
    </row>
    <row r="699" ht="15" customHeight="1">
      <c r="A699" t="inlineStr">
        <is>
          <t>A 35161-2023</t>
        </is>
      </c>
      <c r="B699" s="1" t="n">
        <v>45145</v>
      </c>
      <c r="C699" s="1" t="n">
        <v>45795</v>
      </c>
      <c r="D699" t="inlineStr">
        <is>
          <t>DALARNAS LÄN</t>
        </is>
      </c>
      <c r="E699" t="inlineStr">
        <is>
          <t>ÄLVDALEN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v>
      </c>
      <c r="C700" s="1" t="n">
        <v>45795</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36593-2023</t>
        </is>
      </c>
      <c r="B701" s="1" t="n">
        <v>45153</v>
      </c>
      <c r="C701" s="1" t="n">
        <v>45795</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37759-2023</t>
        </is>
      </c>
      <c r="B702" s="1" t="n">
        <v>45159</v>
      </c>
      <c r="C702" s="1" t="n">
        <v>45795</v>
      </c>
      <c r="D702" t="inlineStr">
        <is>
          <t>DALARNAS LÄN</t>
        </is>
      </c>
      <c r="E702" t="inlineStr">
        <is>
          <t>ÄLVDALEN</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37760-2023</t>
        </is>
      </c>
      <c r="B703" s="1" t="n">
        <v>45159</v>
      </c>
      <c r="C703" s="1" t="n">
        <v>45795</v>
      </c>
      <c r="D703" t="inlineStr">
        <is>
          <t>DALARNAS LÄN</t>
        </is>
      </c>
      <c r="E703" t="inlineStr">
        <is>
          <t>ÄLVDALEN</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37665-2023</t>
        </is>
      </c>
      <c r="B704" s="1" t="n">
        <v>45159</v>
      </c>
      <c r="C704" s="1" t="n">
        <v>45795</v>
      </c>
      <c r="D704" t="inlineStr">
        <is>
          <t>DALARNAS LÄN</t>
        </is>
      </c>
      <c r="E704" t="inlineStr">
        <is>
          <t>ÄLVDALEN</t>
        </is>
      </c>
      <c r="F704" t="inlineStr">
        <is>
          <t>Allmännings- och besparingsskogar</t>
        </is>
      </c>
      <c r="G704" t="n">
        <v>0.5</v>
      </c>
      <c r="H704" t="n">
        <v>0</v>
      </c>
      <c r="I704" t="n">
        <v>0</v>
      </c>
      <c r="J704" t="n">
        <v>0</v>
      </c>
      <c r="K704" t="n">
        <v>0</v>
      </c>
      <c r="L704" t="n">
        <v>0</v>
      </c>
      <c r="M704" t="n">
        <v>0</v>
      </c>
      <c r="N704" t="n">
        <v>0</v>
      </c>
      <c r="O704" t="n">
        <v>0</v>
      </c>
      <c r="P704" t="n">
        <v>0</v>
      </c>
      <c r="Q704" t="n">
        <v>0</v>
      </c>
      <c r="R704" s="2" t="inlineStr"/>
    </row>
    <row r="705" ht="15" customHeight="1">
      <c r="A705" t="inlineStr">
        <is>
          <t>A 37730-2023</t>
        </is>
      </c>
      <c r="B705" s="1" t="n">
        <v>45159</v>
      </c>
      <c r="C705" s="1" t="n">
        <v>45795</v>
      </c>
      <c r="D705" t="inlineStr">
        <is>
          <t>DALARNAS LÄN</t>
        </is>
      </c>
      <c r="E705" t="inlineStr">
        <is>
          <t>ÄLVDALEN</t>
        </is>
      </c>
      <c r="G705" t="n">
        <v>5.4</v>
      </c>
      <c r="H705" t="n">
        <v>0</v>
      </c>
      <c r="I705" t="n">
        <v>0</v>
      </c>
      <c r="J705" t="n">
        <v>0</v>
      </c>
      <c r="K705" t="n">
        <v>0</v>
      </c>
      <c r="L705" t="n">
        <v>0</v>
      </c>
      <c r="M705" t="n">
        <v>0</v>
      </c>
      <c r="N705" t="n">
        <v>0</v>
      </c>
      <c r="O705" t="n">
        <v>0</v>
      </c>
      <c r="P705" t="n">
        <v>0</v>
      </c>
      <c r="Q705" t="n">
        <v>0</v>
      </c>
      <c r="R705" s="2" t="inlineStr"/>
    </row>
    <row r="706" ht="15" customHeight="1">
      <c r="A706" t="inlineStr">
        <is>
          <t>A 40962-2023</t>
        </is>
      </c>
      <c r="B706" s="1" t="n">
        <v>45173</v>
      </c>
      <c r="C706" s="1" t="n">
        <v>45795</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41004-2023</t>
        </is>
      </c>
      <c r="B707" s="1" t="n">
        <v>45173</v>
      </c>
      <c r="C707" s="1" t="n">
        <v>45795</v>
      </c>
      <c r="D707" t="inlineStr">
        <is>
          <t>DALARNAS LÄN</t>
        </is>
      </c>
      <c r="E707" t="inlineStr">
        <is>
          <t>ÄLVDALEN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41103-2023</t>
        </is>
      </c>
      <c r="B708" s="1" t="n">
        <v>45173</v>
      </c>
      <c r="C708" s="1" t="n">
        <v>45795</v>
      </c>
      <c r="D708" t="inlineStr">
        <is>
          <t>DALARNAS LÄN</t>
        </is>
      </c>
      <c r="E708" t="inlineStr">
        <is>
          <t>ÄLVDALEN</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45795</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45795</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45795</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45795</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45795</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45795</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45795</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45795</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45795</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45795</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45795</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45795</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45795</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45795</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45795</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45795</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45795</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45795</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45795</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45795</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45795</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45795</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45795</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45795</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45795</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45795</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45795</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45795</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45795</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45795</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45795</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45795</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45795</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45795</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45795</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45795</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45795</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45795</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45795</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45795</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45795</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45795</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45795</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45795</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45795</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45795</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45795</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45795</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45795</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45795</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45795</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45795</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45795</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45795</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45795</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45795</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45795</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45795</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45795</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45795</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45795</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45795</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45795</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45795</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45795</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45795</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45795</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45795</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45795</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45795</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45795</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45795</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45795</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45795</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45795</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59510-2023</t>
        </is>
      </c>
      <c r="B784" s="1" t="n">
        <v>45254</v>
      </c>
      <c r="C784" s="1" t="n">
        <v>45795</v>
      </c>
      <c r="D784" t="inlineStr">
        <is>
          <t>DALARNAS LÄN</t>
        </is>
      </c>
      <c r="E784" t="inlineStr">
        <is>
          <t>ÄLVDALEN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59547-2023</t>
        </is>
      </c>
      <c r="B785" s="1" t="n">
        <v>45254</v>
      </c>
      <c r="C785" s="1" t="n">
        <v>45795</v>
      </c>
      <c r="D785" t="inlineStr">
        <is>
          <t>DALARNAS LÄN</t>
        </is>
      </c>
      <c r="E785" t="inlineStr">
        <is>
          <t>ÄLVDALEN</t>
        </is>
      </c>
      <c r="G785" t="n">
        <v>2.5</v>
      </c>
      <c r="H785" t="n">
        <v>0</v>
      </c>
      <c r="I785" t="n">
        <v>0</v>
      </c>
      <c r="J785" t="n">
        <v>0</v>
      </c>
      <c r="K785" t="n">
        <v>0</v>
      </c>
      <c r="L785" t="n">
        <v>0</v>
      </c>
      <c r="M785" t="n">
        <v>0</v>
      </c>
      <c r="N785" t="n">
        <v>0</v>
      </c>
      <c r="O785" t="n">
        <v>0</v>
      </c>
      <c r="P785" t="n">
        <v>0</v>
      </c>
      <c r="Q785" t="n">
        <v>0</v>
      </c>
      <c r="R785" s="2" t="inlineStr"/>
    </row>
    <row r="786" ht="15" customHeight="1">
      <c r="A786" t="inlineStr">
        <is>
          <t>A 59786-2023</t>
        </is>
      </c>
      <c r="B786" s="1" t="n">
        <v>45254</v>
      </c>
      <c r="C786" s="1" t="n">
        <v>45795</v>
      </c>
      <c r="D786" t="inlineStr">
        <is>
          <t>DALARNAS LÄN</t>
        </is>
      </c>
      <c r="E786" t="inlineStr">
        <is>
          <t>ÄLVDALEN</t>
        </is>
      </c>
      <c r="G786" t="n">
        <v>1</v>
      </c>
      <c r="H786" t="n">
        <v>0</v>
      </c>
      <c r="I786" t="n">
        <v>0</v>
      </c>
      <c r="J786" t="n">
        <v>0</v>
      </c>
      <c r="K786" t="n">
        <v>0</v>
      </c>
      <c r="L786" t="n">
        <v>0</v>
      </c>
      <c r="M786" t="n">
        <v>0</v>
      </c>
      <c r="N786" t="n">
        <v>0</v>
      </c>
      <c r="O786" t="n">
        <v>0</v>
      </c>
      <c r="P786" t="n">
        <v>0</v>
      </c>
      <c r="Q786" t="n">
        <v>0</v>
      </c>
      <c r="R786" s="2" t="inlineStr"/>
    </row>
    <row r="787" ht="15" customHeight="1">
      <c r="A787" t="inlineStr">
        <is>
          <t>A 59778-2023</t>
        </is>
      </c>
      <c r="B787" s="1" t="n">
        <v>45254</v>
      </c>
      <c r="C787" s="1" t="n">
        <v>45795</v>
      </c>
      <c r="D787" t="inlineStr">
        <is>
          <t>DALARNAS LÄN</t>
        </is>
      </c>
      <c r="E787" t="inlineStr">
        <is>
          <t>ÄLVDALEN</t>
        </is>
      </c>
      <c r="G787" t="n">
        <v>7.1</v>
      </c>
      <c r="H787" t="n">
        <v>0</v>
      </c>
      <c r="I787" t="n">
        <v>0</v>
      </c>
      <c r="J787" t="n">
        <v>0</v>
      </c>
      <c r="K787" t="n">
        <v>0</v>
      </c>
      <c r="L787" t="n">
        <v>0</v>
      </c>
      <c r="M787" t="n">
        <v>0</v>
      </c>
      <c r="N787" t="n">
        <v>0</v>
      </c>
      <c r="O787" t="n">
        <v>0</v>
      </c>
      <c r="P787" t="n">
        <v>0</v>
      </c>
      <c r="Q787" t="n">
        <v>0</v>
      </c>
      <c r="R787" s="2" t="inlineStr"/>
    </row>
    <row r="788" ht="15" customHeight="1">
      <c r="A788" t="inlineStr">
        <is>
          <t>A 59774-2023</t>
        </is>
      </c>
      <c r="B788" s="1" t="n">
        <v>45254</v>
      </c>
      <c r="C788" s="1" t="n">
        <v>45795</v>
      </c>
      <c r="D788" t="inlineStr">
        <is>
          <t>DALARNAS LÄN</t>
        </is>
      </c>
      <c r="E788" t="inlineStr">
        <is>
          <t>ÄLVDALEN</t>
        </is>
      </c>
      <c r="G788" t="n">
        <v>6.6</v>
      </c>
      <c r="H788" t="n">
        <v>0</v>
      </c>
      <c r="I788" t="n">
        <v>0</v>
      </c>
      <c r="J788" t="n">
        <v>0</v>
      </c>
      <c r="K788" t="n">
        <v>0</v>
      </c>
      <c r="L788" t="n">
        <v>0</v>
      </c>
      <c r="M788" t="n">
        <v>0</v>
      </c>
      <c r="N788" t="n">
        <v>0</v>
      </c>
      <c r="O788" t="n">
        <v>0</v>
      </c>
      <c r="P788" t="n">
        <v>0</v>
      </c>
      <c r="Q788" t="n">
        <v>0</v>
      </c>
      <c r="R788" s="2" t="inlineStr"/>
    </row>
    <row r="789" ht="15" customHeight="1">
      <c r="A789" t="inlineStr">
        <is>
          <t>A 59947-2023</t>
        </is>
      </c>
      <c r="B789" s="1" t="n">
        <v>45257</v>
      </c>
      <c r="C789" s="1" t="n">
        <v>45795</v>
      </c>
      <c r="D789" t="inlineStr">
        <is>
          <t>DALARNAS LÄN</t>
        </is>
      </c>
      <c r="E789" t="inlineStr">
        <is>
          <t>ÄLVDALEN</t>
        </is>
      </c>
      <c r="G789" t="n">
        <v>3.1</v>
      </c>
      <c r="H789" t="n">
        <v>0</v>
      </c>
      <c r="I789" t="n">
        <v>0</v>
      </c>
      <c r="J789" t="n">
        <v>0</v>
      </c>
      <c r="K789" t="n">
        <v>0</v>
      </c>
      <c r="L789" t="n">
        <v>0</v>
      </c>
      <c r="M789" t="n">
        <v>0</v>
      </c>
      <c r="N789" t="n">
        <v>0</v>
      </c>
      <c r="O789" t="n">
        <v>0</v>
      </c>
      <c r="P789" t="n">
        <v>0</v>
      </c>
      <c r="Q789" t="n">
        <v>0</v>
      </c>
      <c r="R789" s="2" t="inlineStr"/>
    </row>
    <row r="790" ht="15" customHeight="1">
      <c r="A790" t="inlineStr">
        <is>
          <t>A 60354-2023</t>
        </is>
      </c>
      <c r="B790" s="1" t="n">
        <v>45259</v>
      </c>
      <c r="C790" s="1" t="n">
        <v>45795</v>
      </c>
      <c r="D790" t="inlineStr">
        <is>
          <t>DALARNAS LÄN</t>
        </is>
      </c>
      <c r="E790" t="inlineStr">
        <is>
          <t>ÄLVDALEN</t>
        </is>
      </c>
      <c r="F790" t="inlineStr">
        <is>
          <t>Allmännings- och besparingsskogar</t>
        </is>
      </c>
      <c r="G790" t="n">
        <v>30.3</v>
      </c>
      <c r="H790" t="n">
        <v>0</v>
      </c>
      <c r="I790" t="n">
        <v>0</v>
      </c>
      <c r="J790" t="n">
        <v>0</v>
      </c>
      <c r="K790" t="n">
        <v>0</v>
      </c>
      <c r="L790" t="n">
        <v>0</v>
      </c>
      <c r="M790" t="n">
        <v>0</v>
      </c>
      <c r="N790" t="n">
        <v>0</v>
      </c>
      <c r="O790" t="n">
        <v>0</v>
      </c>
      <c r="P790" t="n">
        <v>0</v>
      </c>
      <c r="Q790" t="n">
        <v>0</v>
      </c>
      <c r="R790" s="2" t="inlineStr"/>
    </row>
    <row r="791" ht="15" customHeight="1">
      <c r="A791" t="inlineStr">
        <is>
          <t>A 60655-2023</t>
        </is>
      </c>
      <c r="B791" s="1" t="n">
        <v>45260</v>
      </c>
      <c r="C791" s="1" t="n">
        <v>45795</v>
      </c>
      <c r="D791" t="inlineStr">
        <is>
          <t>DALARNAS LÄN</t>
        </is>
      </c>
      <c r="E791" t="inlineStr">
        <is>
          <t>ÄLVDALEN</t>
        </is>
      </c>
      <c r="G791" t="n">
        <v>3</v>
      </c>
      <c r="H791" t="n">
        <v>0</v>
      </c>
      <c r="I791" t="n">
        <v>0</v>
      </c>
      <c r="J791" t="n">
        <v>0</v>
      </c>
      <c r="K791" t="n">
        <v>0</v>
      </c>
      <c r="L791" t="n">
        <v>0</v>
      </c>
      <c r="M791" t="n">
        <v>0</v>
      </c>
      <c r="N791" t="n">
        <v>0</v>
      </c>
      <c r="O791" t="n">
        <v>0</v>
      </c>
      <c r="P791" t="n">
        <v>0</v>
      </c>
      <c r="Q791" t="n">
        <v>0</v>
      </c>
      <c r="R791" s="2" t="inlineStr"/>
    </row>
    <row r="792" ht="15" customHeight="1">
      <c r="A792" t="inlineStr">
        <is>
          <t>A 60716-2023</t>
        </is>
      </c>
      <c r="B792" s="1" t="n">
        <v>45260</v>
      </c>
      <c r="C792" s="1" t="n">
        <v>45795</v>
      </c>
      <c r="D792" t="inlineStr">
        <is>
          <t>DALARNAS LÄN</t>
        </is>
      </c>
      <c r="E792" t="inlineStr">
        <is>
          <t>ÄLVDALEN</t>
        </is>
      </c>
      <c r="G792" t="n">
        <v>1.2</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45795</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61714-2023</t>
        </is>
      </c>
      <c r="B794" s="1" t="n">
        <v>45265</v>
      </c>
      <c r="C794" s="1" t="n">
        <v>45795</v>
      </c>
      <c r="D794" t="inlineStr">
        <is>
          <t>DALARNAS LÄN</t>
        </is>
      </c>
      <c r="E794" t="inlineStr">
        <is>
          <t>ÄLVDALEN</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62525-2023</t>
        </is>
      </c>
      <c r="B795" s="1" t="n">
        <v>45268</v>
      </c>
      <c r="C795" s="1" t="n">
        <v>45795</v>
      </c>
      <c r="D795" t="inlineStr">
        <is>
          <t>DALARNAS LÄN</t>
        </is>
      </c>
      <c r="E795" t="inlineStr">
        <is>
          <t>ÄLVDALEN</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62935-2023</t>
        </is>
      </c>
      <c r="B796" s="1" t="n">
        <v>45272</v>
      </c>
      <c r="C796" s="1" t="n">
        <v>45795</v>
      </c>
      <c r="D796" t="inlineStr">
        <is>
          <t>DALARNAS LÄN</t>
        </is>
      </c>
      <c r="E796" t="inlineStr">
        <is>
          <t>ÄLVDALEN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63494-2023</t>
        </is>
      </c>
      <c r="B797" s="1" t="n">
        <v>45274</v>
      </c>
      <c r="C797" s="1" t="n">
        <v>45795</v>
      </c>
      <c r="D797" t="inlineStr">
        <is>
          <t>DALARNAS LÄN</t>
        </is>
      </c>
      <c r="E797" t="inlineStr">
        <is>
          <t>ÄLVDALEN</t>
        </is>
      </c>
      <c r="F797" t="inlineStr">
        <is>
          <t>Allmännings- och besparingsskogar</t>
        </is>
      </c>
      <c r="G797" t="n">
        <v>14.9</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45795</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64699-2023</t>
        </is>
      </c>
      <c r="B799" s="1" t="n">
        <v>45281</v>
      </c>
      <c r="C799" s="1" t="n">
        <v>45795</v>
      </c>
      <c r="D799" t="inlineStr">
        <is>
          <t>DALARNAS LÄN</t>
        </is>
      </c>
      <c r="E799" t="inlineStr">
        <is>
          <t>ÄLVDALEN</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505-2024</t>
        </is>
      </c>
      <c r="B800" s="1" t="n">
        <v>45299</v>
      </c>
      <c r="C800" s="1" t="n">
        <v>45795</v>
      </c>
      <c r="D800" t="inlineStr">
        <is>
          <t>DALARNAS LÄN</t>
        </is>
      </c>
      <c r="E800" t="inlineStr">
        <is>
          <t>ÄLVDALEN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510-2024</t>
        </is>
      </c>
      <c r="B801" s="1" t="n">
        <v>45299</v>
      </c>
      <c r="C801" s="1" t="n">
        <v>45795</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1310-2024</t>
        </is>
      </c>
      <c r="B802" s="1" t="n">
        <v>45303</v>
      </c>
      <c r="C802" s="1" t="n">
        <v>45795</v>
      </c>
      <c r="D802" t="inlineStr">
        <is>
          <t>DALARNAS LÄN</t>
        </is>
      </c>
      <c r="E802" t="inlineStr">
        <is>
          <t>ÄLVDALEN</t>
        </is>
      </c>
      <c r="G802" t="n">
        <v>4.3</v>
      </c>
      <c r="H802" t="n">
        <v>0</v>
      </c>
      <c r="I802" t="n">
        <v>0</v>
      </c>
      <c r="J802" t="n">
        <v>0</v>
      </c>
      <c r="K802" t="n">
        <v>0</v>
      </c>
      <c r="L802" t="n">
        <v>0</v>
      </c>
      <c r="M802" t="n">
        <v>0</v>
      </c>
      <c r="N802" t="n">
        <v>0</v>
      </c>
      <c r="O802" t="n">
        <v>0</v>
      </c>
      <c r="P802" t="n">
        <v>0</v>
      </c>
      <c r="Q802" t="n">
        <v>0</v>
      </c>
      <c r="R802" s="2" t="inlineStr"/>
    </row>
    <row r="803" ht="15" customHeight="1">
      <c r="A803" t="inlineStr">
        <is>
          <t>A 1804-2024</t>
        </is>
      </c>
      <c r="B803" s="1" t="n">
        <v>45307</v>
      </c>
      <c r="C803" s="1" t="n">
        <v>45795</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1790-2024</t>
        </is>
      </c>
      <c r="B804" s="1" t="n">
        <v>45307</v>
      </c>
      <c r="C804" s="1" t="n">
        <v>45795</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45795</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2375-2024</t>
        </is>
      </c>
      <c r="B806" s="1" t="n">
        <v>45310</v>
      </c>
      <c r="C806" s="1" t="n">
        <v>45795</v>
      </c>
      <c r="D806" t="inlineStr">
        <is>
          <t>DALARNAS LÄN</t>
        </is>
      </c>
      <c r="E806" t="inlineStr">
        <is>
          <t>ÄLVDALEN</t>
        </is>
      </c>
      <c r="G806" t="n">
        <v>5.4</v>
      </c>
      <c r="H806" t="n">
        <v>0</v>
      </c>
      <c r="I806" t="n">
        <v>0</v>
      </c>
      <c r="J806" t="n">
        <v>0</v>
      </c>
      <c r="K806" t="n">
        <v>0</v>
      </c>
      <c r="L806" t="n">
        <v>0</v>
      </c>
      <c r="M806" t="n">
        <v>0</v>
      </c>
      <c r="N806" t="n">
        <v>0</v>
      </c>
      <c r="O806" t="n">
        <v>0</v>
      </c>
      <c r="P806" t="n">
        <v>0</v>
      </c>
      <c r="Q806" t="n">
        <v>0</v>
      </c>
      <c r="R806" s="2" t="inlineStr"/>
    </row>
    <row r="807" ht="15" customHeight="1">
      <c r="A807" t="inlineStr">
        <is>
          <t>A 2384-2024</t>
        </is>
      </c>
      <c r="B807" s="1" t="n">
        <v>45310</v>
      </c>
      <c r="C807" s="1" t="n">
        <v>45795</v>
      </c>
      <c r="D807" t="inlineStr">
        <is>
          <t>DALARNAS LÄN</t>
        </is>
      </c>
      <c r="E807" t="inlineStr">
        <is>
          <t>ÄLVDALEN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2377-2024</t>
        </is>
      </c>
      <c r="B808" s="1" t="n">
        <v>45310</v>
      </c>
      <c r="C808" s="1" t="n">
        <v>45795</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2381-2024</t>
        </is>
      </c>
      <c r="B809" s="1" t="n">
        <v>45310</v>
      </c>
      <c r="C809" s="1" t="n">
        <v>45795</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2410-2024</t>
        </is>
      </c>
      <c r="B810" s="1" t="n">
        <v>45310</v>
      </c>
      <c r="C810" s="1" t="n">
        <v>45795</v>
      </c>
      <c r="D810" t="inlineStr">
        <is>
          <t>DALARNAS LÄN</t>
        </is>
      </c>
      <c r="E810" t="inlineStr">
        <is>
          <t>ÄLVDALEN</t>
        </is>
      </c>
      <c r="G810" t="n">
        <v>0.7</v>
      </c>
      <c r="H810" t="n">
        <v>0</v>
      </c>
      <c r="I810" t="n">
        <v>0</v>
      </c>
      <c r="J810" t="n">
        <v>0</v>
      </c>
      <c r="K810" t="n">
        <v>0</v>
      </c>
      <c r="L810" t="n">
        <v>0</v>
      </c>
      <c r="M810" t="n">
        <v>0</v>
      </c>
      <c r="N810" t="n">
        <v>0</v>
      </c>
      <c r="O810" t="n">
        <v>0</v>
      </c>
      <c r="P810" t="n">
        <v>0</v>
      </c>
      <c r="Q810" t="n">
        <v>0</v>
      </c>
      <c r="R810" s="2" t="inlineStr"/>
    </row>
    <row r="811" ht="15" customHeight="1">
      <c r="A811" t="inlineStr">
        <is>
          <t>A 3009-2024</t>
        </is>
      </c>
      <c r="B811" s="1" t="n">
        <v>45315</v>
      </c>
      <c r="C811" s="1" t="n">
        <v>45795</v>
      </c>
      <c r="D811" t="inlineStr">
        <is>
          <t>DALARNAS LÄN</t>
        </is>
      </c>
      <c r="E811" t="inlineStr">
        <is>
          <t>ÄLVDALEN</t>
        </is>
      </c>
      <c r="G811" t="n">
        <v>7</v>
      </c>
      <c r="H811" t="n">
        <v>0</v>
      </c>
      <c r="I811" t="n">
        <v>0</v>
      </c>
      <c r="J811" t="n">
        <v>0</v>
      </c>
      <c r="K811" t="n">
        <v>0</v>
      </c>
      <c r="L811" t="n">
        <v>0</v>
      </c>
      <c r="M811" t="n">
        <v>0</v>
      </c>
      <c r="N811" t="n">
        <v>0</v>
      </c>
      <c r="O811" t="n">
        <v>0</v>
      </c>
      <c r="P811" t="n">
        <v>0</v>
      </c>
      <c r="Q811" t="n">
        <v>0</v>
      </c>
      <c r="R811" s="2" t="inlineStr"/>
    </row>
    <row r="812" ht="15" customHeight="1">
      <c r="A812" t="inlineStr">
        <is>
          <t>A 3050-2024</t>
        </is>
      </c>
      <c r="B812" s="1" t="n">
        <v>45316</v>
      </c>
      <c r="C812" s="1" t="n">
        <v>45795</v>
      </c>
      <c r="D812" t="inlineStr">
        <is>
          <t>DALARNAS LÄN</t>
        </is>
      </c>
      <c r="E812" t="inlineStr">
        <is>
          <t>ÄLVDALEN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3808-2024</t>
        </is>
      </c>
      <c r="B813" s="1" t="n">
        <v>45321</v>
      </c>
      <c r="C813" s="1" t="n">
        <v>45795</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3903-2024</t>
        </is>
      </c>
      <c r="B814" s="1" t="n">
        <v>45322</v>
      </c>
      <c r="C814" s="1" t="n">
        <v>45795</v>
      </c>
      <c r="D814" t="inlineStr">
        <is>
          <t>DALARNAS LÄN</t>
        </is>
      </c>
      <c r="E814" t="inlineStr">
        <is>
          <t>ÄLVDALEN</t>
        </is>
      </c>
      <c r="G814" t="n">
        <v>0.7</v>
      </c>
      <c r="H814" t="n">
        <v>0</v>
      </c>
      <c r="I814" t="n">
        <v>0</v>
      </c>
      <c r="J814" t="n">
        <v>0</v>
      </c>
      <c r="K814" t="n">
        <v>0</v>
      </c>
      <c r="L814" t="n">
        <v>0</v>
      </c>
      <c r="M814" t="n">
        <v>0</v>
      </c>
      <c r="N814" t="n">
        <v>0</v>
      </c>
      <c r="O814" t="n">
        <v>0</v>
      </c>
      <c r="P814" t="n">
        <v>0</v>
      </c>
      <c r="Q814" t="n">
        <v>0</v>
      </c>
      <c r="R814" s="2" t="inlineStr"/>
    </row>
    <row r="815" ht="15" customHeight="1">
      <c r="A815" t="inlineStr">
        <is>
          <t>A 3914-2024</t>
        </is>
      </c>
      <c r="B815" s="1" t="n">
        <v>45322</v>
      </c>
      <c r="C815" s="1" t="n">
        <v>45795</v>
      </c>
      <c r="D815" t="inlineStr">
        <is>
          <t>DALARNAS LÄN</t>
        </is>
      </c>
      <c r="E815" t="inlineStr">
        <is>
          <t>ÄLVDALEN</t>
        </is>
      </c>
      <c r="G815" t="n">
        <v>0.3</v>
      </c>
      <c r="H815" t="n">
        <v>0</v>
      </c>
      <c r="I815" t="n">
        <v>0</v>
      </c>
      <c r="J815" t="n">
        <v>0</v>
      </c>
      <c r="K815" t="n">
        <v>0</v>
      </c>
      <c r="L815" t="n">
        <v>0</v>
      </c>
      <c r="M815" t="n">
        <v>0</v>
      </c>
      <c r="N815" t="n">
        <v>0</v>
      </c>
      <c r="O815" t="n">
        <v>0</v>
      </c>
      <c r="P815" t="n">
        <v>0</v>
      </c>
      <c r="Q815" t="n">
        <v>0</v>
      </c>
      <c r="R815" s="2" t="inlineStr"/>
    </row>
    <row r="816" ht="15" customHeight="1">
      <c r="A816" t="inlineStr">
        <is>
          <t>A 3893-2024</t>
        </is>
      </c>
      <c r="B816" s="1" t="n">
        <v>45322</v>
      </c>
      <c r="C816" s="1" t="n">
        <v>45795</v>
      </c>
      <c r="D816" t="inlineStr">
        <is>
          <t>DALARNAS LÄN</t>
        </is>
      </c>
      <c r="E816" t="inlineStr">
        <is>
          <t>ÄLVDALEN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45795</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45795</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45795</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45795</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4050-2024</t>
        </is>
      </c>
      <c r="B821" s="1" t="n">
        <v>45323</v>
      </c>
      <c r="C821" s="1" t="n">
        <v>45795</v>
      </c>
      <c r="D821" t="inlineStr">
        <is>
          <t>DALARNAS LÄN</t>
        </is>
      </c>
      <c r="E821" t="inlineStr">
        <is>
          <t>ÄLVDALEN</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4380-2024</t>
        </is>
      </c>
      <c r="B822" s="1" t="n">
        <v>45327</v>
      </c>
      <c r="C822" s="1" t="n">
        <v>45795</v>
      </c>
      <c r="D822" t="inlineStr">
        <is>
          <t>DALARNAS LÄN</t>
        </is>
      </c>
      <c r="E822" t="inlineStr">
        <is>
          <t>ÄLVDALEN</t>
        </is>
      </c>
      <c r="G822" t="n">
        <v>6.3</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45795</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4662-2024</t>
        </is>
      </c>
      <c r="B824" s="1" t="n">
        <v>45328</v>
      </c>
      <c r="C824" s="1" t="n">
        <v>45795</v>
      </c>
      <c r="D824" t="inlineStr">
        <is>
          <t>DALARNAS LÄN</t>
        </is>
      </c>
      <c r="E824" t="inlineStr">
        <is>
          <t>ÄLVDALEN</t>
        </is>
      </c>
      <c r="G824" t="n">
        <v>4.9</v>
      </c>
      <c r="H824" t="n">
        <v>0</v>
      </c>
      <c r="I824" t="n">
        <v>0</v>
      </c>
      <c r="J824" t="n">
        <v>0</v>
      </c>
      <c r="K824" t="n">
        <v>0</v>
      </c>
      <c r="L824" t="n">
        <v>0</v>
      </c>
      <c r="M824" t="n">
        <v>0</v>
      </c>
      <c r="N824" t="n">
        <v>0</v>
      </c>
      <c r="O824" t="n">
        <v>0</v>
      </c>
      <c r="P824" t="n">
        <v>0</v>
      </c>
      <c r="Q824" t="n">
        <v>0</v>
      </c>
      <c r="R824" s="2" t="inlineStr"/>
    </row>
    <row r="825" ht="15" customHeight="1">
      <c r="A825" t="inlineStr">
        <is>
          <t>A 4709-2024</t>
        </is>
      </c>
      <c r="B825" s="1" t="n">
        <v>45328</v>
      </c>
      <c r="C825" s="1" t="n">
        <v>45795</v>
      </c>
      <c r="D825" t="inlineStr">
        <is>
          <t>DALARNAS LÄN</t>
        </is>
      </c>
      <c r="E825" t="inlineStr">
        <is>
          <t>ÄLVDALEN</t>
        </is>
      </c>
      <c r="G825" t="n">
        <v>9.1</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45795</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45795</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5170-2024</t>
        </is>
      </c>
      <c r="B828" s="1" t="n">
        <v>45330</v>
      </c>
      <c r="C828" s="1" t="n">
        <v>45795</v>
      </c>
      <c r="D828" t="inlineStr">
        <is>
          <t>DALARNAS LÄN</t>
        </is>
      </c>
      <c r="E828" t="inlineStr">
        <is>
          <t>ÄLVDALEN</t>
        </is>
      </c>
      <c r="G828" t="n">
        <v>15.8</v>
      </c>
      <c r="H828" t="n">
        <v>0</v>
      </c>
      <c r="I828" t="n">
        <v>0</v>
      </c>
      <c r="J828" t="n">
        <v>0</v>
      </c>
      <c r="K828" t="n">
        <v>0</v>
      </c>
      <c r="L828" t="n">
        <v>0</v>
      </c>
      <c r="M828" t="n">
        <v>0</v>
      </c>
      <c r="N828" t="n">
        <v>0</v>
      </c>
      <c r="O828" t="n">
        <v>0</v>
      </c>
      <c r="P828" t="n">
        <v>0</v>
      </c>
      <c r="Q828" t="n">
        <v>0</v>
      </c>
      <c r="R828" s="2" t="inlineStr"/>
    </row>
    <row r="829" ht="15" customHeight="1">
      <c r="A829" t="inlineStr">
        <is>
          <t>A 5883-2024</t>
        </is>
      </c>
      <c r="B829" s="1" t="n">
        <v>45335</v>
      </c>
      <c r="C829" s="1" t="n">
        <v>45795</v>
      </c>
      <c r="D829" t="inlineStr">
        <is>
          <t>DALARNAS LÄN</t>
        </is>
      </c>
      <c r="E829" t="inlineStr">
        <is>
          <t>ÄLVDALEN</t>
        </is>
      </c>
      <c r="G829" t="n">
        <v>12</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45795</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6001-2024</t>
        </is>
      </c>
      <c r="B831" s="1" t="n">
        <v>45336</v>
      </c>
      <c r="C831" s="1" t="n">
        <v>45795</v>
      </c>
      <c r="D831" t="inlineStr">
        <is>
          <t>DALARNAS LÄN</t>
        </is>
      </c>
      <c r="E831" t="inlineStr">
        <is>
          <t>ÄLVDALEN</t>
        </is>
      </c>
      <c r="G831" t="n">
        <v>1.4</v>
      </c>
      <c r="H831" t="n">
        <v>0</v>
      </c>
      <c r="I831" t="n">
        <v>0</v>
      </c>
      <c r="J831" t="n">
        <v>0</v>
      </c>
      <c r="K831" t="n">
        <v>0</v>
      </c>
      <c r="L831" t="n">
        <v>0</v>
      </c>
      <c r="M831" t="n">
        <v>0</v>
      </c>
      <c r="N831" t="n">
        <v>0</v>
      </c>
      <c r="O831" t="n">
        <v>0</v>
      </c>
      <c r="P831" t="n">
        <v>0</v>
      </c>
      <c r="Q831" t="n">
        <v>0</v>
      </c>
      <c r="R831" s="2" t="inlineStr"/>
    </row>
    <row r="832" ht="15" customHeight="1">
      <c r="A832" t="inlineStr">
        <is>
          <t>A 6230-2024</t>
        </is>
      </c>
      <c r="B832" s="1" t="n">
        <v>45337</v>
      </c>
      <c r="C832" s="1" t="n">
        <v>45795</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6652-2024</t>
        </is>
      </c>
      <c r="B833" s="1" t="n">
        <v>45341</v>
      </c>
      <c r="C833" s="1" t="n">
        <v>45795</v>
      </c>
      <c r="D833" t="inlineStr">
        <is>
          <t>DALARNAS LÄN</t>
        </is>
      </c>
      <c r="E833" t="inlineStr">
        <is>
          <t>ÄLVDALEN</t>
        </is>
      </c>
      <c r="G833" t="n">
        <v>3.6</v>
      </c>
      <c r="H833" t="n">
        <v>0</v>
      </c>
      <c r="I833" t="n">
        <v>0</v>
      </c>
      <c r="J833" t="n">
        <v>0</v>
      </c>
      <c r="K833" t="n">
        <v>0</v>
      </c>
      <c r="L833" t="n">
        <v>0</v>
      </c>
      <c r="M833" t="n">
        <v>0</v>
      </c>
      <c r="N833" t="n">
        <v>0</v>
      </c>
      <c r="O833" t="n">
        <v>0</v>
      </c>
      <c r="P833" t="n">
        <v>0</v>
      </c>
      <c r="Q833" t="n">
        <v>0</v>
      </c>
      <c r="R833" s="2" t="inlineStr"/>
    </row>
    <row r="834" ht="15" customHeight="1">
      <c r="A834" t="inlineStr">
        <is>
          <t>A 7045-2024</t>
        </is>
      </c>
      <c r="B834" s="1" t="n">
        <v>45343</v>
      </c>
      <c r="C834" s="1" t="n">
        <v>45795</v>
      </c>
      <c r="D834" t="inlineStr">
        <is>
          <t>DALARNAS LÄN</t>
        </is>
      </c>
      <c r="E834" t="inlineStr">
        <is>
          <t>ÄLVDALEN</t>
        </is>
      </c>
      <c r="G834" t="n">
        <v>13</v>
      </c>
      <c r="H834" t="n">
        <v>0</v>
      </c>
      <c r="I834" t="n">
        <v>0</v>
      </c>
      <c r="J834" t="n">
        <v>0</v>
      </c>
      <c r="K834" t="n">
        <v>0</v>
      </c>
      <c r="L834" t="n">
        <v>0</v>
      </c>
      <c r="M834" t="n">
        <v>0</v>
      </c>
      <c r="N834" t="n">
        <v>0</v>
      </c>
      <c r="O834" t="n">
        <v>0</v>
      </c>
      <c r="P834" t="n">
        <v>0</v>
      </c>
      <c r="Q834" t="n">
        <v>0</v>
      </c>
      <c r="R834" s="2" t="inlineStr"/>
    </row>
    <row r="835" ht="15" customHeight="1">
      <c r="A835" t="inlineStr">
        <is>
          <t>A 7581-2024</t>
        </is>
      </c>
      <c r="B835" s="1" t="n">
        <v>45348</v>
      </c>
      <c r="C835" s="1" t="n">
        <v>45795</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7541-2024</t>
        </is>
      </c>
      <c r="B836" s="1" t="n">
        <v>45348</v>
      </c>
      <c r="C836" s="1" t="n">
        <v>45795</v>
      </c>
      <c r="D836" t="inlineStr">
        <is>
          <t>DALARNAS LÄN</t>
        </is>
      </c>
      <c r="E836" t="inlineStr">
        <is>
          <t>ÄLVDALEN</t>
        </is>
      </c>
      <c r="G836" t="n">
        <v>2.1</v>
      </c>
      <c r="H836" t="n">
        <v>0</v>
      </c>
      <c r="I836" t="n">
        <v>0</v>
      </c>
      <c r="J836" t="n">
        <v>0</v>
      </c>
      <c r="K836" t="n">
        <v>0</v>
      </c>
      <c r="L836" t="n">
        <v>0</v>
      </c>
      <c r="M836" t="n">
        <v>0</v>
      </c>
      <c r="N836" t="n">
        <v>0</v>
      </c>
      <c r="O836" t="n">
        <v>0</v>
      </c>
      <c r="P836" t="n">
        <v>0</v>
      </c>
      <c r="Q836" t="n">
        <v>0</v>
      </c>
      <c r="R836" s="2" t="inlineStr"/>
    </row>
    <row r="837" ht="15" customHeight="1">
      <c r="A837" t="inlineStr">
        <is>
          <t>A 7576-2024</t>
        </is>
      </c>
      <c r="B837" s="1" t="n">
        <v>45348</v>
      </c>
      <c r="C837" s="1" t="n">
        <v>45795</v>
      </c>
      <c r="D837" t="inlineStr">
        <is>
          <t>DALARNAS LÄN</t>
        </is>
      </c>
      <c r="E837" t="inlineStr">
        <is>
          <t>ÄLVDALEN</t>
        </is>
      </c>
      <c r="G837" t="n">
        <v>11.1</v>
      </c>
      <c r="H837" t="n">
        <v>0</v>
      </c>
      <c r="I837" t="n">
        <v>0</v>
      </c>
      <c r="J837" t="n">
        <v>0</v>
      </c>
      <c r="K837" t="n">
        <v>0</v>
      </c>
      <c r="L837" t="n">
        <v>0</v>
      </c>
      <c r="M837" t="n">
        <v>0</v>
      </c>
      <c r="N837" t="n">
        <v>0</v>
      </c>
      <c r="O837" t="n">
        <v>0</v>
      </c>
      <c r="P837" t="n">
        <v>0</v>
      </c>
      <c r="Q837" t="n">
        <v>0</v>
      </c>
      <c r="R837" s="2" t="inlineStr"/>
    </row>
    <row r="838" ht="15" customHeight="1">
      <c r="A838" t="inlineStr">
        <is>
          <t>A 7998-2024</t>
        </is>
      </c>
      <c r="B838" s="1" t="n">
        <v>45350</v>
      </c>
      <c r="C838" s="1" t="n">
        <v>45795</v>
      </c>
      <c r="D838" t="inlineStr">
        <is>
          <t>DALARNAS LÄN</t>
        </is>
      </c>
      <c r="E838" t="inlineStr">
        <is>
          <t>ÄLVDALEN</t>
        </is>
      </c>
      <c r="F838" t="inlineStr">
        <is>
          <t>Kommuner</t>
        </is>
      </c>
      <c r="G838" t="n">
        <v>7.9</v>
      </c>
      <c r="H838" t="n">
        <v>0</v>
      </c>
      <c r="I838" t="n">
        <v>0</v>
      </c>
      <c r="J838" t="n">
        <v>0</v>
      </c>
      <c r="K838" t="n">
        <v>0</v>
      </c>
      <c r="L838" t="n">
        <v>0</v>
      </c>
      <c r="M838" t="n">
        <v>0</v>
      </c>
      <c r="N838" t="n">
        <v>0</v>
      </c>
      <c r="O838" t="n">
        <v>0</v>
      </c>
      <c r="P838" t="n">
        <v>0</v>
      </c>
      <c r="Q838" t="n">
        <v>0</v>
      </c>
      <c r="R838" s="2" t="inlineStr"/>
    </row>
    <row r="839" ht="15" customHeight="1">
      <c r="A839" t="inlineStr">
        <is>
          <t>A 8784-2024</t>
        </is>
      </c>
      <c r="B839" s="1" t="n">
        <v>45356</v>
      </c>
      <c r="C839" s="1" t="n">
        <v>45795</v>
      </c>
      <c r="D839" t="inlineStr">
        <is>
          <t>DALARNAS LÄN</t>
        </is>
      </c>
      <c r="E839" t="inlineStr">
        <is>
          <t>ÄLVDALEN</t>
        </is>
      </c>
      <c r="G839" t="n">
        <v>1.6</v>
      </c>
      <c r="H839" t="n">
        <v>0</v>
      </c>
      <c r="I839" t="n">
        <v>0</v>
      </c>
      <c r="J839" t="n">
        <v>0</v>
      </c>
      <c r="K839" t="n">
        <v>0</v>
      </c>
      <c r="L839" t="n">
        <v>0</v>
      </c>
      <c r="M839" t="n">
        <v>0</v>
      </c>
      <c r="N839" t="n">
        <v>0</v>
      </c>
      <c r="O839" t="n">
        <v>0</v>
      </c>
      <c r="P839" t="n">
        <v>0</v>
      </c>
      <c r="Q839" t="n">
        <v>0</v>
      </c>
      <c r="R839" s="2" t="inlineStr"/>
    </row>
    <row r="840" ht="15" customHeight="1">
      <c r="A840" t="inlineStr">
        <is>
          <t>A 9084-2024</t>
        </is>
      </c>
      <c r="B840" s="1" t="n">
        <v>45357</v>
      </c>
      <c r="C840" s="1" t="n">
        <v>45795</v>
      </c>
      <c r="D840" t="inlineStr">
        <is>
          <t>DALARNAS LÄN</t>
        </is>
      </c>
      <c r="E840" t="inlineStr">
        <is>
          <t>ÄLVDALEN</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9100-2024</t>
        </is>
      </c>
      <c r="B841" s="1" t="n">
        <v>45357</v>
      </c>
      <c r="C841" s="1" t="n">
        <v>45795</v>
      </c>
      <c r="D841" t="inlineStr">
        <is>
          <t>DALARNAS LÄN</t>
        </is>
      </c>
      <c r="E841" t="inlineStr">
        <is>
          <t>ÄLVDALEN</t>
        </is>
      </c>
      <c r="F841" t="inlineStr">
        <is>
          <t>Övriga Aktiebolag</t>
        </is>
      </c>
      <c r="G841" t="n">
        <v>6.3</v>
      </c>
      <c r="H841" t="n">
        <v>0</v>
      </c>
      <c r="I841" t="n">
        <v>0</v>
      </c>
      <c r="J841" t="n">
        <v>0</v>
      </c>
      <c r="K841" t="n">
        <v>0</v>
      </c>
      <c r="L841" t="n">
        <v>0</v>
      </c>
      <c r="M841" t="n">
        <v>0</v>
      </c>
      <c r="N841" t="n">
        <v>0</v>
      </c>
      <c r="O841" t="n">
        <v>0</v>
      </c>
      <c r="P841" t="n">
        <v>0</v>
      </c>
      <c r="Q841" t="n">
        <v>0</v>
      </c>
      <c r="R841" s="2" t="inlineStr"/>
    </row>
    <row r="842" ht="15" customHeight="1">
      <c r="A842" t="inlineStr">
        <is>
          <t>A 9091-2024</t>
        </is>
      </c>
      <c r="B842" s="1" t="n">
        <v>45357</v>
      </c>
      <c r="C842" s="1" t="n">
        <v>45795</v>
      </c>
      <c r="D842" t="inlineStr">
        <is>
          <t>DALARNAS LÄN</t>
        </is>
      </c>
      <c r="E842" t="inlineStr">
        <is>
          <t>ÄLVDALEN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9108-2024</t>
        </is>
      </c>
      <c r="B843" s="1" t="n">
        <v>45358</v>
      </c>
      <c r="C843" s="1" t="n">
        <v>45795</v>
      </c>
      <c r="D843" t="inlineStr">
        <is>
          <t>DALARNAS LÄN</t>
        </is>
      </c>
      <c r="E843" t="inlineStr">
        <is>
          <t>ÄLVDALEN</t>
        </is>
      </c>
      <c r="F843" t="inlineStr">
        <is>
          <t>Övriga Aktiebolag</t>
        </is>
      </c>
      <c r="G843" t="n">
        <v>24.4</v>
      </c>
      <c r="H843" t="n">
        <v>0</v>
      </c>
      <c r="I843" t="n">
        <v>0</v>
      </c>
      <c r="J843" t="n">
        <v>0</v>
      </c>
      <c r="K843" t="n">
        <v>0</v>
      </c>
      <c r="L843" t="n">
        <v>0</v>
      </c>
      <c r="M843" t="n">
        <v>0</v>
      </c>
      <c r="N843" t="n">
        <v>0</v>
      </c>
      <c r="O843" t="n">
        <v>0</v>
      </c>
      <c r="P843" t="n">
        <v>0</v>
      </c>
      <c r="Q843" t="n">
        <v>0</v>
      </c>
      <c r="R843" s="2" t="inlineStr"/>
    </row>
    <row r="844" ht="15" customHeight="1">
      <c r="A844" t="inlineStr">
        <is>
          <t>A 9085-2024</t>
        </is>
      </c>
      <c r="B844" s="1" t="n">
        <v>45357</v>
      </c>
      <c r="C844" s="1" t="n">
        <v>45795</v>
      </c>
      <c r="D844" t="inlineStr">
        <is>
          <t>DALARNAS LÄN</t>
        </is>
      </c>
      <c r="E844" t="inlineStr">
        <is>
          <t>ÄLVDALEN</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11891-2024</t>
        </is>
      </c>
      <c r="B845" s="1" t="n">
        <v>45376</v>
      </c>
      <c r="C845" s="1" t="n">
        <v>45795</v>
      </c>
      <c r="D845" t="inlineStr">
        <is>
          <t>DALARNAS LÄN</t>
        </is>
      </c>
      <c r="E845" t="inlineStr">
        <is>
          <t>ÄLVDALEN</t>
        </is>
      </c>
      <c r="G845" t="n">
        <v>24.7</v>
      </c>
      <c r="H845" t="n">
        <v>0</v>
      </c>
      <c r="I845" t="n">
        <v>0</v>
      </c>
      <c r="J845" t="n">
        <v>0</v>
      </c>
      <c r="K845" t="n">
        <v>0</v>
      </c>
      <c r="L845" t="n">
        <v>0</v>
      </c>
      <c r="M845" t="n">
        <v>0</v>
      </c>
      <c r="N845" t="n">
        <v>0</v>
      </c>
      <c r="O845" t="n">
        <v>0</v>
      </c>
      <c r="P845" t="n">
        <v>0</v>
      </c>
      <c r="Q845" t="n">
        <v>0</v>
      </c>
      <c r="R845" s="2" t="inlineStr"/>
    </row>
    <row r="846" ht="15" customHeight="1">
      <c r="A846" t="inlineStr">
        <is>
          <t>A 12420-2024</t>
        </is>
      </c>
      <c r="B846" s="1" t="n">
        <v>45379</v>
      </c>
      <c r="C846" s="1" t="n">
        <v>45795</v>
      </c>
      <c r="D846" t="inlineStr">
        <is>
          <t>DALARNAS LÄN</t>
        </is>
      </c>
      <c r="E846" t="inlineStr">
        <is>
          <t>ÄLVDALEN</t>
        </is>
      </c>
      <c r="G846" t="n">
        <v>7.4</v>
      </c>
      <c r="H846" t="n">
        <v>0</v>
      </c>
      <c r="I846" t="n">
        <v>0</v>
      </c>
      <c r="J846" t="n">
        <v>0</v>
      </c>
      <c r="K846" t="n">
        <v>0</v>
      </c>
      <c r="L846" t="n">
        <v>0</v>
      </c>
      <c r="M846" t="n">
        <v>0</v>
      </c>
      <c r="N846" t="n">
        <v>0</v>
      </c>
      <c r="O846" t="n">
        <v>0</v>
      </c>
      <c r="P846" t="n">
        <v>0</v>
      </c>
      <c r="Q846" t="n">
        <v>0</v>
      </c>
      <c r="R846" s="2" t="inlineStr"/>
    </row>
    <row r="847" ht="15" customHeight="1">
      <c r="A847" t="inlineStr">
        <is>
          <t>A 13047-2024</t>
        </is>
      </c>
      <c r="B847" s="1" t="n">
        <v>45385</v>
      </c>
      <c r="C847" s="1" t="n">
        <v>45795</v>
      </c>
      <c r="D847" t="inlineStr">
        <is>
          <t>DALARNAS LÄN</t>
        </is>
      </c>
      <c r="E847" t="inlineStr">
        <is>
          <t>ÄLVDALEN</t>
        </is>
      </c>
      <c r="G847" t="n">
        <v>4.3</v>
      </c>
      <c r="H847" t="n">
        <v>0</v>
      </c>
      <c r="I847" t="n">
        <v>0</v>
      </c>
      <c r="J847" t="n">
        <v>0</v>
      </c>
      <c r="K847" t="n">
        <v>0</v>
      </c>
      <c r="L847" t="n">
        <v>0</v>
      </c>
      <c r="M847" t="n">
        <v>0</v>
      </c>
      <c r="N847" t="n">
        <v>0</v>
      </c>
      <c r="O847" t="n">
        <v>0</v>
      </c>
      <c r="P847" t="n">
        <v>0</v>
      </c>
      <c r="Q847" t="n">
        <v>0</v>
      </c>
      <c r="R847" s="2" t="inlineStr"/>
    </row>
    <row r="848" ht="15" customHeight="1">
      <c r="A848" t="inlineStr">
        <is>
          <t>A 13854-2024</t>
        </is>
      </c>
      <c r="B848" s="1" t="n">
        <v>45390</v>
      </c>
      <c r="C848" s="1" t="n">
        <v>45795</v>
      </c>
      <c r="D848" t="inlineStr">
        <is>
          <t>DALARNAS LÄN</t>
        </is>
      </c>
      <c r="E848" t="inlineStr">
        <is>
          <t>ÄLVDALEN</t>
        </is>
      </c>
      <c r="G848" t="n">
        <v>13.5</v>
      </c>
      <c r="H848" t="n">
        <v>0</v>
      </c>
      <c r="I848" t="n">
        <v>0</v>
      </c>
      <c r="J848" t="n">
        <v>0</v>
      </c>
      <c r="K848" t="n">
        <v>0</v>
      </c>
      <c r="L848" t="n">
        <v>0</v>
      </c>
      <c r="M848" t="n">
        <v>0</v>
      </c>
      <c r="N848" t="n">
        <v>0</v>
      </c>
      <c r="O848" t="n">
        <v>0</v>
      </c>
      <c r="P848" t="n">
        <v>0</v>
      </c>
      <c r="Q848" t="n">
        <v>0</v>
      </c>
      <c r="R848" s="2" t="inlineStr"/>
    </row>
    <row r="849" ht="15" customHeight="1">
      <c r="A849" t="inlineStr">
        <is>
          <t>A 14895-2024</t>
        </is>
      </c>
      <c r="B849" s="1" t="n">
        <v>45398</v>
      </c>
      <c r="C849" s="1" t="n">
        <v>45795</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15037-2024</t>
        </is>
      </c>
      <c r="B850" s="1" t="n">
        <v>45399</v>
      </c>
      <c r="C850" s="1" t="n">
        <v>45795</v>
      </c>
      <c r="D850" t="inlineStr">
        <is>
          <t>DALARNAS LÄN</t>
        </is>
      </c>
      <c r="E850" t="inlineStr">
        <is>
          <t>ÄLVDALEN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15647-2024</t>
        </is>
      </c>
      <c r="B851" s="1" t="n">
        <v>45404</v>
      </c>
      <c r="C851" s="1" t="n">
        <v>45795</v>
      </c>
      <c r="D851" t="inlineStr">
        <is>
          <t>DALARNAS LÄN</t>
        </is>
      </c>
      <c r="E851" t="inlineStr">
        <is>
          <t>ÄLVDALEN</t>
        </is>
      </c>
      <c r="F851" t="inlineStr">
        <is>
          <t>Bergvik skog väst AB</t>
        </is>
      </c>
      <c r="G851" t="n">
        <v>16.3</v>
      </c>
      <c r="H851" t="n">
        <v>0</v>
      </c>
      <c r="I851" t="n">
        <v>0</v>
      </c>
      <c r="J851" t="n">
        <v>0</v>
      </c>
      <c r="K851" t="n">
        <v>0</v>
      </c>
      <c r="L851" t="n">
        <v>0</v>
      </c>
      <c r="M851" t="n">
        <v>0</v>
      </c>
      <c r="N851" t="n">
        <v>0</v>
      </c>
      <c r="O851" t="n">
        <v>0</v>
      </c>
      <c r="P851" t="n">
        <v>0</v>
      </c>
      <c r="Q851" t="n">
        <v>0</v>
      </c>
      <c r="R851" s="2" t="inlineStr"/>
    </row>
    <row r="852" ht="15" customHeight="1">
      <c r="A852" t="inlineStr">
        <is>
          <t>A 15760-2024</t>
        </is>
      </c>
      <c r="B852" s="1" t="n">
        <v>45404</v>
      </c>
      <c r="C852" s="1" t="n">
        <v>45795</v>
      </c>
      <c r="D852" t="inlineStr">
        <is>
          <t>DALARNAS LÄN</t>
        </is>
      </c>
      <c r="E852" t="inlineStr">
        <is>
          <t>ÄLVDALEN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15652-2024</t>
        </is>
      </c>
      <c r="B853" s="1" t="n">
        <v>45404</v>
      </c>
      <c r="C853" s="1" t="n">
        <v>45795</v>
      </c>
      <c r="D853" t="inlineStr">
        <is>
          <t>DALARNAS LÄN</t>
        </is>
      </c>
      <c r="E853" t="inlineStr">
        <is>
          <t>ÄLVDALEN</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15759-2024</t>
        </is>
      </c>
      <c r="B854" s="1" t="n">
        <v>45404</v>
      </c>
      <c r="C854" s="1" t="n">
        <v>45795</v>
      </c>
      <c r="D854" t="inlineStr">
        <is>
          <t>DALARNAS LÄN</t>
        </is>
      </c>
      <c r="E854" t="inlineStr">
        <is>
          <t>ÄLVDALEN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17049-2024</t>
        </is>
      </c>
      <c r="B855" s="1" t="n">
        <v>45412</v>
      </c>
      <c r="C855" s="1" t="n">
        <v>45795</v>
      </c>
      <c r="D855" t="inlineStr">
        <is>
          <t>DALARNAS LÄN</t>
        </is>
      </c>
      <c r="E855" t="inlineStr">
        <is>
          <t>ÄLVDALEN</t>
        </is>
      </c>
      <c r="G855" t="n">
        <v>9.5</v>
      </c>
      <c r="H855" t="n">
        <v>0</v>
      </c>
      <c r="I855" t="n">
        <v>0</v>
      </c>
      <c r="J855" t="n">
        <v>0</v>
      </c>
      <c r="K855" t="n">
        <v>0</v>
      </c>
      <c r="L855" t="n">
        <v>0</v>
      </c>
      <c r="M855" t="n">
        <v>0</v>
      </c>
      <c r="N855" t="n">
        <v>0</v>
      </c>
      <c r="O855" t="n">
        <v>0</v>
      </c>
      <c r="P855" t="n">
        <v>0</v>
      </c>
      <c r="Q855" t="n">
        <v>0</v>
      </c>
      <c r="R855" s="2" t="inlineStr"/>
    </row>
    <row r="856" ht="15" customHeight="1">
      <c r="A856" t="inlineStr">
        <is>
          <t>A 17558-2024</t>
        </is>
      </c>
      <c r="B856" s="1" t="n">
        <v>45415</v>
      </c>
      <c r="C856" s="1" t="n">
        <v>45795</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17827-2024</t>
        </is>
      </c>
      <c r="B857" s="1" t="n">
        <v>45418</v>
      </c>
      <c r="C857" s="1" t="n">
        <v>45795</v>
      </c>
      <c r="D857" t="inlineStr">
        <is>
          <t>DALARNAS LÄN</t>
        </is>
      </c>
      <c r="E857" t="inlineStr">
        <is>
          <t>ÄLVDALEN</t>
        </is>
      </c>
      <c r="F857" t="inlineStr">
        <is>
          <t>Övriga statliga verk och myndigheter</t>
        </is>
      </c>
      <c r="G857" t="n">
        <v>12.3</v>
      </c>
      <c r="H857" t="n">
        <v>0</v>
      </c>
      <c r="I857" t="n">
        <v>0</v>
      </c>
      <c r="J857" t="n">
        <v>0</v>
      </c>
      <c r="K857" t="n">
        <v>0</v>
      </c>
      <c r="L857" t="n">
        <v>0</v>
      </c>
      <c r="M857" t="n">
        <v>0</v>
      </c>
      <c r="N857" t="n">
        <v>0</v>
      </c>
      <c r="O857" t="n">
        <v>0</v>
      </c>
      <c r="P857" t="n">
        <v>0</v>
      </c>
      <c r="Q857" t="n">
        <v>0</v>
      </c>
      <c r="R857" s="2" t="inlineStr"/>
    </row>
    <row r="858" ht="15" customHeight="1">
      <c r="A858" t="inlineStr">
        <is>
          <t>A 18075-2024</t>
        </is>
      </c>
      <c r="B858" s="1" t="n">
        <v>45420</v>
      </c>
      <c r="C858" s="1" t="n">
        <v>45795</v>
      </c>
      <c r="D858" t="inlineStr">
        <is>
          <t>DALARNAS LÄN</t>
        </is>
      </c>
      <c r="E858" t="inlineStr">
        <is>
          <t>ÄLVDALEN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19007-2024</t>
        </is>
      </c>
      <c r="B859" s="1" t="n">
        <v>45427</v>
      </c>
      <c r="C859" s="1" t="n">
        <v>45795</v>
      </c>
      <c r="D859" t="inlineStr">
        <is>
          <t>DALARNAS LÄN</t>
        </is>
      </c>
      <c r="E859" t="inlineStr">
        <is>
          <t>ÄLVDALEN</t>
        </is>
      </c>
      <c r="G859" t="n">
        <v>1.1</v>
      </c>
      <c r="H859" t="n">
        <v>0</v>
      </c>
      <c r="I859" t="n">
        <v>0</v>
      </c>
      <c r="J859" t="n">
        <v>0</v>
      </c>
      <c r="K859" t="n">
        <v>0</v>
      </c>
      <c r="L859" t="n">
        <v>0</v>
      </c>
      <c r="M859" t="n">
        <v>0</v>
      </c>
      <c r="N859" t="n">
        <v>0</v>
      </c>
      <c r="O859" t="n">
        <v>0</v>
      </c>
      <c r="P859" t="n">
        <v>0</v>
      </c>
      <c r="Q859" t="n">
        <v>0</v>
      </c>
      <c r="R859" s="2" t="inlineStr"/>
    </row>
    <row r="860" ht="15" customHeight="1">
      <c r="A860" t="inlineStr">
        <is>
          <t>A 19100-2024</t>
        </is>
      </c>
      <c r="B860" s="1" t="n">
        <v>45428</v>
      </c>
      <c r="C860" s="1" t="n">
        <v>45795</v>
      </c>
      <c r="D860" t="inlineStr">
        <is>
          <t>DALARNAS LÄN</t>
        </is>
      </c>
      <c r="E860" t="inlineStr">
        <is>
          <t>ÄLVDALEN</t>
        </is>
      </c>
      <c r="F860" t="inlineStr">
        <is>
          <t>Allmännings- och besparingsskogar</t>
        </is>
      </c>
      <c r="G860" t="n">
        <v>32.5</v>
      </c>
      <c r="H860" t="n">
        <v>0</v>
      </c>
      <c r="I860" t="n">
        <v>0</v>
      </c>
      <c r="J860" t="n">
        <v>0</v>
      </c>
      <c r="K860" t="n">
        <v>0</v>
      </c>
      <c r="L860" t="n">
        <v>0</v>
      </c>
      <c r="M860" t="n">
        <v>0</v>
      </c>
      <c r="N860" t="n">
        <v>0</v>
      </c>
      <c r="O860" t="n">
        <v>0</v>
      </c>
      <c r="P860" t="n">
        <v>0</v>
      </c>
      <c r="Q860" t="n">
        <v>0</v>
      </c>
      <c r="R860" s="2" t="inlineStr"/>
    </row>
    <row r="861" ht="15" customHeight="1">
      <c r="A861" t="inlineStr">
        <is>
          <t>A 19423-2024</t>
        </is>
      </c>
      <c r="B861" s="1" t="n">
        <v>45429</v>
      </c>
      <c r="C861" s="1" t="n">
        <v>45795</v>
      </c>
      <c r="D861" t="inlineStr">
        <is>
          <t>DALARNAS LÄN</t>
        </is>
      </c>
      <c r="E861" t="inlineStr">
        <is>
          <t>ÄLVDALEN</t>
        </is>
      </c>
      <c r="F861" t="inlineStr">
        <is>
          <t>Bergvik skog väst AB</t>
        </is>
      </c>
      <c r="G861" t="n">
        <v>9.5</v>
      </c>
      <c r="H861" t="n">
        <v>0</v>
      </c>
      <c r="I861" t="n">
        <v>0</v>
      </c>
      <c r="J861" t="n">
        <v>0</v>
      </c>
      <c r="K861" t="n">
        <v>0</v>
      </c>
      <c r="L861" t="n">
        <v>0</v>
      </c>
      <c r="M861" t="n">
        <v>0</v>
      </c>
      <c r="N861" t="n">
        <v>0</v>
      </c>
      <c r="O861" t="n">
        <v>0</v>
      </c>
      <c r="P861" t="n">
        <v>0</v>
      </c>
      <c r="Q861" t="n">
        <v>0</v>
      </c>
      <c r="R861" s="2" t="inlineStr"/>
    </row>
    <row r="862" ht="15" customHeight="1">
      <c r="A862" t="inlineStr">
        <is>
          <t>A 19708-2024</t>
        </is>
      </c>
      <c r="B862" s="1" t="n">
        <v>45432</v>
      </c>
      <c r="C862" s="1" t="n">
        <v>45795</v>
      </c>
      <c r="D862" t="inlineStr">
        <is>
          <t>DALARNAS LÄN</t>
        </is>
      </c>
      <c r="E862" t="inlineStr">
        <is>
          <t>ÄLVDALEN</t>
        </is>
      </c>
      <c r="G862" t="n">
        <v>12.4</v>
      </c>
      <c r="H862" t="n">
        <v>0</v>
      </c>
      <c r="I862" t="n">
        <v>0</v>
      </c>
      <c r="J862" t="n">
        <v>0</v>
      </c>
      <c r="K862" t="n">
        <v>0</v>
      </c>
      <c r="L862" t="n">
        <v>0</v>
      </c>
      <c r="M862" t="n">
        <v>0</v>
      </c>
      <c r="N862" t="n">
        <v>0</v>
      </c>
      <c r="O862" t="n">
        <v>0</v>
      </c>
      <c r="P862" t="n">
        <v>0</v>
      </c>
      <c r="Q862" t="n">
        <v>0</v>
      </c>
      <c r="R862" s="2" t="inlineStr"/>
    </row>
    <row r="863" ht="15" customHeight="1">
      <c r="A863" t="inlineStr">
        <is>
          <t>A 20569-2024</t>
        </is>
      </c>
      <c r="B863" s="1" t="n">
        <v>45436</v>
      </c>
      <c r="C863" s="1" t="n">
        <v>45795</v>
      </c>
      <c r="D863" t="inlineStr">
        <is>
          <t>DALARNAS LÄN</t>
        </is>
      </c>
      <c r="E863" t="inlineStr">
        <is>
          <t>ÄLVDALEN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21199-2024</t>
        </is>
      </c>
      <c r="B864" s="1" t="n">
        <v>45440</v>
      </c>
      <c r="C864" s="1" t="n">
        <v>45795</v>
      </c>
      <c r="D864" t="inlineStr">
        <is>
          <t>DALARNAS LÄN</t>
        </is>
      </c>
      <c r="E864" t="inlineStr">
        <is>
          <t>ÄLVDALEN</t>
        </is>
      </c>
      <c r="G864" t="n">
        <v>3</v>
      </c>
      <c r="H864" t="n">
        <v>0</v>
      </c>
      <c r="I864" t="n">
        <v>0</v>
      </c>
      <c r="J864" t="n">
        <v>0</v>
      </c>
      <c r="K864" t="n">
        <v>0</v>
      </c>
      <c r="L864" t="n">
        <v>0</v>
      </c>
      <c r="M864" t="n">
        <v>0</v>
      </c>
      <c r="N864" t="n">
        <v>0</v>
      </c>
      <c r="O864" t="n">
        <v>0</v>
      </c>
      <c r="P864" t="n">
        <v>0</v>
      </c>
      <c r="Q864" t="n">
        <v>0</v>
      </c>
      <c r="R864" s="2" t="inlineStr"/>
    </row>
    <row r="865" ht="15" customHeight="1">
      <c r="A865" t="inlineStr">
        <is>
          <t>A 21116-2024</t>
        </is>
      </c>
      <c r="B865" s="1" t="n">
        <v>45440</v>
      </c>
      <c r="C865" s="1" t="n">
        <v>45795</v>
      </c>
      <c r="D865" t="inlineStr">
        <is>
          <t>DALARNAS LÄN</t>
        </is>
      </c>
      <c r="E865" t="inlineStr">
        <is>
          <t>ÄLVDALEN</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21466-2024</t>
        </is>
      </c>
      <c r="B866" s="1" t="n">
        <v>45441</v>
      </c>
      <c r="C866" s="1" t="n">
        <v>45795</v>
      </c>
      <c r="D866" t="inlineStr">
        <is>
          <t>DALARNAS LÄN</t>
        </is>
      </c>
      <c r="E866" t="inlineStr">
        <is>
          <t>ÄLVDALEN</t>
        </is>
      </c>
      <c r="G866" t="n">
        <v>1.9</v>
      </c>
      <c r="H866" t="n">
        <v>0</v>
      </c>
      <c r="I866" t="n">
        <v>0</v>
      </c>
      <c r="J866" t="n">
        <v>0</v>
      </c>
      <c r="K866" t="n">
        <v>0</v>
      </c>
      <c r="L866" t="n">
        <v>0</v>
      </c>
      <c r="M866" t="n">
        <v>0</v>
      </c>
      <c r="N866" t="n">
        <v>0</v>
      </c>
      <c r="O866" t="n">
        <v>0</v>
      </c>
      <c r="P866" t="n">
        <v>0</v>
      </c>
      <c r="Q866" t="n">
        <v>0</v>
      </c>
      <c r="R866" s="2" t="inlineStr"/>
    </row>
    <row r="867" ht="15" customHeight="1">
      <c r="A867" t="inlineStr">
        <is>
          <t>A 21469-2024</t>
        </is>
      </c>
      <c r="B867" s="1" t="n">
        <v>45441</v>
      </c>
      <c r="C867" s="1" t="n">
        <v>45795</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21659-2024</t>
        </is>
      </c>
      <c r="B868" s="1" t="n">
        <v>45442</v>
      </c>
      <c r="C868" s="1" t="n">
        <v>45795</v>
      </c>
      <c r="D868" t="inlineStr">
        <is>
          <t>DALARNAS LÄN</t>
        </is>
      </c>
      <c r="E868" t="inlineStr">
        <is>
          <t>ÄLVDALEN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23328-2024</t>
        </is>
      </c>
      <c r="B869" s="1" t="n">
        <v>45453</v>
      </c>
      <c r="C869" s="1" t="n">
        <v>45795</v>
      </c>
      <c r="D869" t="inlineStr">
        <is>
          <t>DALARNAS LÄN</t>
        </is>
      </c>
      <c r="E869" t="inlineStr">
        <is>
          <t>ÄLVDALEN</t>
        </is>
      </c>
      <c r="G869" t="n">
        <v>2.7</v>
      </c>
      <c r="H869" t="n">
        <v>0</v>
      </c>
      <c r="I869" t="n">
        <v>0</v>
      </c>
      <c r="J869" t="n">
        <v>0</v>
      </c>
      <c r="K869" t="n">
        <v>0</v>
      </c>
      <c r="L869" t="n">
        <v>0</v>
      </c>
      <c r="M869" t="n">
        <v>0</v>
      </c>
      <c r="N869" t="n">
        <v>0</v>
      </c>
      <c r="O869" t="n">
        <v>0</v>
      </c>
      <c r="P869" t="n">
        <v>0</v>
      </c>
      <c r="Q869" t="n">
        <v>0</v>
      </c>
      <c r="R869" s="2" t="inlineStr"/>
    </row>
    <row r="870" ht="15" customHeight="1">
      <c r="A870" t="inlineStr">
        <is>
          <t>A 23370-2024</t>
        </is>
      </c>
      <c r="B870" s="1" t="n">
        <v>45453</v>
      </c>
      <c r="C870" s="1" t="n">
        <v>45795</v>
      </c>
      <c r="D870" t="inlineStr">
        <is>
          <t>DALARNAS LÄN</t>
        </is>
      </c>
      <c r="E870" t="inlineStr">
        <is>
          <t>ÄLVDALEN</t>
        </is>
      </c>
      <c r="G870" t="n">
        <v>2.4</v>
      </c>
      <c r="H870" t="n">
        <v>0</v>
      </c>
      <c r="I870" t="n">
        <v>0</v>
      </c>
      <c r="J870" t="n">
        <v>0</v>
      </c>
      <c r="K870" t="n">
        <v>0</v>
      </c>
      <c r="L870" t="n">
        <v>0</v>
      </c>
      <c r="M870" t="n">
        <v>0</v>
      </c>
      <c r="N870" t="n">
        <v>0</v>
      </c>
      <c r="O870" t="n">
        <v>0</v>
      </c>
      <c r="P870" t="n">
        <v>0</v>
      </c>
      <c r="Q870" t="n">
        <v>0</v>
      </c>
      <c r="R870" s="2" t="inlineStr"/>
    </row>
    <row r="871" ht="15" customHeight="1">
      <c r="A871" t="inlineStr">
        <is>
          <t>A 23656-2024</t>
        </is>
      </c>
      <c r="B871" s="1" t="n">
        <v>45454</v>
      </c>
      <c r="C871" s="1" t="n">
        <v>45795</v>
      </c>
      <c r="D871" t="inlineStr">
        <is>
          <t>DALARNAS LÄN</t>
        </is>
      </c>
      <c r="E871" t="inlineStr">
        <is>
          <t>ÄLVDALEN</t>
        </is>
      </c>
      <c r="F871" t="inlineStr">
        <is>
          <t>Allmännings- och besparingsskogar</t>
        </is>
      </c>
      <c r="G871" t="n">
        <v>35.2</v>
      </c>
      <c r="H871" t="n">
        <v>0</v>
      </c>
      <c r="I871" t="n">
        <v>0</v>
      </c>
      <c r="J871" t="n">
        <v>0</v>
      </c>
      <c r="K871" t="n">
        <v>0</v>
      </c>
      <c r="L871" t="n">
        <v>0</v>
      </c>
      <c r="M871" t="n">
        <v>0</v>
      </c>
      <c r="N871" t="n">
        <v>0</v>
      </c>
      <c r="O871" t="n">
        <v>0</v>
      </c>
      <c r="P871" t="n">
        <v>0</v>
      </c>
      <c r="Q871" t="n">
        <v>0</v>
      </c>
      <c r="R871" s="2" t="inlineStr"/>
    </row>
    <row r="872" ht="15" customHeight="1">
      <c r="A872" t="inlineStr">
        <is>
          <t>A 23756-2024</t>
        </is>
      </c>
      <c r="B872" s="1" t="n">
        <v>45455</v>
      </c>
      <c r="C872" s="1" t="n">
        <v>45795</v>
      </c>
      <c r="D872" t="inlineStr">
        <is>
          <t>DALARNAS LÄN</t>
        </is>
      </c>
      <c r="E872" t="inlineStr">
        <is>
          <t>ÄLVDALEN</t>
        </is>
      </c>
      <c r="F872" t="inlineStr">
        <is>
          <t>Allmännings- och besparingsskogar</t>
        </is>
      </c>
      <c r="G872" t="n">
        <v>2.9</v>
      </c>
      <c r="H872" t="n">
        <v>0</v>
      </c>
      <c r="I872" t="n">
        <v>0</v>
      </c>
      <c r="J872" t="n">
        <v>0</v>
      </c>
      <c r="K872" t="n">
        <v>0</v>
      </c>
      <c r="L872" t="n">
        <v>0</v>
      </c>
      <c r="M872" t="n">
        <v>0</v>
      </c>
      <c r="N872" t="n">
        <v>0</v>
      </c>
      <c r="O872" t="n">
        <v>0</v>
      </c>
      <c r="P872" t="n">
        <v>0</v>
      </c>
      <c r="Q872" t="n">
        <v>0</v>
      </c>
      <c r="R872" s="2" t="inlineStr"/>
    </row>
    <row r="873" ht="15" customHeight="1">
      <c r="A873" t="inlineStr">
        <is>
          <t>A 24002-2024</t>
        </is>
      </c>
      <c r="B873" s="1" t="n">
        <v>45456</v>
      </c>
      <c r="C873" s="1" t="n">
        <v>45795</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23999-2024</t>
        </is>
      </c>
      <c r="B874" s="1" t="n">
        <v>45456</v>
      </c>
      <c r="C874" s="1" t="n">
        <v>45795</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24009-2024</t>
        </is>
      </c>
      <c r="B875" s="1" t="n">
        <v>45456</v>
      </c>
      <c r="C875" s="1" t="n">
        <v>45795</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24597-2024</t>
        </is>
      </c>
      <c r="B876" s="1" t="n">
        <v>45460</v>
      </c>
      <c r="C876" s="1" t="n">
        <v>45795</v>
      </c>
      <c r="D876" t="inlineStr">
        <is>
          <t>DALARNAS LÄN</t>
        </is>
      </c>
      <c r="E876" t="inlineStr">
        <is>
          <t>ÄLVDALEN</t>
        </is>
      </c>
      <c r="F876" t="inlineStr">
        <is>
          <t>Allmännings- och besparingsskogar</t>
        </is>
      </c>
      <c r="G876" t="n">
        <v>21.8</v>
      </c>
      <c r="H876" t="n">
        <v>0</v>
      </c>
      <c r="I876" t="n">
        <v>0</v>
      </c>
      <c r="J876" t="n">
        <v>0</v>
      </c>
      <c r="K876" t="n">
        <v>0</v>
      </c>
      <c r="L876" t="n">
        <v>0</v>
      </c>
      <c r="M876" t="n">
        <v>0</v>
      </c>
      <c r="N876" t="n">
        <v>0</v>
      </c>
      <c r="O876" t="n">
        <v>0</v>
      </c>
      <c r="P876" t="n">
        <v>0</v>
      </c>
      <c r="Q876" t="n">
        <v>0</v>
      </c>
      <c r="R876" s="2" t="inlineStr"/>
    </row>
    <row r="877" ht="15" customHeight="1">
      <c r="A877" t="inlineStr">
        <is>
          <t>A 25257-2024</t>
        </is>
      </c>
      <c r="B877" s="1" t="n">
        <v>45462</v>
      </c>
      <c r="C877" s="1" t="n">
        <v>45795</v>
      </c>
      <c r="D877" t="inlineStr">
        <is>
          <t>DALARNAS LÄN</t>
        </is>
      </c>
      <c r="E877" t="inlineStr">
        <is>
          <t>ÄLVDALEN</t>
        </is>
      </c>
      <c r="G877" t="n">
        <v>3.5</v>
      </c>
      <c r="H877" t="n">
        <v>0</v>
      </c>
      <c r="I877" t="n">
        <v>0</v>
      </c>
      <c r="J877" t="n">
        <v>0</v>
      </c>
      <c r="K877" t="n">
        <v>0</v>
      </c>
      <c r="L877" t="n">
        <v>0</v>
      </c>
      <c r="M877" t="n">
        <v>0</v>
      </c>
      <c r="N877" t="n">
        <v>0</v>
      </c>
      <c r="O877" t="n">
        <v>0</v>
      </c>
      <c r="P877" t="n">
        <v>0</v>
      </c>
      <c r="Q877" t="n">
        <v>0</v>
      </c>
      <c r="R877" s="2" t="inlineStr"/>
    </row>
    <row r="878" ht="15" customHeight="1">
      <c r="A878" t="inlineStr">
        <is>
          <t>A 25272-2024</t>
        </is>
      </c>
      <c r="B878" s="1" t="n">
        <v>45462</v>
      </c>
      <c r="C878" s="1" t="n">
        <v>45795</v>
      </c>
      <c r="D878" t="inlineStr">
        <is>
          <t>DALARNAS LÄN</t>
        </is>
      </c>
      <c r="E878" t="inlineStr">
        <is>
          <t>ÄLVDALEN</t>
        </is>
      </c>
      <c r="G878" t="n">
        <v>23.5</v>
      </c>
      <c r="H878" t="n">
        <v>0</v>
      </c>
      <c r="I878" t="n">
        <v>0</v>
      </c>
      <c r="J878" t="n">
        <v>0</v>
      </c>
      <c r="K878" t="n">
        <v>0</v>
      </c>
      <c r="L878" t="n">
        <v>0</v>
      </c>
      <c r="M878" t="n">
        <v>0</v>
      </c>
      <c r="N878" t="n">
        <v>0</v>
      </c>
      <c r="O878" t="n">
        <v>0</v>
      </c>
      <c r="P878" t="n">
        <v>0</v>
      </c>
      <c r="Q878" t="n">
        <v>0</v>
      </c>
      <c r="R878" s="2" t="inlineStr"/>
    </row>
    <row r="879" ht="15" customHeight="1">
      <c r="A879" t="inlineStr">
        <is>
          <t>A 25505-2024</t>
        </is>
      </c>
      <c r="B879" s="1" t="n">
        <v>45463</v>
      </c>
      <c r="C879" s="1" t="n">
        <v>45795</v>
      </c>
      <c r="D879" t="inlineStr">
        <is>
          <t>DALARNAS LÄN</t>
        </is>
      </c>
      <c r="E879" t="inlineStr">
        <is>
          <t>ÄLVDALEN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25512-2024</t>
        </is>
      </c>
      <c r="B880" s="1" t="n">
        <v>45463</v>
      </c>
      <c r="C880" s="1" t="n">
        <v>45795</v>
      </c>
      <c r="D880" t="inlineStr">
        <is>
          <t>DALARNAS LÄN</t>
        </is>
      </c>
      <c r="E880" t="inlineStr">
        <is>
          <t>ÄLVDALEN</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25516-2024</t>
        </is>
      </c>
      <c r="B881" s="1" t="n">
        <v>45463</v>
      </c>
      <c r="C881" s="1" t="n">
        <v>45795</v>
      </c>
      <c r="D881" t="inlineStr">
        <is>
          <t>DALARNAS LÄN</t>
        </is>
      </c>
      <c r="E881" t="inlineStr">
        <is>
          <t>ÄLVDALEN</t>
        </is>
      </c>
      <c r="F881" t="inlineStr">
        <is>
          <t>Övriga Aktiebolag</t>
        </is>
      </c>
      <c r="G881" t="n">
        <v>9.1</v>
      </c>
      <c r="H881" t="n">
        <v>0</v>
      </c>
      <c r="I881" t="n">
        <v>0</v>
      </c>
      <c r="J881" t="n">
        <v>0</v>
      </c>
      <c r="K881" t="n">
        <v>0</v>
      </c>
      <c r="L881" t="n">
        <v>0</v>
      </c>
      <c r="M881" t="n">
        <v>0</v>
      </c>
      <c r="N881" t="n">
        <v>0</v>
      </c>
      <c r="O881" t="n">
        <v>0</v>
      </c>
      <c r="P881" t="n">
        <v>0</v>
      </c>
      <c r="Q881" t="n">
        <v>0</v>
      </c>
      <c r="R881" s="2" t="inlineStr"/>
    </row>
    <row r="882" ht="15" customHeight="1">
      <c r="A882" t="inlineStr">
        <is>
          <t>A 25511-2024</t>
        </is>
      </c>
      <c r="B882" s="1" t="n">
        <v>45463</v>
      </c>
      <c r="C882" s="1" t="n">
        <v>45795</v>
      </c>
      <c r="D882" t="inlineStr">
        <is>
          <t>DALARNAS LÄN</t>
        </is>
      </c>
      <c r="E882" t="inlineStr">
        <is>
          <t>ÄLVDALEN</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25507-2024</t>
        </is>
      </c>
      <c r="B883" s="1" t="n">
        <v>45463</v>
      </c>
      <c r="C883" s="1" t="n">
        <v>45795</v>
      </c>
      <c r="D883" t="inlineStr">
        <is>
          <t>DALARNAS LÄN</t>
        </is>
      </c>
      <c r="E883" t="inlineStr">
        <is>
          <t>ÄLVDALEN</t>
        </is>
      </c>
      <c r="F883" t="inlineStr">
        <is>
          <t>Övriga Aktiebolag</t>
        </is>
      </c>
      <c r="G883" t="n">
        <v>6.5</v>
      </c>
      <c r="H883" t="n">
        <v>0</v>
      </c>
      <c r="I883" t="n">
        <v>0</v>
      </c>
      <c r="J883" t="n">
        <v>0</v>
      </c>
      <c r="K883" t="n">
        <v>0</v>
      </c>
      <c r="L883" t="n">
        <v>0</v>
      </c>
      <c r="M883" t="n">
        <v>0</v>
      </c>
      <c r="N883" t="n">
        <v>0</v>
      </c>
      <c r="O883" t="n">
        <v>0</v>
      </c>
      <c r="P883" t="n">
        <v>0</v>
      </c>
      <c r="Q883" t="n">
        <v>0</v>
      </c>
      <c r="R883" s="2" t="inlineStr"/>
    </row>
    <row r="884" ht="15" customHeight="1">
      <c r="A884" t="inlineStr">
        <is>
          <t>A 25931-2024</t>
        </is>
      </c>
      <c r="B884" s="1" t="n">
        <v>45467</v>
      </c>
      <c r="C884" s="1" t="n">
        <v>45795</v>
      </c>
      <c r="D884" t="inlineStr">
        <is>
          <t>DALARNAS LÄN</t>
        </is>
      </c>
      <c r="E884" t="inlineStr">
        <is>
          <t>ÄLVDALEN</t>
        </is>
      </c>
      <c r="G884" t="n">
        <v>15.4</v>
      </c>
      <c r="H884" t="n">
        <v>0</v>
      </c>
      <c r="I884" t="n">
        <v>0</v>
      </c>
      <c r="J884" t="n">
        <v>0</v>
      </c>
      <c r="K884" t="n">
        <v>0</v>
      </c>
      <c r="L884" t="n">
        <v>0</v>
      </c>
      <c r="M884" t="n">
        <v>0</v>
      </c>
      <c r="N884" t="n">
        <v>0</v>
      </c>
      <c r="O884" t="n">
        <v>0</v>
      </c>
      <c r="P884" t="n">
        <v>0</v>
      </c>
      <c r="Q884" t="n">
        <v>0</v>
      </c>
      <c r="R884" s="2" t="inlineStr"/>
    </row>
    <row r="885" ht="15" customHeight="1">
      <c r="A885" t="inlineStr">
        <is>
          <t>A 28239-2024</t>
        </is>
      </c>
      <c r="B885" s="1" t="n">
        <v>45468</v>
      </c>
      <c r="C885" s="1" t="n">
        <v>45795</v>
      </c>
      <c r="D885" t="inlineStr">
        <is>
          <t>DALARNAS LÄN</t>
        </is>
      </c>
      <c r="E885" t="inlineStr">
        <is>
          <t>ÄLVDALEN</t>
        </is>
      </c>
      <c r="G885" t="n">
        <v>4</v>
      </c>
      <c r="H885" t="n">
        <v>0</v>
      </c>
      <c r="I885" t="n">
        <v>0</v>
      </c>
      <c r="J885" t="n">
        <v>0</v>
      </c>
      <c r="K885" t="n">
        <v>0</v>
      </c>
      <c r="L885" t="n">
        <v>0</v>
      </c>
      <c r="M885" t="n">
        <v>0</v>
      </c>
      <c r="N885" t="n">
        <v>0</v>
      </c>
      <c r="O885" t="n">
        <v>0</v>
      </c>
      <c r="P885" t="n">
        <v>0</v>
      </c>
      <c r="Q885" t="n">
        <v>0</v>
      </c>
      <c r="R885" s="2" t="inlineStr"/>
    </row>
    <row r="886" ht="15" customHeight="1">
      <c r="A886" t="inlineStr">
        <is>
          <t>A 26094-2024</t>
        </is>
      </c>
      <c r="B886" s="1" t="n">
        <v>45468</v>
      </c>
      <c r="C886" s="1" t="n">
        <v>45795</v>
      </c>
      <c r="D886" t="inlineStr">
        <is>
          <t>DALARNAS LÄN</t>
        </is>
      </c>
      <c r="E886" t="inlineStr">
        <is>
          <t>ÄLVDALEN</t>
        </is>
      </c>
      <c r="F886" t="inlineStr">
        <is>
          <t>Allmännings- och besparingsskogar</t>
        </is>
      </c>
      <c r="G886" t="n">
        <v>33.5</v>
      </c>
      <c r="H886" t="n">
        <v>0</v>
      </c>
      <c r="I886" t="n">
        <v>0</v>
      </c>
      <c r="J886" t="n">
        <v>0</v>
      </c>
      <c r="K886" t="n">
        <v>0</v>
      </c>
      <c r="L886" t="n">
        <v>0</v>
      </c>
      <c r="M886" t="n">
        <v>0</v>
      </c>
      <c r="N886" t="n">
        <v>0</v>
      </c>
      <c r="O886" t="n">
        <v>0</v>
      </c>
      <c r="P886" t="n">
        <v>0</v>
      </c>
      <c r="Q886" t="n">
        <v>0</v>
      </c>
      <c r="R886" s="2" t="inlineStr"/>
    </row>
    <row r="887" ht="15" customHeight="1">
      <c r="A887" t="inlineStr">
        <is>
          <t>A 26862-2024</t>
        </is>
      </c>
      <c r="B887" s="1" t="n">
        <v>45470</v>
      </c>
      <c r="C887" s="1" t="n">
        <v>45795</v>
      </c>
      <c r="D887" t="inlineStr">
        <is>
          <t>DALARNAS LÄN</t>
        </is>
      </c>
      <c r="E887" t="inlineStr">
        <is>
          <t>ÄLVDALEN</t>
        </is>
      </c>
      <c r="F887" t="inlineStr">
        <is>
          <t>Allmännings- och besparingsskogar</t>
        </is>
      </c>
      <c r="G887" t="n">
        <v>4.3</v>
      </c>
      <c r="H887" t="n">
        <v>0</v>
      </c>
      <c r="I887" t="n">
        <v>0</v>
      </c>
      <c r="J887" t="n">
        <v>0</v>
      </c>
      <c r="K887" t="n">
        <v>0</v>
      </c>
      <c r="L887" t="n">
        <v>0</v>
      </c>
      <c r="M887" t="n">
        <v>0</v>
      </c>
      <c r="N887" t="n">
        <v>0</v>
      </c>
      <c r="O887" t="n">
        <v>0</v>
      </c>
      <c r="P887" t="n">
        <v>0</v>
      </c>
      <c r="Q887" t="n">
        <v>0</v>
      </c>
      <c r="R887" s="2" t="inlineStr"/>
    </row>
    <row r="888" ht="15" customHeight="1">
      <c r="A888" t="inlineStr">
        <is>
          <t>A 27036-2024</t>
        </is>
      </c>
      <c r="B888" s="1" t="n">
        <v>45471</v>
      </c>
      <c r="C888" s="1" t="n">
        <v>45795</v>
      </c>
      <c r="D888" t="inlineStr">
        <is>
          <t>DALARNAS LÄN</t>
        </is>
      </c>
      <c r="E888" t="inlineStr">
        <is>
          <t>ÄLVDALEN</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27858-2024</t>
        </is>
      </c>
      <c r="B889" s="1" t="n">
        <v>45475</v>
      </c>
      <c r="C889" s="1" t="n">
        <v>45795</v>
      </c>
      <c r="D889" t="inlineStr">
        <is>
          <t>DALARNAS LÄN</t>
        </is>
      </c>
      <c r="E889" t="inlineStr">
        <is>
          <t>ÄLVDALEN</t>
        </is>
      </c>
      <c r="F889" t="inlineStr">
        <is>
          <t>Allmännings- och besparingsskogar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28473-2024</t>
        </is>
      </c>
      <c r="B890" s="1" t="n">
        <v>45477</v>
      </c>
      <c r="C890" s="1" t="n">
        <v>45795</v>
      </c>
      <c r="D890" t="inlineStr">
        <is>
          <t>DALARNAS LÄN</t>
        </is>
      </c>
      <c r="E890" t="inlineStr">
        <is>
          <t>ÄLVDALEN</t>
        </is>
      </c>
      <c r="G890" t="n">
        <v>5</v>
      </c>
      <c r="H890" t="n">
        <v>0</v>
      </c>
      <c r="I890" t="n">
        <v>0</v>
      </c>
      <c r="J890" t="n">
        <v>0</v>
      </c>
      <c r="K890" t="n">
        <v>0</v>
      </c>
      <c r="L890" t="n">
        <v>0</v>
      </c>
      <c r="M890" t="n">
        <v>0</v>
      </c>
      <c r="N890" t="n">
        <v>0</v>
      </c>
      <c r="O890" t="n">
        <v>0</v>
      </c>
      <c r="P890" t="n">
        <v>0</v>
      </c>
      <c r="Q890" t="n">
        <v>0</v>
      </c>
      <c r="R890" s="2" t="inlineStr"/>
    </row>
    <row r="891" ht="15" customHeight="1">
      <c r="A891" t="inlineStr">
        <is>
          <t>A 28479-2024</t>
        </is>
      </c>
      <c r="B891" s="1" t="n">
        <v>45477</v>
      </c>
      <c r="C891" s="1" t="n">
        <v>45795</v>
      </c>
      <c r="D891" t="inlineStr">
        <is>
          <t>DALARNAS LÄN</t>
        </is>
      </c>
      <c r="E891" t="inlineStr">
        <is>
          <t>ÄLVDALEN</t>
        </is>
      </c>
      <c r="G891" t="n">
        <v>4.1</v>
      </c>
      <c r="H891" t="n">
        <v>0</v>
      </c>
      <c r="I891" t="n">
        <v>0</v>
      </c>
      <c r="J891" t="n">
        <v>0</v>
      </c>
      <c r="K891" t="n">
        <v>0</v>
      </c>
      <c r="L891" t="n">
        <v>0</v>
      </c>
      <c r="M891" t="n">
        <v>0</v>
      </c>
      <c r="N891" t="n">
        <v>0</v>
      </c>
      <c r="O891" t="n">
        <v>0</v>
      </c>
      <c r="P891" t="n">
        <v>0</v>
      </c>
      <c r="Q891" t="n">
        <v>0</v>
      </c>
      <c r="R891" s="2" t="inlineStr"/>
    </row>
    <row r="892" ht="15" customHeight="1">
      <c r="A892" t="inlineStr">
        <is>
          <t>A 28467-2024</t>
        </is>
      </c>
      <c r="B892" s="1" t="n">
        <v>45477</v>
      </c>
      <c r="C892" s="1" t="n">
        <v>45795</v>
      </c>
      <c r="D892" t="inlineStr">
        <is>
          <t>DALARNAS LÄN</t>
        </is>
      </c>
      <c r="E892" t="inlineStr">
        <is>
          <t>ÄLVDALEN</t>
        </is>
      </c>
      <c r="G892" t="n">
        <v>4</v>
      </c>
      <c r="H892" t="n">
        <v>0</v>
      </c>
      <c r="I892" t="n">
        <v>0</v>
      </c>
      <c r="J892" t="n">
        <v>0</v>
      </c>
      <c r="K892" t="n">
        <v>0</v>
      </c>
      <c r="L892" t="n">
        <v>0</v>
      </c>
      <c r="M892" t="n">
        <v>0</v>
      </c>
      <c r="N892" t="n">
        <v>0</v>
      </c>
      <c r="O892" t="n">
        <v>0</v>
      </c>
      <c r="P892" t="n">
        <v>0</v>
      </c>
      <c r="Q892" t="n">
        <v>0</v>
      </c>
      <c r="R892" s="2" t="inlineStr"/>
    </row>
    <row r="893" ht="15" customHeight="1">
      <c r="A893" t="inlineStr">
        <is>
          <t>A 28643-2024</t>
        </is>
      </c>
      <c r="B893" s="1" t="n">
        <v>45478</v>
      </c>
      <c r="C893" s="1" t="n">
        <v>45795</v>
      </c>
      <c r="D893" t="inlineStr">
        <is>
          <t>DALARNAS LÄN</t>
        </is>
      </c>
      <c r="E893" t="inlineStr">
        <is>
          <t>ÄLVDALEN</t>
        </is>
      </c>
      <c r="G893" t="n">
        <v>3.4</v>
      </c>
      <c r="H893" t="n">
        <v>0</v>
      </c>
      <c r="I893" t="n">
        <v>0</v>
      </c>
      <c r="J893" t="n">
        <v>0</v>
      </c>
      <c r="K893" t="n">
        <v>0</v>
      </c>
      <c r="L893" t="n">
        <v>0</v>
      </c>
      <c r="M893" t="n">
        <v>0</v>
      </c>
      <c r="N893" t="n">
        <v>0</v>
      </c>
      <c r="O893" t="n">
        <v>0</v>
      </c>
      <c r="P893" t="n">
        <v>0</v>
      </c>
      <c r="Q893" t="n">
        <v>0</v>
      </c>
      <c r="R893" s="2" t="inlineStr"/>
    </row>
    <row r="894" ht="15" customHeight="1">
      <c r="A894" t="inlineStr">
        <is>
          <t>A 29129-2024</t>
        </is>
      </c>
      <c r="B894" s="1" t="n">
        <v>45482</v>
      </c>
      <c r="C894" s="1" t="n">
        <v>45795</v>
      </c>
      <c r="D894" t="inlineStr">
        <is>
          <t>DALARNAS LÄN</t>
        </is>
      </c>
      <c r="E894" t="inlineStr">
        <is>
          <t>ÄLVDALEN</t>
        </is>
      </c>
      <c r="F894" t="inlineStr">
        <is>
          <t>Allmännings- och besparingsskogar</t>
        </is>
      </c>
      <c r="G894" t="n">
        <v>19.8</v>
      </c>
      <c r="H894" t="n">
        <v>0</v>
      </c>
      <c r="I894" t="n">
        <v>0</v>
      </c>
      <c r="J894" t="n">
        <v>0</v>
      </c>
      <c r="K894" t="n">
        <v>0</v>
      </c>
      <c r="L894" t="n">
        <v>0</v>
      </c>
      <c r="M894" t="n">
        <v>0</v>
      </c>
      <c r="N894" t="n">
        <v>0</v>
      </c>
      <c r="O894" t="n">
        <v>0</v>
      </c>
      <c r="P894" t="n">
        <v>0</v>
      </c>
      <c r="Q894" t="n">
        <v>0</v>
      </c>
      <c r="R894" s="2" t="inlineStr"/>
    </row>
    <row r="895" ht="15" customHeight="1">
      <c r="A895" t="inlineStr">
        <is>
          <t>A 29645-2024</t>
        </is>
      </c>
      <c r="B895" s="1" t="n">
        <v>45484</v>
      </c>
      <c r="C895" s="1" t="n">
        <v>45795</v>
      </c>
      <c r="D895" t="inlineStr">
        <is>
          <t>DALARNAS LÄN</t>
        </is>
      </c>
      <c r="E895" t="inlineStr">
        <is>
          <t>ÄLVDALEN</t>
        </is>
      </c>
      <c r="G895" t="n">
        <v>3</v>
      </c>
      <c r="H895" t="n">
        <v>0</v>
      </c>
      <c r="I895" t="n">
        <v>0</v>
      </c>
      <c r="J895" t="n">
        <v>0</v>
      </c>
      <c r="K895" t="n">
        <v>0</v>
      </c>
      <c r="L895" t="n">
        <v>0</v>
      </c>
      <c r="M895" t="n">
        <v>0</v>
      </c>
      <c r="N895" t="n">
        <v>0</v>
      </c>
      <c r="O895" t="n">
        <v>0</v>
      </c>
      <c r="P895" t="n">
        <v>0</v>
      </c>
      <c r="Q895" t="n">
        <v>0</v>
      </c>
      <c r="R895" s="2" t="inlineStr"/>
    </row>
    <row r="896" ht="15" customHeight="1">
      <c r="A896" t="inlineStr">
        <is>
          <t>A 29646-2024</t>
        </is>
      </c>
      <c r="B896" s="1" t="n">
        <v>45484</v>
      </c>
      <c r="C896" s="1" t="n">
        <v>45795</v>
      </c>
      <c r="D896" t="inlineStr">
        <is>
          <t>DALARNAS LÄN</t>
        </is>
      </c>
      <c r="E896" t="inlineStr">
        <is>
          <t>ÄLVDALEN</t>
        </is>
      </c>
      <c r="G896" t="n">
        <v>2.5</v>
      </c>
      <c r="H896" t="n">
        <v>0</v>
      </c>
      <c r="I896" t="n">
        <v>0</v>
      </c>
      <c r="J896" t="n">
        <v>0</v>
      </c>
      <c r="K896" t="n">
        <v>0</v>
      </c>
      <c r="L896" t="n">
        <v>0</v>
      </c>
      <c r="M896" t="n">
        <v>0</v>
      </c>
      <c r="N896" t="n">
        <v>0</v>
      </c>
      <c r="O896" t="n">
        <v>0</v>
      </c>
      <c r="P896" t="n">
        <v>0</v>
      </c>
      <c r="Q896" t="n">
        <v>0</v>
      </c>
      <c r="R896" s="2" t="inlineStr"/>
    </row>
    <row r="897" ht="15" customHeight="1">
      <c r="A897" t="inlineStr">
        <is>
          <t>A 29614-2024</t>
        </is>
      </c>
      <c r="B897" s="1" t="n">
        <v>45484</v>
      </c>
      <c r="C897" s="1" t="n">
        <v>45795</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29610-2024</t>
        </is>
      </c>
      <c r="B898" s="1" t="n">
        <v>45484</v>
      </c>
      <c r="C898" s="1" t="n">
        <v>45795</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29819-2024</t>
        </is>
      </c>
      <c r="B899" s="1" t="n">
        <v>45485</v>
      </c>
      <c r="C899" s="1" t="n">
        <v>45795</v>
      </c>
      <c r="D899" t="inlineStr">
        <is>
          <t>DALARNAS LÄN</t>
        </is>
      </c>
      <c r="E899" t="inlineStr">
        <is>
          <t>ÄLVDALEN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30139-2024</t>
        </is>
      </c>
      <c r="B900" s="1" t="n">
        <v>45488</v>
      </c>
      <c r="C900" s="1" t="n">
        <v>45795</v>
      </c>
      <c r="D900" t="inlineStr">
        <is>
          <t>DALARNAS LÄN</t>
        </is>
      </c>
      <c r="E900" t="inlineStr">
        <is>
          <t>ÄLVDALEN</t>
        </is>
      </c>
      <c r="G900" t="n">
        <v>7.9</v>
      </c>
      <c r="H900" t="n">
        <v>0</v>
      </c>
      <c r="I900" t="n">
        <v>0</v>
      </c>
      <c r="J900" t="n">
        <v>0</v>
      </c>
      <c r="K900" t="n">
        <v>0</v>
      </c>
      <c r="L900" t="n">
        <v>0</v>
      </c>
      <c r="M900" t="n">
        <v>0</v>
      </c>
      <c r="N900" t="n">
        <v>0</v>
      </c>
      <c r="O900" t="n">
        <v>0</v>
      </c>
      <c r="P900" t="n">
        <v>0</v>
      </c>
      <c r="Q900" t="n">
        <v>0</v>
      </c>
      <c r="R900" s="2" t="inlineStr"/>
    </row>
    <row r="901" ht="15" customHeight="1">
      <c r="A901" t="inlineStr">
        <is>
          <t>A 30147-2024</t>
        </is>
      </c>
      <c r="B901" s="1" t="n">
        <v>45488</v>
      </c>
      <c r="C901" s="1" t="n">
        <v>45795</v>
      </c>
      <c r="D901" t="inlineStr">
        <is>
          <t>DALARNAS LÄN</t>
        </is>
      </c>
      <c r="E901" t="inlineStr">
        <is>
          <t>ÄLVDALEN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30146-2024</t>
        </is>
      </c>
      <c r="B902" s="1" t="n">
        <v>45488</v>
      </c>
      <c r="C902" s="1" t="n">
        <v>45795</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30141-2024</t>
        </is>
      </c>
      <c r="B903" s="1" t="n">
        <v>45488</v>
      </c>
      <c r="C903" s="1" t="n">
        <v>45795</v>
      </c>
      <c r="D903" t="inlineStr">
        <is>
          <t>DALARNAS LÄN</t>
        </is>
      </c>
      <c r="E903" t="inlineStr">
        <is>
          <t>ÄLVDALEN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30143-2024</t>
        </is>
      </c>
      <c r="B904" s="1" t="n">
        <v>45488</v>
      </c>
      <c r="C904" s="1" t="n">
        <v>45795</v>
      </c>
      <c r="D904" t="inlineStr">
        <is>
          <t>DALARNAS LÄN</t>
        </is>
      </c>
      <c r="E904" t="inlineStr">
        <is>
          <t>ÄLVDALEN</t>
        </is>
      </c>
      <c r="G904" t="n">
        <v>1</v>
      </c>
      <c r="H904" t="n">
        <v>0</v>
      </c>
      <c r="I904" t="n">
        <v>0</v>
      </c>
      <c r="J904" t="n">
        <v>0</v>
      </c>
      <c r="K904" t="n">
        <v>0</v>
      </c>
      <c r="L904" t="n">
        <v>0</v>
      </c>
      <c r="M904" t="n">
        <v>0</v>
      </c>
      <c r="N904" t="n">
        <v>0</v>
      </c>
      <c r="O904" t="n">
        <v>0</v>
      </c>
      <c r="P904" t="n">
        <v>0</v>
      </c>
      <c r="Q904" t="n">
        <v>0</v>
      </c>
      <c r="R904" s="2" t="inlineStr"/>
    </row>
    <row r="905" ht="15" customHeight="1">
      <c r="A905" t="inlineStr">
        <is>
          <t>A 30411-2024</t>
        </is>
      </c>
      <c r="B905" s="1" t="n">
        <v>45491</v>
      </c>
      <c r="C905" s="1" t="n">
        <v>45795</v>
      </c>
      <c r="D905" t="inlineStr">
        <is>
          <t>DALARNAS LÄN</t>
        </is>
      </c>
      <c r="E905" t="inlineStr">
        <is>
          <t>ÄLVDALEN</t>
        </is>
      </c>
      <c r="G905" t="n">
        <v>1.1</v>
      </c>
      <c r="H905" t="n">
        <v>0</v>
      </c>
      <c r="I905" t="n">
        <v>0</v>
      </c>
      <c r="J905" t="n">
        <v>0</v>
      </c>
      <c r="K905" t="n">
        <v>0</v>
      </c>
      <c r="L905" t="n">
        <v>0</v>
      </c>
      <c r="M905" t="n">
        <v>0</v>
      </c>
      <c r="N905" t="n">
        <v>0</v>
      </c>
      <c r="O905" t="n">
        <v>0</v>
      </c>
      <c r="P905" t="n">
        <v>0</v>
      </c>
      <c r="Q905" t="n">
        <v>0</v>
      </c>
      <c r="R905" s="2" t="inlineStr"/>
    </row>
    <row r="906" ht="15" customHeight="1">
      <c r="A906" t="inlineStr">
        <is>
          <t>A 30412-2024</t>
        </is>
      </c>
      <c r="B906" s="1" t="n">
        <v>45491</v>
      </c>
      <c r="C906" s="1" t="n">
        <v>45795</v>
      </c>
      <c r="D906" t="inlineStr">
        <is>
          <t>DALARNAS LÄN</t>
        </is>
      </c>
      <c r="E906" t="inlineStr">
        <is>
          <t>ÄLVDALEN</t>
        </is>
      </c>
      <c r="G906" t="n">
        <v>1.3</v>
      </c>
      <c r="H906" t="n">
        <v>0</v>
      </c>
      <c r="I906" t="n">
        <v>0</v>
      </c>
      <c r="J906" t="n">
        <v>0</v>
      </c>
      <c r="K906" t="n">
        <v>0</v>
      </c>
      <c r="L906" t="n">
        <v>0</v>
      </c>
      <c r="M906" t="n">
        <v>0</v>
      </c>
      <c r="N906" t="n">
        <v>0</v>
      </c>
      <c r="O906" t="n">
        <v>0</v>
      </c>
      <c r="P906" t="n">
        <v>0</v>
      </c>
      <c r="Q906" t="n">
        <v>0</v>
      </c>
      <c r="R906" s="2" t="inlineStr"/>
    </row>
    <row r="907" ht="15" customHeight="1">
      <c r="A907" t="inlineStr">
        <is>
          <t>A 30414-2024</t>
        </is>
      </c>
      <c r="B907" s="1" t="n">
        <v>45491</v>
      </c>
      <c r="C907" s="1" t="n">
        <v>45795</v>
      </c>
      <c r="D907" t="inlineStr">
        <is>
          <t>DALARNAS LÄN</t>
        </is>
      </c>
      <c r="E907" t="inlineStr">
        <is>
          <t>ÄLVDALEN</t>
        </is>
      </c>
      <c r="G907" t="n">
        <v>0.7</v>
      </c>
      <c r="H907" t="n">
        <v>0</v>
      </c>
      <c r="I907" t="n">
        <v>0</v>
      </c>
      <c r="J907" t="n">
        <v>0</v>
      </c>
      <c r="K907" t="n">
        <v>0</v>
      </c>
      <c r="L907" t="n">
        <v>0</v>
      </c>
      <c r="M907" t="n">
        <v>0</v>
      </c>
      <c r="N907" t="n">
        <v>0</v>
      </c>
      <c r="O907" t="n">
        <v>0</v>
      </c>
      <c r="P907" t="n">
        <v>0</v>
      </c>
      <c r="Q907" t="n">
        <v>0</v>
      </c>
      <c r="R907" s="2" t="inlineStr"/>
    </row>
    <row r="908" ht="15" customHeight="1">
      <c r="A908" t="inlineStr">
        <is>
          <t>A 30727-2024</t>
        </is>
      </c>
      <c r="B908" s="1" t="n">
        <v>45496</v>
      </c>
      <c r="C908" s="1" t="n">
        <v>45795</v>
      </c>
      <c r="D908" t="inlineStr">
        <is>
          <t>DALARNAS LÄN</t>
        </is>
      </c>
      <c r="E908" t="inlineStr">
        <is>
          <t>ÄLVDALEN</t>
        </is>
      </c>
      <c r="F908" t="inlineStr">
        <is>
          <t>Allmännings- och besparingsskogar</t>
        </is>
      </c>
      <c r="G908" t="n">
        <v>35.7</v>
      </c>
      <c r="H908" t="n">
        <v>0</v>
      </c>
      <c r="I908" t="n">
        <v>0</v>
      </c>
      <c r="J908" t="n">
        <v>0</v>
      </c>
      <c r="K908" t="n">
        <v>0</v>
      </c>
      <c r="L908" t="n">
        <v>0</v>
      </c>
      <c r="M908" t="n">
        <v>0</v>
      </c>
      <c r="N908" t="n">
        <v>0</v>
      </c>
      <c r="O908" t="n">
        <v>0</v>
      </c>
      <c r="P908" t="n">
        <v>0</v>
      </c>
      <c r="Q908" t="n">
        <v>0</v>
      </c>
      <c r="R908" s="2" t="inlineStr"/>
    </row>
    <row r="909" ht="15" customHeight="1">
      <c r="A909" t="inlineStr">
        <is>
          <t>A 30816-2024</t>
        </is>
      </c>
      <c r="B909" s="1" t="n">
        <v>45497</v>
      </c>
      <c r="C909" s="1" t="n">
        <v>45795</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30927-2024</t>
        </is>
      </c>
      <c r="B910" s="1" t="n">
        <v>45498</v>
      </c>
      <c r="C910" s="1" t="n">
        <v>45795</v>
      </c>
      <c r="D910" t="inlineStr">
        <is>
          <t>DALARNAS LÄN</t>
        </is>
      </c>
      <c r="E910" t="inlineStr">
        <is>
          <t>ÄLVDALEN</t>
        </is>
      </c>
      <c r="G910" t="n">
        <v>1.7</v>
      </c>
      <c r="H910" t="n">
        <v>0</v>
      </c>
      <c r="I910" t="n">
        <v>0</v>
      </c>
      <c r="J910" t="n">
        <v>0</v>
      </c>
      <c r="K910" t="n">
        <v>0</v>
      </c>
      <c r="L910" t="n">
        <v>0</v>
      </c>
      <c r="M910" t="n">
        <v>0</v>
      </c>
      <c r="N910" t="n">
        <v>0</v>
      </c>
      <c r="O910" t="n">
        <v>0</v>
      </c>
      <c r="P910" t="n">
        <v>0</v>
      </c>
      <c r="Q910" t="n">
        <v>0</v>
      </c>
      <c r="R910" s="2" t="inlineStr"/>
    </row>
    <row r="911" ht="15" customHeight="1">
      <c r="A911" t="inlineStr">
        <is>
          <t>A 30926-2024</t>
        </is>
      </c>
      <c r="B911" s="1" t="n">
        <v>45498</v>
      </c>
      <c r="C911" s="1" t="n">
        <v>45795</v>
      </c>
      <c r="D911" t="inlineStr">
        <is>
          <t>DALARNAS LÄN</t>
        </is>
      </c>
      <c r="E911" t="inlineStr">
        <is>
          <t>ÄLVDALEN</t>
        </is>
      </c>
      <c r="G911" t="n">
        <v>6.5</v>
      </c>
      <c r="H911" t="n">
        <v>0</v>
      </c>
      <c r="I911" t="n">
        <v>0</v>
      </c>
      <c r="J911" t="n">
        <v>0</v>
      </c>
      <c r="K911" t="n">
        <v>0</v>
      </c>
      <c r="L911" t="n">
        <v>0</v>
      </c>
      <c r="M911" t="n">
        <v>0</v>
      </c>
      <c r="N911" t="n">
        <v>0</v>
      </c>
      <c r="O911" t="n">
        <v>0</v>
      </c>
      <c r="P911" t="n">
        <v>0</v>
      </c>
      <c r="Q911" t="n">
        <v>0</v>
      </c>
      <c r="R911" s="2" t="inlineStr"/>
    </row>
    <row r="912" ht="15" customHeight="1">
      <c r="A912" t="inlineStr">
        <is>
          <t>A 31047-2024</t>
        </is>
      </c>
      <c r="B912" s="1" t="n">
        <v>45502</v>
      </c>
      <c r="C912" s="1" t="n">
        <v>45795</v>
      </c>
      <c r="D912" t="inlineStr">
        <is>
          <t>DALARNAS LÄN</t>
        </is>
      </c>
      <c r="E912" t="inlineStr">
        <is>
          <t>ÄLVDALEN</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45795</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45795</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45795</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45795</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45795</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45795</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45795</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45795</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45795</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45795</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45795</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45795</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45795</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45795</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45795</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45795</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45795</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45795</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45795</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45795</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45795</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45795</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45795</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45795</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45795</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45795</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45795</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45795</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45795</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45795</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45795</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45795</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45795</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45795</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45795</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45795</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45795</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45795</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45795</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45795</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45795</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45795</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45795</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45795</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45795</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45795</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45795</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45795</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45795</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45795</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45795</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45795</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45795</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45795</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45795</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45795</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45795</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45795</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45795</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45795</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45795</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45795</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45795</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45795</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45795</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45795</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45795</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45795</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45795</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45795</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45795</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45795</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45795</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45795</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45795</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45795</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45795</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45795</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45795</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45795</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45795</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45795</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45795</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45795</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45795</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45795</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45795</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45795</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45795</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45795</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45795</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45795</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45795</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45795</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45795</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45795</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45795</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45795</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45795</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45795</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45795</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45795</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45795</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45795</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45795</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45795</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45795</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45795</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45795</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45795</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45795</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45795</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45795</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45795</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45795</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45795</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45795</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45795</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45795</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45795</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45795</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45795</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45795</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45795</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45795</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45795</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45795</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45795</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45795</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45795</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45795</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45795</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45795</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45795</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45795</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45795</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45795</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45795</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45795</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45795</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45795</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45795</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45795</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45795</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19587-2025</t>
        </is>
      </c>
      <c r="B1057" s="1" t="n">
        <v>45770</v>
      </c>
      <c r="C1057" s="1" t="n">
        <v>45795</v>
      </c>
      <c r="D1057" t="inlineStr">
        <is>
          <t>DALARNAS LÄN</t>
        </is>
      </c>
      <c r="E1057" t="inlineStr">
        <is>
          <t>ÄLVDALEN</t>
        </is>
      </c>
      <c r="F1057" t="inlineStr">
        <is>
          <t>Allmännings- och besparingsskogar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19527-2025</t>
        </is>
      </c>
      <c r="B1058" s="1" t="n">
        <v>45770</v>
      </c>
      <c r="C1058" s="1" t="n">
        <v>45795</v>
      </c>
      <c r="D1058" t="inlineStr">
        <is>
          <t>DALARNAS LÄN</t>
        </is>
      </c>
      <c r="E1058" t="inlineStr">
        <is>
          <t>ÄLVDALEN</t>
        </is>
      </c>
      <c r="F1058" t="inlineStr">
        <is>
          <t>Allmännings- och besparingsskogar</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19578-2025</t>
        </is>
      </c>
      <c r="B1059" s="1" t="n">
        <v>45770</v>
      </c>
      <c r="C1059" s="1" t="n">
        <v>45795</v>
      </c>
      <c r="D1059" t="inlineStr">
        <is>
          <t>DALARNAS LÄN</t>
        </is>
      </c>
      <c r="E1059" t="inlineStr">
        <is>
          <t>ÄLVDALEN</t>
        </is>
      </c>
      <c r="F1059" t="inlineStr">
        <is>
          <t>Sveaskog</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45795</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19567-2025</t>
        </is>
      </c>
      <c r="B1061" s="1" t="n">
        <v>45770</v>
      </c>
      <c r="C1061" s="1" t="n">
        <v>45795</v>
      </c>
      <c r="D1061" t="inlineStr">
        <is>
          <t>DALARNAS LÄN</t>
        </is>
      </c>
      <c r="E1061" t="inlineStr">
        <is>
          <t>ÄLVDALEN</t>
        </is>
      </c>
      <c r="F1061" t="inlineStr">
        <is>
          <t>Allmännings- och besparingsskogar</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19553-2025</t>
        </is>
      </c>
      <c r="B1062" s="1" t="n">
        <v>45770</v>
      </c>
      <c r="C1062" s="1" t="n">
        <v>45795</v>
      </c>
      <c r="D1062" t="inlineStr">
        <is>
          <t>DALARNAS LÄN</t>
        </is>
      </c>
      <c r="E1062" t="inlineStr">
        <is>
          <t>ÄLVDALEN</t>
        </is>
      </c>
      <c r="F1062" t="inlineStr">
        <is>
          <t>Sveaskog</t>
        </is>
      </c>
      <c r="G1062" t="n">
        <v>25.2</v>
      </c>
      <c r="H1062" t="n">
        <v>0</v>
      </c>
      <c r="I1062" t="n">
        <v>0</v>
      </c>
      <c r="J1062" t="n">
        <v>0</v>
      </c>
      <c r="K1062" t="n">
        <v>0</v>
      </c>
      <c r="L1062" t="n">
        <v>0</v>
      </c>
      <c r="M1062" t="n">
        <v>0</v>
      </c>
      <c r="N1062" t="n">
        <v>0</v>
      </c>
      <c r="O1062" t="n">
        <v>0</v>
      </c>
      <c r="P1062" t="n">
        <v>0</v>
      </c>
      <c r="Q1062" t="n">
        <v>0</v>
      </c>
      <c r="R1062" s="2" t="inlineStr"/>
    </row>
    <row r="1063" ht="15" customHeight="1">
      <c r="A1063" t="inlineStr">
        <is>
          <t>A 19588-2025</t>
        </is>
      </c>
      <c r="B1063" s="1" t="n">
        <v>45770</v>
      </c>
      <c r="C1063" s="1" t="n">
        <v>45795</v>
      </c>
      <c r="D1063" t="inlineStr">
        <is>
          <t>DALARNAS LÄN</t>
        </is>
      </c>
      <c r="E1063" t="inlineStr">
        <is>
          <t>ÄLVDALEN</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19589-2025</t>
        </is>
      </c>
      <c r="B1064" s="1" t="n">
        <v>45770</v>
      </c>
      <c r="C1064" s="1" t="n">
        <v>45795</v>
      </c>
      <c r="D1064" t="inlineStr">
        <is>
          <t>DALARNAS LÄN</t>
        </is>
      </c>
      <c r="E1064" t="inlineStr">
        <is>
          <t>ÄLVDALEN</t>
        </is>
      </c>
      <c r="F1064" t="inlineStr">
        <is>
          <t>Sveaskog</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45795</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20584-2025</t>
        </is>
      </c>
      <c r="B1066" s="1" t="n">
        <v>45775</v>
      </c>
      <c r="C1066" s="1" t="n">
        <v>45795</v>
      </c>
      <c r="D1066" t="inlineStr">
        <is>
          <t>DALARNAS LÄN</t>
        </is>
      </c>
      <c r="E1066" t="inlineStr">
        <is>
          <t>ÄLVDALEN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45795</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20924-2025</t>
        </is>
      </c>
      <c r="B1068" s="1" t="n">
        <v>45777</v>
      </c>
      <c r="C1068" s="1" t="n">
        <v>45795</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21395-2025</t>
        </is>
      </c>
      <c r="B1069" s="1" t="n">
        <v>45782</v>
      </c>
      <c r="C1069" s="1" t="n">
        <v>45795</v>
      </c>
      <c r="D1069" t="inlineStr">
        <is>
          <t>DALARNAS LÄN</t>
        </is>
      </c>
      <c r="E1069" t="inlineStr">
        <is>
          <t>ÄLVDALEN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21613-2025</t>
        </is>
      </c>
      <c r="B1070" s="1" t="n">
        <v>45783</v>
      </c>
      <c r="C1070" s="1" t="n">
        <v>45795</v>
      </c>
      <c r="D1070" t="inlineStr">
        <is>
          <t>DALARNAS LÄN</t>
        </is>
      </c>
      <c r="E1070" t="inlineStr">
        <is>
          <t>ÄLVDALEN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21629-2025</t>
        </is>
      </c>
      <c r="B1071" s="1" t="n">
        <v>45783</v>
      </c>
      <c r="C1071" s="1" t="n">
        <v>45795</v>
      </c>
      <c r="D1071" t="inlineStr">
        <is>
          <t>DALARNAS LÄN</t>
        </is>
      </c>
      <c r="E1071" t="inlineStr">
        <is>
          <t>ÄLVDALEN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22189-2025</t>
        </is>
      </c>
      <c r="B1072" s="1" t="n">
        <v>45785</v>
      </c>
      <c r="C1072" s="1" t="n">
        <v>45795</v>
      </c>
      <c r="D1072" t="inlineStr">
        <is>
          <t>DALARNAS LÄN</t>
        </is>
      </c>
      <c r="E1072" t="inlineStr">
        <is>
          <t>ÄLVDALEN</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22279-2025</t>
        </is>
      </c>
      <c r="B1073" s="1" t="n">
        <v>45786</v>
      </c>
      <c r="C1073" s="1" t="n">
        <v>45795</v>
      </c>
      <c r="D1073" t="inlineStr">
        <is>
          <t>DALARNAS LÄN</t>
        </is>
      </c>
      <c r="E1073" t="inlineStr">
        <is>
          <t>ÄLVDALEN</t>
        </is>
      </c>
      <c r="F1073" t="inlineStr">
        <is>
          <t>Allmännings- och besparingsskogar</t>
        </is>
      </c>
      <c r="G1073" t="n">
        <v>11.2</v>
      </c>
      <c r="H1073" t="n">
        <v>0</v>
      </c>
      <c r="I1073" t="n">
        <v>0</v>
      </c>
      <c r="J1073" t="n">
        <v>0</v>
      </c>
      <c r="K1073" t="n">
        <v>0</v>
      </c>
      <c r="L1073" t="n">
        <v>0</v>
      </c>
      <c r="M1073" t="n">
        <v>0</v>
      </c>
      <c r="N1073" t="n">
        <v>0</v>
      </c>
      <c r="O1073" t="n">
        <v>0</v>
      </c>
      <c r="P1073" t="n">
        <v>0</v>
      </c>
      <c r="Q1073" t="n">
        <v>0</v>
      </c>
      <c r="R1073" s="2" t="inlineStr"/>
    </row>
    <row r="1074" ht="15" customHeight="1">
      <c r="A1074" t="inlineStr">
        <is>
          <t>A 22303-2025</t>
        </is>
      </c>
      <c r="B1074" s="1" t="n">
        <v>45786</v>
      </c>
      <c r="C1074" s="1" t="n">
        <v>45795</v>
      </c>
      <c r="D1074" t="inlineStr">
        <is>
          <t>DALARNAS LÄN</t>
        </is>
      </c>
      <c r="E1074" t="inlineStr">
        <is>
          <t>ÄLVDALEN</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22286-2025</t>
        </is>
      </c>
      <c r="B1075" s="1" t="n">
        <v>45786</v>
      </c>
      <c r="C1075" s="1" t="n">
        <v>45795</v>
      </c>
      <c r="D1075" t="inlineStr">
        <is>
          <t>DALARNAS LÄN</t>
        </is>
      </c>
      <c r="E1075" t="inlineStr">
        <is>
          <t>ÄLVDALEN</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22291-2025</t>
        </is>
      </c>
      <c r="B1076" s="1" t="n">
        <v>45786</v>
      </c>
      <c r="C1076" s="1" t="n">
        <v>45795</v>
      </c>
      <c r="D1076" t="inlineStr">
        <is>
          <t>DALARNAS LÄN</t>
        </is>
      </c>
      <c r="E1076" t="inlineStr">
        <is>
          <t>ÄLVDALEN</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22577-2025</t>
        </is>
      </c>
      <c r="B1077" s="1" t="n">
        <v>45789</v>
      </c>
      <c r="C1077" s="1" t="n">
        <v>45795</v>
      </c>
      <c r="D1077" t="inlineStr">
        <is>
          <t>DALARNAS LÄN</t>
        </is>
      </c>
      <c r="E1077" t="inlineStr">
        <is>
          <t>ÄLVDALEN</t>
        </is>
      </c>
      <c r="F1077" t="inlineStr">
        <is>
          <t>Allmännings- och besparingsskogar</t>
        </is>
      </c>
      <c r="G1077" t="n">
        <v>18.1</v>
      </c>
      <c r="H1077" t="n">
        <v>0</v>
      </c>
      <c r="I1077" t="n">
        <v>0</v>
      </c>
      <c r="J1077" t="n">
        <v>0</v>
      </c>
      <c r="K1077" t="n">
        <v>0</v>
      </c>
      <c r="L1077" t="n">
        <v>0</v>
      </c>
      <c r="M1077" t="n">
        <v>0</v>
      </c>
      <c r="N1077" t="n">
        <v>0</v>
      </c>
      <c r="O1077" t="n">
        <v>0</v>
      </c>
      <c r="P1077" t="n">
        <v>0</v>
      </c>
      <c r="Q1077" t="n">
        <v>0</v>
      </c>
      <c r="R1077" s="2" t="inlineStr"/>
    </row>
    <row r="1078" ht="15" customHeight="1">
      <c r="A1078" t="inlineStr">
        <is>
          <t>A 22559-2025</t>
        </is>
      </c>
      <c r="B1078" s="1" t="n">
        <v>45789</v>
      </c>
      <c r="C1078" s="1" t="n">
        <v>45795</v>
      </c>
      <c r="D1078" t="inlineStr">
        <is>
          <t>DALARNAS LÄN</t>
        </is>
      </c>
      <c r="E1078" t="inlineStr">
        <is>
          <t>ÄLVDALEN</t>
        </is>
      </c>
      <c r="F1078" t="inlineStr">
        <is>
          <t>Allmännings- och besparingsskogar</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22631-2025</t>
        </is>
      </c>
      <c r="B1079" s="1" t="n">
        <v>45789</v>
      </c>
      <c r="C1079" s="1" t="n">
        <v>45795</v>
      </c>
      <c r="D1079" t="inlineStr">
        <is>
          <t>DALARNAS LÄN</t>
        </is>
      </c>
      <c r="E1079" t="inlineStr">
        <is>
          <t>ÄLVDALEN</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22909-2025</t>
        </is>
      </c>
      <c r="B1080" s="1" t="n">
        <v>45790</v>
      </c>
      <c r="C1080" s="1" t="n">
        <v>45795</v>
      </c>
      <c r="D1080" t="inlineStr">
        <is>
          <t>DALARNAS LÄN</t>
        </is>
      </c>
      <c r="E1080" t="inlineStr">
        <is>
          <t>ÄLVDALEN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23219-2025</t>
        </is>
      </c>
      <c r="B1081" s="1" t="n">
        <v>45791</v>
      </c>
      <c r="C1081" s="1" t="n">
        <v>45795</v>
      </c>
      <c r="D1081" t="inlineStr">
        <is>
          <t>DALARNAS LÄN</t>
        </is>
      </c>
      <c r="E1081" t="inlineStr">
        <is>
          <t>ÄLVDALEN</t>
        </is>
      </c>
      <c r="F1081" t="inlineStr">
        <is>
          <t>Bergvik skog öst AB</t>
        </is>
      </c>
      <c r="G1081" t="n">
        <v>16.7</v>
      </c>
      <c r="H1081" t="n">
        <v>0</v>
      </c>
      <c r="I1081" t="n">
        <v>0</v>
      </c>
      <c r="J1081" t="n">
        <v>0</v>
      </c>
      <c r="K1081" t="n">
        <v>0</v>
      </c>
      <c r="L1081" t="n">
        <v>0</v>
      </c>
      <c r="M1081" t="n">
        <v>0</v>
      </c>
      <c r="N1081" t="n">
        <v>0</v>
      </c>
      <c r="O1081" t="n">
        <v>0</v>
      </c>
      <c r="P1081" t="n">
        <v>0</v>
      </c>
      <c r="Q1081" t="n">
        <v>0</v>
      </c>
      <c r="R1081" s="2" t="inlineStr"/>
    </row>
    <row r="1082">
      <c r="A1082" t="inlineStr">
        <is>
          <t>A 23555-2025</t>
        </is>
      </c>
      <c r="B1082" s="1" t="n">
        <v>45792</v>
      </c>
      <c r="C1082" s="1" t="n">
        <v>45795</v>
      </c>
      <c r="D1082" t="inlineStr">
        <is>
          <t>DALARNAS LÄN</t>
        </is>
      </c>
      <c r="E1082" t="inlineStr">
        <is>
          <t>ÄLVDALEN</t>
        </is>
      </c>
      <c r="G1082" t="n">
        <v>3.1</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2025-05-18T17:26:22Z</dcterms:created>
  <dcterms:modified xmlns:dcterms="http://purl.org/dc/terms/" xmlns:xsi="http://www.w3.org/2001/XMLSchema-instance" xsi:type="dcterms:W3CDTF">2025-05-18T17:26:23Z</dcterms:modified>
</cp:coreProperties>
</file>