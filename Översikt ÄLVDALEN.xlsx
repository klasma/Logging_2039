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45892</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45892</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45892</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45892</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45892</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45892</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45892</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45892</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45892</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45892</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45892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30238-2023</t>
        </is>
      </c>
      <c r="B13" s="1" t="n">
        <v>45110.65965277778</v>
      </c>
      <c r="C13" s="1" t="n">
        <v>45892</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19109-2023</t>
        </is>
      </c>
      <c r="B14" s="1" t="n">
        <v>45044</v>
      </c>
      <c r="C14" s="1" t="n">
        <v>45892</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45892</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31037-2023</t>
        </is>
      </c>
      <c r="B16" s="1" t="n">
        <v>45113</v>
      </c>
      <c r="C16" s="1" t="n">
        <v>45892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45892</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45892</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33548-2023</t>
        </is>
      </c>
      <c r="B19" s="1" t="n">
        <v>45118</v>
      </c>
      <c r="C19" s="1" t="n">
        <v>45892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45892</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45892</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45892</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45892</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45892</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45892</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45892</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16370-2024</t>
        </is>
      </c>
      <c r="B28" s="1" t="n">
        <v>45407</v>
      </c>
      <c r="C28" s="1" t="n">
        <v>45892</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34765-2025</t>
        </is>
      </c>
      <c r="B29" s="1" t="n">
        <v>45848</v>
      </c>
      <c r="C29" s="1" t="n">
        <v>45892</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38582-2023</t>
        </is>
      </c>
      <c r="B30" s="1" t="n">
        <v>45162</v>
      </c>
      <c r="C30" s="1" t="n">
        <v>45892</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45892</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36371-2025</t>
        </is>
      </c>
      <c r="B32" s="1" t="n">
        <v>45868</v>
      </c>
      <c r="C32" s="1" t="n">
        <v>45892</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66637-2021</t>
        </is>
      </c>
      <c r="B33" s="1" t="n">
        <v>44519</v>
      </c>
      <c r="C33" s="1" t="n">
        <v>45892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45892</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45892</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45892</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45892</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45892</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45892</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45892</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19534-2025</t>
        </is>
      </c>
      <c r="B41" s="1" t="n">
        <v>45770.47667824074</v>
      </c>
      <c r="C41" s="1" t="n">
        <v>45892</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39278-2022</t>
        </is>
      </c>
      <c r="B42" s="1" t="n">
        <v>44817</v>
      </c>
      <c r="C42" s="1" t="n">
        <v>45892</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31631-2025</t>
        </is>
      </c>
      <c r="B43" s="1" t="n">
        <v>45834</v>
      </c>
      <c r="C43" s="1" t="n">
        <v>45892</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31821-2025</t>
        </is>
      </c>
      <c r="B44" s="1" t="n">
        <v>45834.57958333333</v>
      </c>
      <c r="C44" s="1" t="n">
        <v>45892</v>
      </c>
      <c r="D44" t="inlineStr">
        <is>
          <t>DALARNAS LÄN</t>
        </is>
      </c>
      <c r="E44" t="inlineStr">
        <is>
          <t>ÄLVDALEN</t>
        </is>
      </c>
      <c r="F44" t="inlineStr">
        <is>
          <t>Allmännings- och besparingsskogar</t>
        </is>
      </c>
      <c r="G44" t="n">
        <v>1.2</v>
      </c>
      <c r="H44" t="n">
        <v>1</v>
      </c>
      <c r="I44" t="n">
        <v>1</v>
      </c>
      <c r="J44" t="n">
        <v>4</v>
      </c>
      <c r="K44" t="n">
        <v>1</v>
      </c>
      <c r="L44" t="n">
        <v>0</v>
      </c>
      <c r="M44" t="n">
        <v>0</v>
      </c>
      <c r="N44" t="n">
        <v>0</v>
      </c>
      <c r="O44" t="n">
        <v>5</v>
      </c>
      <c r="P44" t="n">
        <v>1</v>
      </c>
      <c r="Q44" t="n">
        <v>6</v>
      </c>
      <c r="R44" s="2" t="inlineStr">
        <is>
          <t>Fläckporing
Blanksvart spiklav
Varglav
Vedflamlav
Vedskivlav
Mindre märgborre</t>
        </is>
      </c>
      <c r="S44">
        <f>HYPERLINK("https://klasma.github.io/Logging_2039/artfynd/A 31821-2025 artfynd.xlsx", "A 31821-2025")</f>
        <v/>
      </c>
      <c r="T44">
        <f>HYPERLINK("https://klasma.github.io/Logging_2039/kartor/A 31821-2025 karta.png", "A 31821-2025")</f>
        <v/>
      </c>
      <c r="V44">
        <f>HYPERLINK("https://klasma.github.io/Logging_2039/klagomål/A 31821-2025 FSC-klagomål.docx", "A 31821-2025")</f>
        <v/>
      </c>
      <c r="W44">
        <f>HYPERLINK("https://klasma.github.io/Logging_2039/klagomålsmail/A 31821-2025 FSC-klagomål mail.docx", "A 31821-2025")</f>
        <v/>
      </c>
      <c r="X44">
        <f>HYPERLINK("https://klasma.github.io/Logging_2039/tillsyn/A 31821-2025 tillsynsbegäran.docx", "A 31821-2025")</f>
        <v/>
      </c>
      <c r="Y44">
        <f>HYPERLINK("https://klasma.github.io/Logging_2039/tillsynsmail/A 31821-2025 tillsynsbegäran mail.docx", "A 31821-2025")</f>
        <v/>
      </c>
    </row>
    <row r="45" ht="15" customHeight="1">
      <c r="A45" t="inlineStr">
        <is>
          <t>A 33638-2025</t>
        </is>
      </c>
      <c r="B45" s="1" t="n">
        <v>45841.64807870371</v>
      </c>
      <c r="C45" s="1" t="n">
        <v>45892</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45892</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22701-2024</t>
        </is>
      </c>
      <c r="B47" s="1" t="n">
        <v>45448</v>
      </c>
      <c r="C47" s="1" t="n">
        <v>45892</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49053-2023</t>
        </is>
      </c>
      <c r="B48" s="1" t="n">
        <v>45210</v>
      </c>
      <c r="C48" s="1" t="n">
        <v>45892</v>
      </c>
      <c r="D48" t="inlineStr">
        <is>
          <t>DALARNAS LÄN</t>
        </is>
      </c>
      <c r="E48" t="inlineStr">
        <is>
          <t>ÄLVDALEN</t>
        </is>
      </c>
      <c r="F48" t="inlineStr">
        <is>
          <t>Sveaskog</t>
        </is>
      </c>
      <c r="G48" t="n">
        <v>3.6</v>
      </c>
      <c r="H48" t="n">
        <v>0</v>
      </c>
      <c r="I48" t="n">
        <v>2</v>
      </c>
      <c r="J48" t="n">
        <v>3</v>
      </c>
      <c r="K48" t="n">
        <v>0</v>
      </c>
      <c r="L48" t="n">
        <v>0</v>
      </c>
      <c r="M48" t="n">
        <v>0</v>
      </c>
      <c r="N48" t="n">
        <v>0</v>
      </c>
      <c r="O48" t="n">
        <v>3</v>
      </c>
      <c r="P48" t="n">
        <v>0</v>
      </c>
      <c r="Q48" t="n">
        <v>5</v>
      </c>
      <c r="R48" s="2" t="inlineStr">
        <is>
          <t>Kolflarnlav
Nordtagging
Vedflamlav
Dropptaggsvamp
Skarp dropptaggsvamp</t>
        </is>
      </c>
      <c r="S48">
        <f>HYPERLINK("https://klasma.github.io/Logging_2039/artfynd/A 49053-2023 artfynd.xlsx", "A 49053-2023")</f>
        <v/>
      </c>
      <c r="T48">
        <f>HYPERLINK("https://klasma.github.io/Logging_2039/kartor/A 49053-2023 karta.png", "A 49053-2023")</f>
        <v/>
      </c>
      <c r="V48">
        <f>HYPERLINK("https://klasma.github.io/Logging_2039/klagomål/A 49053-2023 FSC-klagomål.docx", "A 49053-2023")</f>
        <v/>
      </c>
      <c r="W48">
        <f>HYPERLINK("https://klasma.github.io/Logging_2039/klagomålsmail/A 49053-2023 FSC-klagomål mail.docx", "A 49053-2023")</f>
        <v/>
      </c>
      <c r="X48">
        <f>HYPERLINK("https://klasma.github.io/Logging_2039/tillsyn/A 49053-2023 tillsynsbegäran.docx", "A 49053-2023")</f>
        <v/>
      </c>
      <c r="Y48">
        <f>HYPERLINK("https://klasma.github.io/Logging_2039/tillsynsmail/A 49053-2023 tillsynsbegäran mail.docx", "A 49053-2023")</f>
        <v/>
      </c>
    </row>
    <row r="49" ht="15" customHeight="1">
      <c r="A49" t="inlineStr">
        <is>
          <t>A 38585-2023</t>
        </is>
      </c>
      <c r="B49" s="1" t="n">
        <v>45162</v>
      </c>
      <c r="C49" s="1" t="n">
        <v>45892</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45892</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36327-2025</t>
        </is>
      </c>
      <c r="B51" s="1" t="n">
        <v>45868.42211805555</v>
      </c>
      <c r="C51" s="1" t="n">
        <v>45892</v>
      </c>
      <c r="D51" t="inlineStr">
        <is>
          <t>DALARNAS LÄN</t>
        </is>
      </c>
      <c r="E51" t="inlineStr">
        <is>
          <t>ÄLVDALEN</t>
        </is>
      </c>
      <c r="F51" t="inlineStr">
        <is>
          <t>Allmännings- och besparingsskogar</t>
        </is>
      </c>
      <c r="G51" t="n">
        <v>16.9</v>
      </c>
      <c r="H51" t="n">
        <v>2</v>
      </c>
      <c r="I51" t="n">
        <v>0</v>
      </c>
      <c r="J51" t="n">
        <v>3</v>
      </c>
      <c r="K51" t="n">
        <v>0</v>
      </c>
      <c r="L51" t="n">
        <v>0</v>
      </c>
      <c r="M51" t="n">
        <v>0</v>
      </c>
      <c r="N51" t="n">
        <v>0</v>
      </c>
      <c r="O51" t="n">
        <v>3</v>
      </c>
      <c r="P51" t="n">
        <v>0</v>
      </c>
      <c r="Q51" t="n">
        <v>5</v>
      </c>
      <c r="R51" s="2" t="inlineStr">
        <is>
          <t>Garnlav
Kolflarnlav
Vedskivlav
Kungsfågel
Tjäder</t>
        </is>
      </c>
      <c r="S51">
        <f>HYPERLINK("https://klasma.github.io/Logging_2039/artfynd/A 36327-2025 artfynd.xlsx", "A 36327-2025")</f>
        <v/>
      </c>
      <c r="T51">
        <f>HYPERLINK("https://klasma.github.io/Logging_2039/kartor/A 36327-2025 karta.png", "A 36327-2025")</f>
        <v/>
      </c>
      <c r="V51">
        <f>HYPERLINK("https://klasma.github.io/Logging_2039/klagomål/A 36327-2025 FSC-klagomål.docx", "A 36327-2025")</f>
        <v/>
      </c>
      <c r="W51">
        <f>HYPERLINK("https://klasma.github.io/Logging_2039/klagomålsmail/A 36327-2025 FSC-klagomål mail.docx", "A 36327-2025")</f>
        <v/>
      </c>
      <c r="X51">
        <f>HYPERLINK("https://klasma.github.io/Logging_2039/tillsyn/A 36327-2025 tillsynsbegäran.docx", "A 36327-2025")</f>
        <v/>
      </c>
      <c r="Y51">
        <f>HYPERLINK("https://klasma.github.io/Logging_2039/tillsynsmail/A 36327-2025 tillsynsbegäran mail.docx", "A 36327-2025")</f>
        <v/>
      </c>
      <c r="Z51">
        <f>HYPERLINK("https://klasma.github.io/Logging_2039/fåglar/A 36327-2025 prioriterade fågelarter.docx", "A 36327-2025")</f>
        <v/>
      </c>
    </row>
    <row r="52" ht="15" customHeight="1">
      <c r="A52" t="inlineStr">
        <is>
          <t>A 16894-2025</t>
        </is>
      </c>
      <c r="B52" s="1" t="n">
        <v>45755.33045138889</v>
      </c>
      <c r="C52" s="1" t="n">
        <v>45892</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19616-2024</t>
        </is>
      </c>
      <c r="B53" s="1" t="n">
        <v>45432.31541666666</v>
      </c>
      <c r="C53" s="1" t="n">
        <v>45892</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25089-2024</t>
        </is>
      </c>
      <c r="B54" s="1" t="n">
        <v>45462.39879629629</v>
      </c>
      <c r="C54" s="1" t="n">
        <v>45892</v>
      </c>
      <c r="D54" t="inlineStr">
        <is>
          <t>DALARNAS LÄN</t>
        </is>
      </c>
      <c r="E54" t="inlineStr">
        <is>
          <t>ÄLVDALEN</t>
        </is>
      </c>
      <c r="F54" t="inlineStr">
        <is>
          <t>Sveaskog</t>
        </is>
      </c>
      <c r="G54" t="n">
        <v>3.9</v>
      </c>
      <c r="H54" t="n">
        <v>0</v>
      </c>
      <c r="I54" t="n">
        <v>1</v>
      </c>
      <c r="J54" t="n">
        <v>4</v>
      </c>
      <c r="K54" t="n">
        <v>0</v>
      </c>
      <c r="L54" t="n">
        <v>0</v>
      </c>
      <c r="M54" t="n">
        <v>0</v>
      </c>
      <c r="N54" t="n">
        <v>0</v>
      </c>
      <c r="O54" t="n">
        <v>4</v>
      </c>
      <c r="P54" t="n">
        <v>0</v>
      </c>
      <c r="Q54" t="n">
        <v>5</v>
      </c>
      <c r="R54" s="2" t="inlineStr">
        <is>
          <t>Blanksvart spiklav
Kolflarnlav
Mörk kolflarnlav
Vedflamlav
Skarp dropptaggsvamp</t>
        </is>
      </c>
      <c r="S54">
        <f>HYPERLINK("https://klasma.github.io/Logging_2039/artfynd/A 25089-2024 artfynd.xlsx", "A 25089-2024")</f>
        <v/>
      </c>
      <c r="T54">
        <f>HYPERLINK("https://klasma.github.io/Logging_2039/kartor/A 25089-2024 karta.png", "A 25089-2024")</f>
        <v/>
      </c>
      <c r="V54">
        <f>HYPERLINK("https://klasma.github.io/Logging_2039/klagomål/A 25089-2024 FSC-klagomål.docx", "A 25089-2024")</f>
        <v/>
      </c>
      <c r="W54">
        <f>HYPERLINK("https://klasma.github.io/Logging_2039/klagomålsmail/A 25089-2024 FSC-klagomål mail.docx", "A 25089-2024")</f>
        <v/>
      </c>
      <c r="X54">
        <f>HYPERLINK("https://klasma.github.io/Logging_2039/tillsyn/A 25089-2024 tillsynsbegäran.docx", "A 25089-2024")</f>
        <v/>
      </c>
      <c r="Y54">
        <f>HYPERLINK("https://klasma.github.io/Logging_2039/tillsynsmail/A 25089-2024 tillsynsbegäran mail.docx", "A 25089-2024")</f>
        <v/>
      </c>
    </row>
    <row r="55" ht="15" customHeight="1">
      <c r="A55" t="inlineStr">
        <is>
          <t>A 49052-2023</t>
        </is>
      </c>
      <c r="B55" s="1" t="n">
        <v>45210</v>
      </c>
      <c r="C55" s="1" t="n">
        <v>45892</v>
      </c>
      <c r="D55" t="inlineStr">
        <is>
          <t>DALARNAS LÄN</t>
        </is>
      </c>
      <c r="E55" t="inlineStr">
        <is>
          <t>ÄLVDALEN</t>
        </is>
      </c>
      <c r="F55" t="inlineStr">
        <is>
          <t>Sveaskog</t>
        </is>
      </c>
      <c r="G55" t="n">
        <v>4.4</v>
      </c>
      <c r="H55" t="n">
        <v>1</v>
      </c>
      <c r="I55" t="n">
        <v>0</v>
      </c>
      <c r="J55" t="n">
        <v>4</v>
      </c>
      <c r="K55" t="n">
        <v>0</v>
      </c>
      <c r="L55" t="n">
        <v>0</v>
      </c>
      <c r="M55" t="n">
        <v>0</v>
      </c>
      <c r="N55" t="n">
        <v>0</v>
      </c>
      <c r="O55" t="n">
        <v>4</v>
      </c>
      <c r="P55" t="n">
        <v>0</v>
      </c>
      <c r="Q55" t="n">
        <v>4</v>
      </c>
      <c r="R55" s="2" t="inlineStr">
        <is>
          <t>Kolflarnlav
Mörk kolflarnlav
Varglav
Vedflamlav</t>
        </is>
      </c>
      <c r="S55">
        <f>HYPERLINK("https://klasma.github.io/Logging_2039/artfynd/A 49052-2023 artfynd.xlsx", "A 49052-2023")</f>
        <v/>
      </c>
      <c r="T55">
        <f>HYPERLINK("https://klasma.github.io/Logging_2039/kartor/A 49052-2023 karta.png", "A 49052-2023")</f>
        <v/>
      </c>
      <c r="V55">
        <f>HYPERLINK("https://klasma.github.io/Logging_2039/klagomål/A 49052-2023 FSC-klagomål.docx", "A 49052-2023")</f>
        <v/>
      </c>
      <c r="W55">
        <f>HYPERLINK("https://klasma.github.io/Logging_2039/klagomålsmail/A 49052-2023 FSC-klagomål mail.docx", "A 49052-2023")</f>
        <v/>
      </c>
      <c r="X55">
        <f>HYPERLINK("https://klasma.github.io/Logging_2039/tillsyn/A 49052-2023 tillsynsbegäran.docx", "A 49052-2023")</f>
        <v/>
      </c>
      <c r="Y55">
        <f>HYPERLINK("https://klasma.github.io/Logging_2039/tillsynsmail/A 49052-2023 tillsynsbegäran mail.docx", "A 49052-2023")</f>
        <v/>
      </c>
    </row>
    <row r="56" ht="15" customHeight="1">
      <c r="A56" t="inlineStr">
        <is>
          <t>A 57505-2024</t>
        </is>
      </c>
      <c r="B56" s="1" t="n">
        <v>45630</v>
      </c>
      <c r="C56" s="1" t="n">
        <v>45892</v>
      </c>
      <c r="D56" t="inlineStr">
        <is>
          <t>DALARNAS LÄN</t>
        </is>
      </c>
      <c r="E56" t="inlineStr">
        <is>
          <t>ÄLVDALEN</t>
        </is>
      </c>
      <c r="F56" t="inlineStr">
        <is>
          <t>Allmännings- och besparingsskogar</t>
        </is>
      </c>
      <c r="G56" t="n">
        <v>2.3</v>
      </c>
      <c r="H56" t="n">
        <v>0</v>
      </c>
      <c r="I56" t="n">
        <v>2</v>
      </c>
      <c r="J56" t="n">
        <v>2</v>
      </c>
      <c r="K56" t="n">
        <v>0</v>
      </c>
      <c r="L56" t="n">
        <v>0</v>
      </c>
      <c r="M56" t="n">
        <v>0</v>
      </c>
      <c r="N56" t="n">
        <v>0</v>
      </c>
      <c r="O56" t="n">
        <v>2</v>
      </c>
      <c r="P56" t="n">
        <v>0</v>
      </c>
      <c r="Q56" t="n">
        <v>4</v>
      </c>
      <c r="R56" s="2" t="inlineStr">
        <is>
          <t>Skrovellav
Vedskivlav
Bronshjon
Vågbandad barkbock</t>
        </is>
      </c>
      <c r="S56">
        <f>HYPERLINK("https://klasma.github.io/Logging_2039/artfynd/A 57505-2024 artfynd.xlsx", "A 57505-2024")</f>
        <v/>
      </c>
      <c r="T56">
        <f>HYPERLINK("https://klasma.github.io/Logging_2039/kartor/A 57505-2024 karta.png", "A 57505-2024")</f>
        <v/>
      </c>
      <c r="V56">
        <f>HYPERLINK("https://klasma.github.io/Logging_2039/klagomål/A 57505-2024 FSC-klagomål.docx", "A 57505-2024")</f>
        <v/>
      </c>
      <c r="W56">
        <f>HYPERLINK("https://klasma.github.io/Logging_2039/klagomålsmail/A 57505-2024 FSC-klagomål mail.docx", "A 57505-2024")</f>
        <v/>
      </c>
      <c r="X56">
        <f>HYPERLINK("https://klasma.github.io/Logging_2039/tillsyn/A 57505-2024 tillsynsbegäran.docx", "A 57505-2024")</f>
        <v/>
      </c>
      <c r="Y56">
        <f>HYPERLINK("https://klasma.github.io/Logging_2039/tillsynsmail/A 57505-2024 tillsynsbegäran mail.docx", "A 57505-2024")</f>
        <v/>
      </c>
    </row>
    <row r="57" ht="15" customHeight="1">
      <c r="A57" t="inlineStr">
        <is>
          <t>A 32204-2024</t>
        </is>
      </c>
      <c r="B57" s="1" t="n">
        <v>45511.67277777778</v>
      </c>
      <c r="C57" s="1" t="n">
        <v>45892</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45892</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26765-2025</t>
        </is>
      </c>
      <c r="B59" s="1" t="n">
        <v>45810</v>
      </c>
      <c r="C59" s="1" t="n">
        <v>45892</v>
      </c>
      <c r="D59" t="inlineStr">
        <is>
          <t>DALARNAS LÄN</t>
        </is>
      </c>
      <c r="E59" t="inlineStr">
        <is>
          <t>ÄLVDALEN</t>
        </is>
      </c>
      <c r="F59" t="inlineStr">
        <is>
          <t>Allmännings- och besparingsskogar</t>
        </is>
      </c>
      <c r="G59" t="n">
        <v>17.5</v>
      </c>
      <c r="H59" t="n">
        <v>1</v>
      </c>
      <c r="I59" t="n">
        <v>0</v>
      </c>
      <c r="J59" t="n">
        <v>3</v>
      </c>
      <c r="K59" t="n">
        <v>0</v>
      </c>
      <c r="L59" t="n">
        <v>0</v>
      </c>
      <c r="M59" t="n">
        <v>0</v>
      </c>
      <c r="N59" t="n">
        <v>0</v>
      </c>
      <c r="O59" t="n">
        <v>3</v>
      </c>
      <c r="P59" t="n">
        <v>0</v>
      </c>
      <c r="Q59" t="n">
        <v>4</v>
      </c>
      <c r="R59" s="2" t="inlineStr">
        <is>
          <t>Kolflarnlav
Vedflamlav
Vedskivlav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32207-2024</t>
        </is>
      </c>
      <c r="B60" s="1" t="n">
        <v>45511.67440972223</v>
      </c>
      <c r="C60" s="1" t="n">
        <v>45892</v>
      </c>
      <c r="D60" t="inlineStr">
        <is>
          <t>DALARNAS LÄN</t>
        </is>
      </c>
      <c r="E60" t="inlineStr">
        <is>
          <t>ÄLVDALEN</t>
        </is>
      </c>
      <c r="F60" t="inlineStr">
        <is>
          <t>Sveaskog</t>
        </is>
      </c>
      <c r="G60" t="n">
        <v>2.5</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32207-2024 artfynd.xlsx", "A 32207-2024")</f>
        <v/>
      </c>
      <c r="T60">
        <f>HYPERLINK("https://klasma.github.io/Logging_2039/kartor/A 32207-2024 karta.png", "A 32207-2024")</f>
        <v/>
      </c>
      <c r="V60">
        <f>HYPERLINK("https://klasma.github.io/Logging_2039/klagomål/A 32207-2024 FSC-klagomål.docx", "A 32207-2024")</f>
        <v/>
      </c>
      <c r="W60">
        <f>HYPERLINK("https://klasma.github.io/Logging_2039/klagomålsmail/A 32207-2024 FSC-klagomål mail.docx", "A 32207-2024")</f>
        <v/>
      </c>
      <c r="X60">
        <f>HYPERLINK("https://klasma.github.io/Logging_2039/tillsyn/A 32207-2024 tillsynsbegäran.docx", "A 32207-2024")</f>
        <v/>
      </c>
      <c r="Y60">
        <f>HYPERLINK("https://klasma.github.io/Logging_2039/tillsynsmail/A 32207-2024 tillsynsbegäran mail.docx", "A 32207-2024")</f>
        <v/>
      </c>
    </row>
    <row r="61" ht="15" customHeight="1">
      <c r="A61" t="inlineStr">
        <is>
          <t>A 29252-2023</t>
        </is>
      </c>
      <c r="B61" s="1" t="n">
        <v>45105</v>
      </c>
      <c r="C61" s="1" t="n">
        <v>45892</v>
      </c>
      <c r="D61" t="inlineStr">
        <is>
          <t>DALARNAS LÄN</t>
        </is>
      </c>
      <c r="E61" t="inlineStr">
        <is>
          <t>ÄLVDALEN</t>
        </is>
      </c>
      <c r="F61" t="inlineStr">
        <is>
          <t>Allmännings- och besparingsskogar</t>
        </is>
      </c>
      <c r="G61" t="n">
        <v>3.5</v>
      </c>
      <c r="H61" t="n">
        <v>1</v>
      </c>
      <c r="I61" t="n">
        <v>0</v>
      </c>
      <c r="J61" t="n">
        <v>4</v>
      </c>
      <c r="K61" t="n">
        <v>0</v>
      </c>
      <c r="L61" t="n">
        <v>0</v>
      </c>
      <c r="M61" t="n">
        <v>0</v>
      </c>
      <c r="N61" t="n">
        <v>0</v>
      </c>
      <c r="O61" t="n">
        <v>4</v>
      </c>
      <c r="P61" t="n">
        <v>0</v>
      </c>
      <c r="Q61" t="n">
        <v>4</v>
      </c>
      <c r="R61" s="2" t="inlineStr">
        <is>
          <t>Knottrig blåslav
Kolflarnlav
Varglav
Vedflamlav</t>
        </is>
      </c>
      <c r="S61">
        <f>HYPERLINK("https://klasma.github.io/Logging_2039/artfynd/A 29252-2023 artfynd.xlsx", "A 29252-2023")</f>
        <v/>
      </c>
      <c r="T61">
        <f>HYPERLINK("https://klasma.github.io/Logging_2039/kartor/A 29252-2023 karta.png", "A 29252-2023")</f>
        <v/>
      </c>
      <c r="V61">
        <f>HYPERLINK("https://klasma.github.io/Logging_2039/klagomål/A 29252-2023 FSC-klagomål.docx", "A 29252-2023")</f>
        <v/>
      </c>
      <c r="W61">
        <f>HYPERLINK("https://klasma.github.io/Logging_2039/klagomålsmail/A 29252-2023 FSC-klagomål mail.docx", "A 29252-2023")</f>
        <v/>
      </c>
      <c r="X61">
        <f>HYPERLINK("https://klasma.github.io/Logging_2039/tillsyn/A 29252-2023 tillsynsbegäran.docx", "A 29252-2023")</f>
        <v/>
      </c>
      <c r="Y61">
        <f>HYPERLINK("https://klasma.github.io/Logging_2039/tillsynsmail/A 29252-2023 tillsynsbegäran mail.docx", "A 29252-2023")</f>
        <v/>
      </c>
    </row>
    <row r="62" ht="15" customHeight="1">
      <c r="A62" t="inlineStr">
        <is>
          <t>A 36580-2024</t>
        </is>
      </c>
      <c r="B62" s="1" t="n">
        <v>45537.50400462963</v>
      </c>
      <c r="C62" s="1" t="n">
        <v>45892</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38819-2024</t>
        </is>
      </c>
      <c r="B63" s="1" t="n">
        <v>45547.5541087963</v>
      </c>
      <c r="C63" s="1" t="n">
        <v>45892</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58570-2020</t>
        </is>
      </c>
      <c r="B64" s="1" t="n">
        <v>44145</v>
      </c>
      <c r="C64" s="1" t="n">
        <v>45892</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22191-2025</t>
        </is>
      </c>
      <c r="B65" s="1" t="n">
        <v>45785.62809027778</v>
      </c>
      <c r="C65" s="1" t="n">
        <v>45892</v>
      </c>
      <c r="D65" t="inlineStr">
        <is>
          <t>DALARNAS LÄN</t>
        </is>
      </c>
      <c r="E65" t="inlineStr">
        <is>
          <t>ÄLVDALEN</t>
        </is>
      </c>
      <c r="F65" t="inlineStr">
        <is>
          <t>Sveaskog</t>
        </is>
      </c>
      <c r="G65" t="n">
        <v>1.7</v>
      </c>
      <c r="H65" t="n">
        <v>0</v>
      </c>
      <c r="I65" t="n">
        <v>0</v>
      </c>
      <c r="J65" t="n">
        <v>3</v>
      </c>
      <c r="K65" t="n">
        <v>0</v>
      </c>
      <c r="L65" t="n">
        <v>0</v>
      </c>
      <c r="M65" t="n">
        <v>0</v>
      </c>
      <c r="N65" t="n">
        <v>0</v>
      </c>
      <c r="O65" t="n">
        <v>3</v>
      </c>
      <c r="P65" t="n">
        <v>0</v>
      </c>
      <c r="Q65" t="n">
        <v>3</v>
      </c>
      <c r="R65" s="2" t="inlineStr">
        <is>
          <t>Kolflarnlav
Tallticka
Vedflamlav</t>
        </is>
      </c>
      <c r="S65">
        <f>HYPERLINK("https://klasma.github.io/Logging_2039/artfynd/A 22191-2025 artfynd.xlsx", "A 22191-2025")</f>
        <v/>
      </c>
      <c r="T65">
        <f>HYPERLINK("https://klasma.github.io/Logging_2039/kartor/A 22191-2025 karta.png", "A 22191-2025")</f>
        <v/>
      </c>
      <c r="V65">
        <f>HYPERLINK("https://klasma.github.io/Logging_2039/klagomål/A 22191-2025 FSC-klagomål.docx", "A 22191-2025")</f>
        <v/>
      </c>
      <c r="W65">
        <f>HYPERLINK("https://klasma.github.io/Logging_2039/klagomålsmail/A 22191-2025 FSC-klagomål mail.docx", "A 22191-2025")</f>
        <v/>
      </c>
      <c r="X65">
        <f>HYPERLINK("https://klasma.github.io/Logging_2039/tillsyn/A 22191-2025 tillsynsbegäran.docx", "A 22191-2025")</f>
        <v/>
      </c>
      <c r="Y65">
        <f>HYPERLINK("https://klasma.github.io/Logging_2039/tillsynsmail/A 22191-2025 tillsynsbegäran mail.docx", "A 22191-2025")</f>
        <v/>
      </c>
    </row>
    <row r="66" ht="15" customHeight="1">
      <c r="A66" t="inlineStr">
        <is>
          <t>A 43740-2024</t>
        </is>
      </c>
      <c r="B66" s="1" t="n">
        <v>45569.65748842592</v>
      </c>
      <c r="C66" s="1" t="n">
        <v>45892</v>
      </c>
      <c r="D66" t="inlineStr">
        <is>
          <t>DALARNAS LÄN</t>
        </is>
      </c>
      <c r="E66" t="inlineStr">
        <is>
          <t>ÄLVDALEN</t>
        </is>
      </c>
      <c r="F66" t="inlineStr">
        <is>
          <t>Sveaskog</t>
        </is>
      </c>
      <c r="G66" t="n">
        <v>2.3</v>
      </c>
      <c r="H66" t="n">
        <v>0</v>
      </c>
      <c r="I66" t="n">
        <v>0</v>
      </c>
      <c r="J66" t="n">
        <v>3</v>
      </c>
      <c r="K66" t="n">
        <v>0</v>
      </c>
      <c r="L66" t="n">
        <v>0</v>
      </c>
      <c r="M66" t="n">
        <v>0</v>
      </c>
      <c r="N66" t="n">
        <v>0</v>
      </c>
      <c r="O66" t="n">
        <v>3</v>
      </c>
      <c r="P66" t="n">
        <v>0</v>
      </c>
      <c r="Q66" t="n">
        <v>3</v>
      </c>
      <c r="R66" s="2" t="inlineStr">
        <is>
          <t>Kolflarnlav
Mörk kolflarnlav
Vedflamlav</t>
        </is>
      </c>
      <c r="S66">
        <f>HYPERLINK("https://klasma.github.io/Logging_2039/artfynd/A 43740-2024 artfynd.xlsx", "A 43740-2024")</f>
        <v/>
      </c>
      <c r="T66">
        <f>HYPERLINK("https://klasma.github.io/Logging_2039/kartor/A 43740-2024 karta.png", "A 43740-2024")</f>
        <v/>
      </c>
      <c r="V66">
        <f>HYPERLINK("https://klasma.github.io/Logging_2039/klagomål/A 43740-2024 FSC-klagomål.docx", "A 43740-2024")</f>
        <v/>
      </c>
      <c r="W66">
        <f>HYPERLINK("https://klasma.github.io/Logging_2039/klagomålsmail/A 43740-2024 FSC-klagomål mail.docx", "A 43740-2024")</f>
        <v/>
      </c>
      <c r="X66">
        <f>HYPERLINK("https://klasma.github.io/Logging_2039/tillsyn/A 43740-2024 tillsynsbegäran.docx", "A 43740-2024")</f>
        <v/>
      </c>
      <c r="Y66">
        <f>HYPERLINK("https://klasma.github.io/Logging_2039/tillsynsmail/A 43740-2024 tillsynsbegäran mail.docx", "A 43740-2024")</f>
        <v/>
      </c>
    </row>
    <row r="67" ht="15" customHeight="1">
      <c r="A67" t="inlineStr">
        <is>
          <t>A 22291-2025</t>
        </is>
      </c>
      <c r="B67" s="1" t="n">
        <v>45786.34568287037</v>
      </c>
      <c r="C67" s="1" t="n">
        <v>45892</v>
      </c>
      <c r="D67" t="inlineStr">
        <is>
          <t>DALARNAS LÄN</t>
        </is>
      </c>
      <c r="E67" t="inlineStr">
        <is>
          <t>ÄLVDALEN</t>
        </is>
      </c>
      <c r="F67" t="inlineStr">
        <is>
          <t>Sveaskog</t>
        </is>
      </c>
      <c r="G67" t="n">
        <v>3.7</v>
      </c>
      <c r="H67" t="n">
        <v>0</v>
      </c>
      <c r="I67" t="n">
        <v>0</v>
      </c>
      <c r="J67" t="n">
        <v>3</v>
      </c>
      <c r="K67" t="n">
        <v>0</v>
      </c>
      <c r="L67" t="n">
        <v>0</v>
      </c>
      <c r="M67" t="n">
        <v>0</v>
      </c>
      <c r="N67" t="n">
        <v>0</v>
      </c>
      <c r="O67" t="n">
        <v>3</v>
      </c>
      <c r="P67" t="n">
        <v>0</v>
      </c>
      <c r="Q67" t="n">
        <v>3</v>
      </c>
      <c r="R67" s="2" t="inlineStr">
        <is>
          <t>Kolflarnlav
Mörk kolflarnlav
Vedflamlav</t>
        </is>
      </c>
      <c r="S67">
        <f>HYPERLINK("https://klasma.github.io/Logging_2039/artfynd/A 22291-2025 artfynd.xlsx", "A 22291-2025")</f>
        <v/>
      </c>
      <c r="T67">
        <f>HYPERLINK("https://klasma.github.io/Logging_2039/kartor/A 22291-2025 karta.png", "A 22291-2025")</f>
        <v/>
      </c>
      <c r="V67">
        <f>HYPERLINK("https://klasma.github.io/Logging_2039/klagomål/A 22291-2025 FSC-klagomål.docx", "A 22291-2025")</f>
        <v/>
      </c>
      <c r="W67">
        <f>HYPERLINK("https://klasma.github.io/Logging_2039/klagomålsmail/A 22291-2025 FSC-klagomål mail.docx", "A 22291-2025")</f>
        <v/>
      </c>
      <c r="X67">
        <f>HYPERLINK("https://klasma.github.io/Logging_2039/tillsyn/A 22291-2025 tillsynsbegäran.docx", "A 22291-2025")</f>
        <v/>
      </c>
      <c r="Y67">
        <f>HYPERLINK("https://klasma.github.io/Logging_2039/tillsynsmail/A 22291-2025 tillsynsbegäran mail.docx", "A 22291-2025")</f>
        <v/>
      </c>
    </row>
    <row r="68" ht="15" customHeight="1">
      <c r="A68" t="inlineStr">
        <is>
          <t>A 35141-2023</t>
        </is>
      </c>
      <c r="B68" s="1" t="n">
        <v>45145</v>
      </c>
      <c r="C68" s="1" t="n">
        <v>45892</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32403-2023</t>
        </is>
      </c>
      <c r="B69" s="1" t="n">
        <v>45120</v>
      </c>
      <c r="C69" s="1" t="n">
        <v>45892</v>
      </c>
      <c r="D69" t="inlineStr">
        <is>
          <t>DALARNAS LÄN</t>
        </is>
      </c>
      <c r="E69" t="inlineStr">
        <is>
          <t>ÄLVDALEN</t>
        </is>
      </c>
      <c r="F69" t="inlineStr">
        <is>
          <t>Sveaskog</t>
        </is>
      </c>
      <c r="G69" t="n">
        <v>3</v>
      </c>
      <c r="H69" t="n">
        <v>0</v>
      </c>
      <c r="I69" t="n">
        <v>0</v>
      </c>
      <c r="J69" t="n">
        <v>3</v>
      </c>
      <c r="K69" t="n">
        <v>0</v>
      </c>
      <c r="L69" t="n">
        <v>0</v>
      </c>
      <c r="M69" t="n">
        <v>0</v>
      </c>
      <c r="N69" t="n">
        <v>0</v>
      </c>
      <c r="O69" t="n">
        <v>3</v>
      </c>
      <c r="P69" t="n">
        <v>0</v>
      </c>
      <c r="Q69" t="n">
        <v>3</v>
      </c>
      <c r="R69" s="2" t="inlineStr">
        <is>
          <t>Kolflarnlav
Vedflamlav
Vedskivlav</t>
        </is>
      </c>
      <c r="S69">
        <f>HYPERLINK("https://klasma.github.io/Logging_2039/artfynd/A 32403-2023 artfynd.xlsx", "A 32403-2023")</f>
        <v/>
      </c>
      <c r="T69">
        <f>HYPERLINK("https://klasma.github.io/Logging_2039/kartor/A 32403-2023 karta.png", "A 32403-2023")</f>
        <v/>
      </c>
      <c r="V69">
        <f>HYPERLINK("https://klasma.github.io/Logging_2039/klagomål/A 32403-2023 FSC-klagomål.docx", "A 32403-2023")</f>
        <v/>
      </c>
      <c r="W69">
        <f>HYPERLINK("https://klasma.github.io/Logging_2039/klagomålsmail/A 32403-2023 FSC-klagomål mail.docx", "A 32403-2023")</f>
        <v/>
      </c>
      <c r="X69">
        <f>HYPERLINK("https://klasma.github.io/Logging_2039/tillsyn/A 32403-2023 tillsynsbegäran.docx", "A 32403-2023")</f>
        <v/>
      </c>
      <c r="Y69">
        <f>HYPERLINK("https://klasma.github.io/Logging_2039/tillsynsmail/A 32403-2023 tillsynsbegäran mail.docx", "A 32403-2023")</f>
        <v/>
      </c>
    </row>
    <row r="70" ht="15" customHeight="1">
      <c r="A70" t="inlineStr">
        <is>
          <t>A 41921-2022</t>
        </is>
      </c>
      <c r="B70" s="1" t="n">
        <v>44830</v>
      </c>
      <c r="C70" s="1" t="n">
        <v>45892</v>
      </c>
      <c r="D70" t="inlineStr">
        <is>
          <t>DALARNAS LÄN</t>
        </is>
      </c>
      <c r="E70" t="inlineStr">
        <is>
          <t>ÄLVDALEN</t>
        </is>
      </c>
      <c r="F70" t="inlineStr">
        <is>
          <t>Sveaskog</t>
        </is>
      </c>
      <c r="G70" t="n">
        <v>5.4</v>
      </c>
      <c r="H70" t="n">
        <v>1</v>
      </c>
      <c r="I70" t="n">
        <v>0</v>
      </c>
      <c r="J70" t="n">
        <v>3</v>
      </c>
      <c r="K70" t="n">
        <v>0</v>
      </c>
      <c r="L70" t="n">
        <v>0</v>
      </c>
      <c r="M70" t="n">
        <v>0</v>
      </c>
      <c r="N70" t="n">
        <v>0</v>
      </c>
      <c r="O70" t="n">
        <v>3</v>
      </c>
      <c r="P70" t="n">
        <v>0</v>
      </c>
      <c r="Q70" t="n">
        <v>3</v>
      </c>
      <c r="R70" s="2" t="inlineStr">
        <is>
          <t>Blågrå svartspik
Tretåig hackspett
Vedskivlav</t>
        </is>
      </c>
      <c r="S70">
        <f>HYPERLINK("https://klasma.github.io/Logging_2039/artfynd/A 41921-2022 artfynd.xlsx", "A 41921-2022")</f>
        <v/>
      </c>
      <c r="T70">
        <f>HYPERLINK("https://klasma.github.io/Logging_2039/kartor/A 41921-2022 karta.png", "A 41921-2022")</f>
        <v/>
      </c>
      <c r="V70">
        <f>HYPERLINK("https://klasma.github.io/Logging_2039/klagomål/A 41921-2022 FSC-klagomål.docx", "A 41921-2022")</f>
        <v/>
      </c>
      <c r="W70">
        <f>HYPERLINK("https://klasma.github.io/Logging_2039/klagomålsmail/A 41921-2022 FSC-klagomål mail.docx", "A 41921-2022")</f>
        <v/>
      </c>
      <c r="X70">
        <f>HYPERLINK("https://klasma.github.io/Logging_2039/tillsyn/A 41921-2022 tillsynsbegäran.docx", "A 41921-2022")</f>
        <v/>
      </c>
      <c r="Y70">
        <f>HYPERLINK("https://klasma.github.io/Logging_2039/tillsynsmail/A 41921-2022 tillsynsbegäran mail.docx", "A 41921-2022")</f>
        <v/>
      </c>
      <c r="Z70">
        <f>HYPERLINK("https://klasma.github.io/Logging_2039/fåglar/A 41921-2022 prioriterade fågelarter.docx", "A 41921-2022")</f>
        <v/>
      </c>
    </row>
    <row r="71" ht="15" customHeight="1">
      <c r="A71" t="inlineStr">
        <is>
          <t>A 19262-2025</t>
        </is>
      </c>
      <c r="B71" s="1" t="n">
        <v>45769.51054398148</v>
      </c>
      <c r="C71" s="1" t="n">
        <v>45892</v>
      </c>
      <c r="D71" t="inlineStr">
        <is>
          <t>DALARNAS LÄN</t>
        </is>
      </c>
      <c r="E71" t="inlineStr">
        <is>
          <t>ÄLVDALEN</t>
        </is>
      </c>
      <c r="F71" t="inlineStr">
        <is>
          <t>Allmännings- och besparingsskogar</t>
        </is>
      </c>
      <c r="G71" t="n">
        <v>8.800000000000001</v>
      </c>
      <c r="H71" t="n">
        <v>0</v>
      </c>
      <c r="I71" t="n">
        <v>0</v>
      </c>
      <c r="J71" t="n">
        <v>2</v>
      </c>
      <c r="K71" t="n">
        <v>1</v>
      </c>
      <c r="L71" t="n">
        <v>0</v>
      </c>
      <c r="M71" t="n">
        <v>0</v>
      </c>
      <c r="N71" t="n">
        <v>0</v>
      </c>
      <c r="O71" t="n">
        <v>3</v>
      </c>
      <c r="P71" t="n">
        <v>1</v>
      </c>
      <c r="Q71" t="n">
        <v>3</v>
      </c>
      <c r="R71" s="2" t="inlineStr">
        <is>
          <t>Gräddporing
Dvärgbägarlav
Nordtagging</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18839-2024</t>
        </is>
      </c>
      <c r="B72" s="1" t="n">
        <v>45426</v>
      </c>
      <c r="C72" s="1" t="n">
        <v>45892</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7024-2024</t>
        </is>
      </c>
      <c r="B73" s="1" t="n">
        <v>45343.57924768519</v>
      </c>
      <c r="C73" s="1" t="n">
        <v>45892</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26751-2025</t>
        </is>
      </c>
      <c r="B74" s="1" t="n">
        <v>45810.55134259259</v>
      </c>
      <c r="C74" s="1" t="n">
        <v>45892</v>
      </c>
      <c r="D74" t="inlineStr">
        <is>
          <t>DALARNAS LÄN</t>
        </is>
      </c>
      <c r="E74" t="inlineStr">
        <is>
          <t>ÄLVDALEN</t>
        </is>
      </c>
      <c r="F74" t="inlineStr">
        <is>
          <t>Allmännings- och besparingsskogar</t>
        </is>
      </c>
      <c r="G74" t="n">
        <v>3.6</v>
      </c>
      <c r="H74" t="n">
        <v>1</v>
      </c>
      <c r="I74" t="n">
        <v>1</v>
      </c>
      <c r="J74" t="n">
        <v>2</v>
      </c>
      <c r="K74" t="n">
        <v>0</v>
      </c>
      <c r="L74" t="n">
        <v>0</v>
      </c>
      <c r="M74" t="n">
        <v>0</v>
      </c>
      <c r="N74" t="n">
        <v>0</v>
      </c>
      <c r="O74" t="n">
        <v>2</v>
      </c>
      <c r="P74" t="n">
        <v>0</v>
      </c>
      <c r="Q74" t="n">
        <v>3</v>
      </c>
      <c r="R74" s="2" t="inlineStr">
        <is>
          <t>Garnlav
Skrovellav
Spindelblomster</t>
        </is>
      </c>
      <c r="S74">
        <f>HYPERLINK("https://klasma.github.io/Logging_2039/artfynd/A 26751-2025 artfynd.xlsx", "A 26751-2025")</f>
        <v/>
      </c>
      <c r="T74">
        <f>HYPERLINK("https://klasma.github.io/Logging_2039/kartor/A 26751-2025 karta.png", "A 26751-2025")</f>
        <v/>
      </c>
      <c r="V74">
        <f>HYPERLINK("https://klasma.github.io/Logging_2039/klagomål/A 26751-2025 FSC-klagomål.docx", "A 26751-2025")</f>
        <v/>
      </c>
      <c r="W74">
        <f>HYPERLINK("https://klasma.github.io/Logging_2039/klagomålsmail/A 26751-2025 FSC-klagomål mail.docx", "A 26751-2025")</f>
        <v/>
      </c>
      <c r="X74">
        <f>HYPERLINK("https://klasma.github.io/Logging_2039/tillsyn/A 26751-2025 tillsynsbegäran.docx", "A 26751-2025")</f>
        <v/>
      </c>
      <c r="Y74">
        <f>HYPERLINK("https://klasma.github.io/Logging_2039/tillsynsmail/A 26751-2025 tillsynsbegäran mail.docx", "A 26751-2025")</f>
        <v/>
      </c>
    </row>
    <row r="75" ht="15" customHeight="1">
      <c r="A75" t="inlineStr">
        <is>
          <t>A 41909-2022</t>
        </is>
      </c>
      <c r="B75" s="1" t="n">
        <v>44830</v>
      </c>
      <c r="C75" s="1" t="n">
        <v>45892</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27933-2025</t>
        </is>
      </c>
      <c r="B76" s="1" t="n">
        <v>45817.49630787037</v>
      </c>
      <c r="C76" s="1" t="n">
        <v>45892</v>
      </c>
      <c r="D76" t="inlineStr">
        <is>
          <t>DALARNAS LÄN</t>
        </is>
      </c>
      <c r="E76" t="inlineStr">
        <is>
          <t>ÄLVDALEN</t>
        </is>
      </c>
      <c r="F76" t="inlineStr">
        <is>
          <t>Sveaskog</t>
        </is>
      </c>
      <c r="G76" t="n">
        <v>2.5</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27933-2025 artfynd.xlsx", "A 27933-2025")</f>
        <v/>
      </c>
      <c r="T76">
        <f>HYPERLINK("https://klasma.github.io/Logging_2039/kartor/A 27933-2025 karta.png", "A 27933-2025")</f>
        <v/>
      </c>
      <c r="V76">
        <f>HYPERLINK("https://klasma.github.io/Logging_2039/klagomål/A 27933-2025 FSC-klagomål.docx", "A 27933-2025")</f>
        <v/>
      </c>
      <c r="W76">
        <f>HYPERLINK("https://klasma.github.io/Logging_2039/klagomålsmail/A 27933-2025 FSC-klagomål mail.docx", "A 27933-2025")</f>
        <v/>
      </c>
      <c r="X76">
        <f>HYPERLINK("https://klasma.github.io/Logging_2039/tillsyn/A 27933-2025 tillsynsbegäran.docx", "A 27933-2025")</f>
        <v/>
      </c>
      <c r="Y76">
        <f>HYPERLINK("https://klasma.github.io/Logging_2039/tillsynsmail/A 27933-2025 tillsynsbegäran mail.docx", "A 27933-2025")</f>
        <v/>
      </c>
    </row>
    <row r="77" ht="15" customHeight="1">
      <c r="A77" t="inlineStr">
        <is>
          <t>A 44128-2023</t>
        </is>
      </c>
      <c r="B77" s="1" t="n">
        <v>45188.45712962963</v>
      </c>
      <c r="C77" s="1" t="n">
        <v>45892</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51732-2021</t>
        </is>
      </c>
      <c r="B78" s="1" t="n">
        <v>44461</v>
      </c>
      <c r="C78" s="1" t="n">
        <v>45892</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33645-2025</t>
        </is>
      </c>
      <c r="B79" s="1" t="n">
        <v>45841.65282407407</v>
      </c>
      <c r="C79" s="1" t="n">
        <v>45892</v>
      </c>
      <c r="D79" t="inlineStr">
        <is>
          <t>DALARNAS LÄN</t>
        </is>
      </c>
      <c r="E79" t="inlineStr">
        <is>
          <t>ÄLVDALEN</t>
        </is>
      </c>
      <c r="F79" t="inlineStr">
        <is>
          <t>Sveaskog</t>
        </is>
      </c>
      <c r="G79" t="n">
        <v>1.6</v>
      </c>
      <c r="H79" t="n">
        <v>0</v>
      </c>
      <c r="I79" t="n">
        <v>0</v>
      </c>
      <c r="J79" t="n">
        <v>3</v>
      </c>
      <c r="K79" t="n">
        <v>0</v>
      </c>
      <c r="L79" t="n">
        <v>0</v>
      </c>
      <c r="M79" t="n">
        <v>0</v>
      </c>
      <c r="N79" t="n">
        <v>0</v>
      </c>
      <c r="O79" t="n">
        <v>3</v>
      </c>
      <c r="P79" t="n">
        <v>0</v>
      </c>
      <c r="Q79" t="n">
        <v>3</v>
      </c>
      <c r="R79" s="2" t="inlineStr">
        <is>
          <t>Dvärgbägarlav
Kolflarnlav
Vedflamlav</t>
        </is>
      </c>
      <c r="S79">
        <f>HYPERLINK("https://klasma.github.io/Logging_2039/artfynd/A 33645-2025 artfynd.xlsx", "A 33645-2025")</f>
        <v/>
      </c>
      <c r="T79">
        <f>HYPERLINK("https://klasma.github.io/Logging_2039/kartor/A 33645-2025 karta.png", "A 33645-2025")</f>
        <v/>
      </c>
      <c r="V79">
        <f>HYPERLINK("https://klasma.github.io/Logging_2039/klagomål/A 33645-2025 FSC-klagomål.docx", "A 33645-2025")</f>
        <v/>
      </c>
      <c r="W79">
        <f>HYPERLINK("https://klasma.github.io/Logging_2039/klagomålsmail/A 33645-2025 FSC-klagomål mail.docx", "A 33645-2025")</f>
        <v/>
      </c>
      <c r="X79">
        <f>HYPERLINK("https://klasma.github.io/Logging_2039/tillsyn/A 33645-2025 tillsynsbegäran.docx", "A 33645-2025")</f>
        <v/>
      </c>
      <c r="Y79">
        <f>HYPERLINK("https://klasma.github.io/Logging_2039/tillsynsmail/A 33645-2025 tillsynsbegäran mail.docx", "A 33645-2025")</f>
        <v/>
      </c>
    </row>
    <row r="80" ht="15" customHeight="1">
      <c r="A80" t="inlineStr">
        <is>
          <t>A 31057-2024</t>
        </is>
      </c>
      <c r="B80" s="1" t="n">
        <v>45502.37813657407</v>
      </c>
      <c r="C80" s="1" t="n">
        <v>45892</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67709-2021</t>
        </is>
      </c>
      <c r="B81" s="1" t="n">
        <v>44525</v>
      </c>
      <c r="C81" s="1" t="n">
        <v>45892</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45892</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45892</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45892</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45892</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52490-2022</t>
        </is>
      </c>
      <c r="B86" s="1" t="n">
        <v>44874</v>
      </c>
      <c r="C86" s="1" t="n">
        <v>45892</v>
      </c>
      <c r="D86" t="inlineStr">
        <is>
          <t>DALARNAS LÄN</t>
        </is>
      </c>
      <c r="E86" t="inlineStr">
        <is>
          <t>ÄLVDALEN</t>
        </is>
      </c>
      <c r="G86" t="n">
        <v>4.3</v>
      </c>
      <c r="H86" t="n">
        <v>0</v>
      </c>
      <c r="I86" t="n">
        <v>1</v>
      </c>
      <c r="J86" t="n">
        <v>1</v>
      </c>
      <c r="K86" t="n">
        <v>0</v>
      </c>
      <c r="L86" t="n">
        <v>0</v>
      </c>
      <c r="M86" t="n">
        <v>0</v>
      </c>
      <c r="N86" t="n">
        <v>0</v>
      </c>
      <c r="O86" t="n">
        <v>1</v>
      </c>
      <c r="P86" t="n">
        <v>0</v>
      </c>
      <c r="Q86" t="n">
        <v>2</v>
      </c>
      <c r="R86" s="2" t="inlineStr">
        <is>
          <t>Garnlav
Dropptaggsvamp</t>
        </is>
      </c>
      <c r="S86">
        <f>HYPERLINK("https://klasma.github.io/Logging_2039/artfynd/A 52490-2022 artfynd.xlsx", "A 52490-2022")</f>
        <v/>
      </c>
      <c r="T86">
        <f>HYPERLINK("https://klasma.github.io/Logging_2039/kartor/A 52490-2022 karta.png", "A 52490-2022")</f>
        <v/>
      </c>
      <c r="V86">
        <f>HYPERLINK("https://klasma.github.io/Logging_2039/klagomål/A 52490-2022 FSC-klagomål.docx", "A 52490-2022")</f>
        <v/>
      </c>
      <c r="W86">
        <f>HYPERLINK("https://klasma.github.io/Logging_2039/klagomålsmail/A 52490-2022 FSC-klagomål mail.docx", "A 52490-2022")</f>
        <v/>
      </c>
      <c r="X86">
        <f>HYPERLINK("https://klasma.github.io/Logging_2039/tillsyn/A 52490-2022 tillsynsbegäran.docx", "A 52490-2022")</f>
        <v/>
      </c>
      <c r="Y86">
        <f>HYPERLINK("https://klasma.github.io/Logging_2039/tillsynsmail/A 52490-2022 tillsynsbegäran mail.docx", "A 52490-2022")</f>
        <v/>
      </c>
    </row>
    <row r="87" ht="15" customHeight="1">
      <c r="A87" t="inlineStr">
        <is>
          <t>A 27967-2023</t>
        </is>
      </c>
      <c r="B87" s="1" t="n">
        <v>45098.70354166667</v>
      </c>
      <c r="C87" s="1" t="n">
        <v>45892</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21629-2022</t>
        </is>
      </c>
      <c r="B88" s="1" t="n">
        <v>44706</v>
      </c>
      <c r="C88" s="1" t="n">
        <v>45892</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40231-2021</t>
        </is>
      </c>
      <c r="B89" s="1" t="n">
        <v>44419.31553240741</v>
      </c>
      <c r="C89" s="1" t="n">
        <v>45892</v>
      </c>
      <c r="D89" t="inlineStr">
        <is>
          <t>DALARNAS LÄN</t>
        </is>
      </c>
      <c r="E89" t="inlineStr">
        <is>
          <t>ÄLVDALEN</t>
        </is>
      </c>
      <c r="F89" t="inlineStr">
        <is>
          <t>Sveaskog</t>
        </is>
      </c>
      <c r="G89" t="n">
        <v>4.1</v>
      </c>
      <c r="H89" t="n">
        <v>0</v>
      </c>
      <c r="I89" t="n">
        <v>1</v>
      </c>
      <c r="J89" t="n">
        <v>1</v>
      </c>
      <c r="K89" t="n">
        <v>0</v>
      </c>
      <c r="L89" t="n">
        <v>0</v>
      </c>
      <c r="M89" t="n">
        <v>0</v>
      </c>
      <c r="N89" t="n">
        <v>0</v>
      </c>
      <c r="O89" t="n">
        <v>1</v>
      </c>
      <c r="P89" t="n">
        <v>0</v>
      </c>
      <c r="Q89" t="n">
        <v>2</v>
      </c>
      <c r="R89" s="2" t="inlineStr">
        <is>
          <t>Garnlav
Dropptaggsvamp</t>
        </is>
      </c>
      <c r="S89">
        <f>HYPERLINK("https://klasma.github.io/Logging_2039/artfynd/A 40231-2021 artfynd.xlsx", "A 40231-2021")</f>
        <v/>
      </c>
      <c r="T89">
        <f>HYPERLINK("https://klasma.github.io/Logging_2039/kartor/A 40231-2021 karta.png", "A 40231-2021")</f>
        <v/>
      </c>
      <c r="V89">
        <f>HYPERLINK("https://klasma.github.io/Logging_2039/klagomål/A 40231-2021 FSC-klagomål.docx", "A 40231-2021")</f>
        <v/>
      </c>
      <c r="W89">
        <f>HYPERLINK("https://klasma.github.io/Logging_2039/klagomålsmail/A 40231-2021 FSC-klagomål mail.docx", "A 40231-2021")</f>
        <v/>
      </c>
      <c r="X89">
        <f>HYPERLINK("https://klasma.github.io/Logging_2039/tillsyn/A 40231-2021 tillsynsbegäran.docx", "A 40231-2021")</f>
        <v/>
      </c>
      <c r="Y89">
        <f>HYPERLINK("https://klasma.github.io/Logging_2039/tillsynsmail/A 40231-2021 tillsynsbegäran mail.docx", "A 40231-2021")</f>
        <v/>
      </c>
    </row>
    <row r="90" ht="15" customHeight="1">
      <c r="A90" t="inlineStr">
        <is>
          <t>A 32206-2024</t>
        </is>
      </c>
      <c r="B90" s="1" t="n">
        <v>45511.67366898148</v>
      </c>
      <c r="C90" s="1" t="n">
        <v>45892</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54632-2021</t>
        </is>
      </c>
      <c r="B91" s="1" t="n">
        <v>44473</v>
      </c>
      <c r="C91" s="1" t="n">
        <v>45892</v>
      </c>
      <c r="D91" t="inlineStr">
        <is>
          <t>DALARNAS LÄN</t>
        </is>
      </c>
      <c r="E91" t="inlineStr">
        <is>
          <t>ÄLVDALEN</t>
        </is>
      </c>
      <c r="G91" t="n">
        <v>4.3</v>
      </c>
      <c r="H91" t="n">
        <v>1</v>
      </c>
      <c r="I91" t="n">
        <v>0</v>
      </c>
      <c r="J91" t="n">
        <v>2</v>
      </c>
      <c r="K91" t="n">
        <v>0</v>
      </c>
      <c r="L91" t="n">
        <v>0</v>
      </c>
      <c r="M91" t="n">
        <v>0</v>
      </c>
      <c r="N91" t="n">
        <v>0</v>
      </c>
      <c r="O91" t="n">
        <v>2</v>
      </c>
      <c r="P91" t="n">
        <v>0</v>
      </c>
      <c r="Q91" t="n">
        <v>2</v>
      </c>
      <c r="R91" s="2" t="inlineStr">
        <is>
          <t>Varglav
Vedflamlav</t>
        </is>
      </c>
      <c r="S91">
        <f>HYPERLINK("https://klasma.github.io/Logging_2039/artfynd/A 54632-2021 artfynd.xlsx", "A 54632-2021")</f>
        <v/>
      </c>
      <c r="T91">
        <f>HYPERLINK("https://klasma.github.io/Logging_2039/kartor/A 54632-2021 karta.png", "A 54632-2021")</f>
        <v/>
      </c>
      <c r="V91">
        <f>HYPERLINK("https://klasma.github.io/Logging_2039/klagomål/A 54632-2021 FSC-klagomål.docx", "A 54632-2021")</f>
        <v/>
      </c>
      <c r="W91">
        <f>HYPERLINK("https://klasma.github.io/Logging_2039/klagomålsmail/A 54632-2021 FSC-klagomål mail.docx", "A 54632-2021")</f>
        <v/>
      </c>
      <c r="X91">
        <f>HYPERLINK("https://klasma.github.io/Logging_2039/tillsyn/A 54632-2021 tillsynsbegäran.docx", "A 54632-2021")</f>
        <v/>
      </c>
      <c r="Y91">
        <f>HYPERLINK("https://klasma.github.io/Logging_2039/tillsynsmail/A 54632-2021 tillsynsbegäran mail.docx", "A 54632-2021")</f>
        <v/>
      </c>
    </row>
    <row r="92" ht="15" customHeight="1">
      <c r="A92" t="inlineStr">
        <is>
          <t>A 27937-2025</t>
        </is>
      </c>
      <c r="B92" s="1" t="n">
        <v>45817.50025462963</v>
      </c>
      <c r="C92" s="1" t="n">
        <v>45892</v>
      </c>
      <c r="D92" t="inlineStr">
        <is>
          <t>DALARNAS LÄN</t>
        </is>
      </c>
      <c r="E92" t="inlineStr">
        <is>
          <t>ÄLVDALEN</t>
        </is>
      </c>
      <c r="F92" t="inlineStr">
        <is>
          <t>Sveaskog</t>
        </is>
      </c>
      <c r="G92" t="n">
        <v>0.9</v>
      </c>
      <c r="H92" t="n">
        <v>0</v>
      </c>
      <c r="I92" t="n">
        <v>1</v>
      </c>
      <c r="J92" t="n">
        <v>1</v>
      </c>
      <c r="K92" t="n">
        <v>0</v>
      </c>
      <c r="L92" t="n">
        <v>0</v>
      </c>
      <c r="M92" t="n">
        <v>0</v>
      </c>
      <c r="N92" t="n">
        <v>0</v>
      </c>
      <c r="O92" t="n">
        <v>1</v>
      </c>
      <c r="P92" t="n">
        <v>0</v>
      </c>
      <c r="Q92" t="n">
        <v>2</v>
      </c>
      <c r="R92" s="2" t="inlineStr">
        <is>
          <t>Kolflarnlav
Dropptaggsvamp</t>
        </is>
      </c>
      <c r="S92">
        <f>HYPERLINK("https://klasma.github.io/Logging_2039/artfynd/A 27937-2025 artfynd.xlsx", "A 27937-2025")</f>
        <v/>
      </c>
      <c r="T92">
        <f>HYPERLINK("https://klasma.github.io/Logging_2039/kartor/A 27937-2025 karta.png", "A 27937-2025")</f>
        <v/>
      </c>
      <c r="V92">
        <f>HYPERLINK("https://klasma.github.io/Logging_2039/klagomål/A 27937-2025 FSC-klagomål.docx", "A 27937-2025")</f>
        <v/>
      </c>
      <c r="W92">
        <f>HYPERLINK("https://klasma.github.io/Logging_2039/klagomålsmail/A 27937-2025 FSC-klagomål mail.docx", "A 27937-2025")</f>
        <v/>
      </c>
      <c r="X92">
        <f>HYPERLINK("https://klasma.github.io/Logging_2039/tillsyn/A 27937-2025 tillsynsbegäran.docx", "A 27937-2025")</f>
        <v/>
      </c>
      <c r="Y92">
        <f>HYPERLINK("https://klasma.github.io/Logging_2039/tillsynsmail/A 27937-2025 tillsynsbegäran mail.docx", "A 27937-2025")</f>
        <v/>
      </c>
    </row>
    <row r="93" ht="15" customHeight="1">
      <c r="A93" t="inlineStr">
        <is>
          <t>A 59429-2024</t>
        </is>
      </c>
      <c r="B93" s="1" t="n">
        <v>45638.42091435185</v>
      </c>
      <c r="C93" s="1" t="n">
        <v>45892</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31264-2025</t>
        </is>
      </c>
      <c r="B94" s="1" t="n">
        <v>45833.3283912037</v>
      </c>
      <c r="C94" s="1" t="n">
        <v>45892</v>
      </c>
      <c r="D94" t="inlineStr">
        <is>
          <t>DALARNAS LÄN</t>
        </is>
      </c>
      <c r="E94" t="inlineStr">
        <is>
          <t>ÄLVDALEN</t>
        </is>
      </c>
      <c r="F94" t="inlineStr">
        <is>
          <t>Sveaskog</t>
        </is>
      </c>
      <c r="G94" t="n">
        <v>1.3</v>
      </c>
      <c r="H94" t="n">
        <v>2</v>
      </c>
      <c r="I94" t="n">
        <v>0</v>
      </c>
      <c r="J94" t="n">
        <v>1</v>
      </c>
      <c r="K94" t="n">
        <v>0</v>
      </c>
      <c r="L94" t="n">
        <v>1</v>
      </c>
      <c r="M94" t="n">
        <v>0</v>
      </c>
      <c r="N94" t="n">
        <v>0</v>
      </c>
      <c r="O94" t="n">
        <v>2</v>
      </c>
      <c r="P94" t="n">
        <v>1</v>
      </c>
      <c r="Q94" t="n">
        <v>2</v>
      </c>
      <c r="R94" s="2" t="inlineStr">
        <is>
          <t>Mosippa
Drillsnäppa</t>
        </is>
      </c>
      <c r="S94">
        <f>HYPERLINK("https://klasma.github.io/Logging_2039/artfynd/A 31264-2025 artfynd.xlsx", "A 31264-2025")</f>
        <v/>
      </c>
      <c r="T94">
        <f>HYPERLINK("https://klasma.github.io/Logging_2039/kartor/A 31264-2025 karta.png", "A 31264-2025")</f>
        <v/>
      </c>
      <c r="V94">
        <f>HYPERLINK("https://klasma.github.io/Logging_2039/klagomål/A 31264-2025 FSC-klagomål.docx", "A 31264-2025")</f>
        <v/>
      </c>
      <c r="W94">
        <f>HYPERLINK("https://klasma.github.io/Logging_2039/klagomålsmail/A 31264-2025 FSC-klagomål mail.docx", "A 31264-2025")</f>
        <v/>
      </c>
      <c r="X94">
        <f>HYPERLINK("https://klasma.github.io/Logging_2039/tillsyn/A 31264-2025 tillsynsbegäran.docx", "A 31264-2025")</f>
        <v/>
      </c>
      <c r="Y94">
        <f>HYPERLINK("https://klasma.github.io/Logging_2039/tillsynsmail/A 31264-2025 tillsynsbegäran mail.docx", "A 31264-2025")</f>
        <v/>
      </c>
    </row>
    <row r="95" ht="15" customHeight="1">
      <c r="A95" t="inlineStr">
        <is>
          <t>A 42848-2023</t>
        </is>
      </c>
      <c r="B95" s="1" t="n">
        <v>45182</v>
      </c>
      <c r="C95" s="1" t="n">
        <v>45892</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45892</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45892</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45892</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45892</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45892</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45892</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45892</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45892</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45892</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45892</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45892</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45892</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45892</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32199-2024</t>
        </is>
      </c>
      <c r="B109" s="1" t="n">
        <v>45511.66325231481</v>
      </c>
      <c r="C109" s="1" t="n">
        <v>45892</v>
      </c>
      <c r="D109" t="inlineStr">
        <is>
          <t>DALARNAS LÄN</t>
        </is>
      </c>
      <c r="E109" t="inlineStr">
        <is>
          <t>ÄLVDALEN</t>
        </is>
      </c>
      <c r="F109" t="inlineStr">
        <is>
          <t>Sveaskog</t>
        </is>
      </c>
      <c r="G109" t="n">
        <v>4.6</v>
      </c>
      <c r="H109" t="n">
        <v>1</v>
      </c>
      <c r="I109" t="n">
        <v>0</v>
      </c>
      <c r="J109" t="n">
        <v>1</v>
      </c>
      <c r="K109" t="n">
        <v>0</v>
      </c>
      <c r="L109" t="n">
        <v>0</v>
      </c>
      <c r="M109" t="n">
        <v>0</v>
      </c>
      <c r="N109" t="n">
        <v>0</v>
      </c>
      <c r="O109" t="n">
        <v>1</v>
      </c>
      <c r="P109" t="n">
        <v>0</v>
      </c>
      <c r="Q109" t="n">
        <v>1</v>
      </c>
      <c r="R109" s="2" t="inlineStr">
        <is>
          <t>Varglav</t>
        </is>
      </c>
      <c r="S109">
        <f>HYPERLINK("https://klasma.github.io/Logging_2039/artfynd/A 32199-2024 artfynd.xlsx", "A 32199-2024")</f>
        <v/>
      </c>
      <c r="T109">
        <f>HYPERLINK("https://klasma.github.io/Logging_2039/kartor/A 32199-2024 karta.png", "A 32199-2024")</f>
        <v/>
      </c>
      <c r="V109">
        <f>HYPERLINK("https://klasma.github.io/Logging_2039/klagomål/A 32199-2024 FSC-klagomål.docx", "A 32199-2024")</f>
        <v/>
      </c>
      <c r="W109">
        <f>HYPERLINK("https://klasma.github.io/Logging_2039/klagomålsmail/A 32199-2024 FSC-klagomål mail.docx", "A 32199-2024")</f>
        <v/>
      </c>
      <c r="X109">
        <f>HYPERLINK("https://klasma.github.io/Logging_2039/tillsyn/A 32199-2024 tillsynsbegäran.docx", "A 32199-2024")</f>
        <v/>
      </c>
      <c r="Y109">
        <f>HYPERLINK("https://klasma.github.io/Logging_2039/tillsynsmail/A 32199-2024 tillsynsbegäran mail.docx", "A 32199-2024")</f>
        <v/>
      </c>
    </row>
    <row r="110" ht="15" customHeight="1">
      <c r="A110" t="inlineStr">
        <is>
          <t>A 14277-2024</t>
        </is>
      </c>
      <c r="B110" s="1" t="n">
        <v>45393.60042824074</v>
      </c>
      <c r="C110" s="1" t="n">
        <v>45892</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45201-2024</t>
        </is>
      </c>
      <c r="B111" s="1" t="n">
        <v>45575</v>
      </c>
      <c r="C111" s="1" t="n">
        <v>45892</v>
      </c>
      <c r="D111" t="inlineStr">
        <is>
          <t>DALARNAS LÄN</t>
        </is>
      </c>
      <c r="E111" t="inlineStr">
        <is>
          <t>ÄLVDALEN</t>
        </is>
      </c>
      <c r="G111" t="n">
        <v>24.6</v>
      </c>
      <c r="H111" t="n">
        <v>1</v>
      </c>
      <c r="I111" t="n">
        <v>0</v>
      </c>
      <c r="J111" t="n">
        <v>1</v>
      </c>
      <c r="K111" t="n">
        <v>0</v>
      </c>
      <c r="L111" t="n">
        <v>0</v>
      </c>
      <c r="M111" t="n">
        <v>0</v>
      </c>
      <c r="N111" t="n">
        <v>0</v>
      </c>
      <c r="O111" t="n">
        <v>1</v>
      </c>
      <c r="P111" t="n">
        <v>0</v>
      </c>
      <c r="Q111" t="n">
        <v>1</v>
      </c>
      <c r="R111" s="2" t="inlineStr">
        <is>
          <t>Varglav</t>
        </is>
      </c>
      <c r="S111">
        <f>HYPERLINK("https://klasma.github.io/Logging_2039/artfynd/A 45201-2024 artfynd.xlsx", "A 45201-2024")</f>
        <v/>
      </c>
      <c r="T111">
        <f>HYPERLINK("https://klasma.github.io/Logging_2039/kartor/A 45201-2024 karta.png", "A 45201-2024")</f>
        <v/>
      </c>
      <c r="V111">
        <f>HYPERLINK("https://klasma.github.io/Logging_2039/klagomål/A 45201-2024 FSC-klagomål.docx", "A 45201-2024")</f>
        <v/>
      </c>
      <c r="W111">
        <f>HYPERLINK("https://klasma.github.io/Logging_2039/klagomålsmail/A 45201-2024 FSC-klagomål mail.docx", "A 45201-2024")</f>
        <v/>
      </c>
      <c r="X111">
        <f>HYPERLINK("https://klasma.github.io/Logging_2039/tillsyn/A 45201-2024 tillsynsbegäran.docx", "A 45201-2024")</f>
        <v/>
      </c>
      <c r="Y111">
        <f>HYPERLINK("https://klasma.github.io/Logging_2039/tillsynsmail/A 45201-2024 tillsynsbegäran mail.docx", "A 45201-2024")</f>
        <v/>
      </c>
    </row>
    <row r="112" ht="15" customHeight="1">
      <c r="A112" t="inlineStr">
        <is>
          <t>A 30691-2024</t>
        </is>
      </c>
      <c r="B112" s="1" t="n">
        <v>45496.26998842593</v>
      </c>
      <c r="C112" s="1" t="n">
        <v>45892</v>
      </c>
      <c r="D112" t="inlineStr">
        <is>
          <t>DALARNAS LÄN</t>
        </is>
      </c>
      <c r="E112" t="inlineStr">
        <is>
          <t>ÄLVDALEN</t>
        </is>
      </c>
      <c r="G112" t="n">
        <v>2.9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30691-2024 artfynd.xlsx", "A 30691-2024")</f>
        <v/>
      </c>
      <c r="T112">
        <f>HYPERLINK("https://klasma.github.io/Logging_2039/kartor/A 30691-2024 karta.png", "A 30691-2024")</f>
        <v/>
      </c>
      <c r="V112">
        <f>HYPERLINK("https://klasma.github.io/Logging_2039/klagomål/A 30691-2024 FSC-klagomål.docx", "A 30691-2024")</f>
        <v/>
      </c>
      <c r="W112">
        <f>HYPERLINK("https://klasma.github.io/Logging_2039/klagomålsmail/A 30691-2024 FSC-klagomål mail.docx", "A 30691-2024")</f>
        <v/>
      </c>
      <c r="X112">
        <f>HYPERLINK("https://klasma.github.io/Logging_2039/tillsyn/A 30691-2024 tillsynsbegäran.docx", "A 30691-2024")</f>
        <v/>
      </c>
      <c r="Y112">
        <f>HYPERLINK("https://klasma.github.io/Logging_2039/tillsynsmail/A 30691-2024 tillsynsbegäran mail.docx", "A 30691-2024")</f>
        <v/>
      </c>
    </row>
    <row r="113" ht="15" customHeight="1">
      <c r="A113" t="inlineStr">
        <is>
          <t>A 23872-2023</t>
        </is>
      </c>
      <c r="B113" s="1" t="n">
        <v>45078</v>
      </c>
      <c r="C113" s="1" t="n">
        <v>45892</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19614-2024</t>
        </is>
      </c>
      <c r="B114" s="1" t="n">
        <v>45432.30798611111</v>
      </c>
      <c r="C114" s="1" t="n">
        <v>45892</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22286-2025</t>
        </is>
      </c>
      <c r="B115" s="1" t="n">
        <v>45786.34402777778</v>
      </c>
      <c r="C115" s="1" t="n">
        <v>45892</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11061-2021</t>
        </is>
      </c>
      <c r="B116" s="1" t="n">
        <v>44260</v>
      </c>
      <c r="C116" s="1" t="n">
        <v>45892</v>
      </c>
      <c r="D116" t="inlineStr">
        <is>
          <t>DALARNAS LÄN</t>
        </is>
      </c>
      <c r="E116" t="inlineStr">
        <is>
          <t>ÄLVDALEN</t>
        </is>
      </c>
      <c r="F116" t="inlineStr">
        <is>
          <t>Övriga statliga verk och myndigheter</t>
        </is>
      </c>
      <c r="G116" t="n">
        <v>43.7</v>
      </c>
      <c r="H116" t="n">
        <v>1</v>
      </c>
      <c r="I116" t="n">
        <v>0</v>
      </c>
      <c r="J116" t="n">
        <v>0</v>
      </c>
      <c r="K116" t="n">
        <v>0</v>
      </c>
      <c r="L116" t="n">
        <v>0</v>
      </c>
      <c r="M116" t="n">
        <v>0</v>
      </c>
      <c r="N116" t="n">
        <v>0</v>
      </c>
      <c r="O116" t="n">
        <v>0</v>
      </c>
      <c r="P116" t="n">
        <v>0</v>
      </c>
      <c r="Q116" t="n">
        <v>1</v>
      </c>
      <c r="R116" s="2" t="inlineStr">
        <is>
          <t>Större vattensalamander</t>
        </is>
      </c>
      <c r="S116">
        <f>HYPERLINK("https://klasma.github.io/Logging_2039/artfynd/A 11061-2021 artfynd.xlsx", "A 11061-2021")</f>
        <v/>
      </c>
      <c r="T116">
        <f>HYPERLINK("https://klasma.github.io/Logging_2039/kartor/A 11061-2021 karta.png", "A 11061-2021")</f>
        <v/>
      </c>
      <c r="V116">
        <f>HYPERLINK("https://klasma.github.io/Logging_2039/klagomål/A 11061-2021 FSC-klagomål.docx", "A 11061-2021")</f>
        <v/>
      </c>
      <c r="W116">
        <f>HYPERLINK("https://klasma.github.io/Logging_2039/klagomålsmail/A 11061-2021 FSC-klagomål mail.docx", "A 11061-2021")</f>
        <v/>
      </c>
      <c r="X116">
        <f>HYPERLINK("https://klasma.github.io/Logging_2039/tillsyn/A 11061-2021 tillsynsbegäran.docx", "A 11061-2021")</f>
        <v/>
      </c>
      <c r="Y116">
        <f>HYPERLINK("https://klasma.github.io/Logging_2039/tillsynsmail/A 11061-2021 tillsynsbegäran mail.docx", "A 11061-2021")</f>
        <v/>
      </c>
    </row>
    <row r="117" ht="15" customHeight="1">
      <c r="A117" t="inlineStr">
        <is>
          <t>A 31145-2024</t>
        </is>
      </c>
      <c r="B117" s="1" t="n">
        <v>45502.85956018518</v>
      </c>
      <c r="C117" s="1" t="n">
        <v>45892</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45892</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27929-2025</t>
        </is>
      </c>
      <c r="B119" s="1" t="n">
        <v>45817.49222222222</v>
      </c>
      <c r="C119" s="1" t="n">
        <v>45892</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45892</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45892</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662-2025</t>
        </is>
      </c>
      <c r="B122" s="1" t="n">
        <v>45664</v>
      </c>
      <c r="C122" s="1" t="n">
        <v>45892</v>
      </c>
      <c r="D122" t="inlineStr">
        <is>
          <t>DALARNAS LÄN</t>
        </is>
      </c>
      <c r="E122" t="inlineStr">
        <is>
          <t>ÄLVDALEN</t>
        </is>
      </c>
      <c r="G122" t="n">
        <v>20</v>
      </c>
      <c r="H122" t="n">
        <v>0</v>
      </c>
      <c r="I122" t="n">
        <v>0</v>
      </c>
      <c r="J122" t="n">
        <v>1</v>
      </c>
      <c r="K122" t="n">
        <v>0</v>
      </c>
      <c r="L122" t="n">
        <v>0</v>
      </c>
      <c r="M122" t="n">
        <v>0</v>
      </c>
      <c r="N122" t="n">
        <v>0</v>
      </c>
      <c r="O122" t="n">
        <v>1</v>
      </c>
      <c r="P122" t="n">
        <v>0</v>
      </c>
      <c r="Q122" t="n">
        <v>1</v>
      </c>
      <c r="R122" s="2" t="inlineStr">
        <is>
          <t>Garnlav</t>
        </is>
      </c>
      <c r="S122">
        <f>HYPERLINK("https://klasma.github.io/Logging_2039/artfynd/A 662-2025 artfynd.xlsx", "A 662-2025")</f>
        <v/>
      </c>
      <c r="T122">
        <f>HYPERLINK("https://klasma.github.io/Logging_2039/kartor/A 662-2025 karta.png", "A 662-2025")</f>
        <v/>
      </c>
      <c r="V122">
        <f>HYPERLINK("https://klasma.github.io/Logging_2039/klagomål/A 662-2025 FSC-klagomål.docx", "A 662-2025")</f>
        <v/>
      </c>
      <c r="W122">
        <f>HYPERLINK("https://klasma.github.io/Logging_2039/klagomålsmail/A 662-2025 FSC-klagomål mail.docx", "A 662-2025")</f>
        <v/>
      </c>
      <c r="X122">
        <f>HYPERLINK("https://klasma.github.io/Logging_2039/tillsyn/A 662-2025 tillsynsbegäran.docx", "A 662-2025")</f>
        <v/>
      </c>
      <c r="Y122">
        <f>HYPERLINK("https://klasma.github.io/Logging_2039/tillsynsmail/A 662-2025 tillsynsbegäran mail.docx", "A 662-2025")</f>
        <v/>
      </c>
    </row>
    <row r="123" ht="15" customHeight="1">
      <c r="A123" t="inlineStr">
        <is>
          <t>A 36574-2021</t>
        </is>
      </c>
      <c r="B123" s="1" t="n">
        <v>44391</v>
      </c>
      <c r="C123" s="1" t="n">
        <v>45892</v>
      </c>
      <c r="D123" t="inlineStr">
        <is>
          <t>DALARNAS LÄN</t>
        </is>
      </c>
      <c r="E123" t="inlineStr">
        <is>
          <t>ÄLVDALEN</t>
        </is>
      </c>
      <c r="F123" t="inlineStr">
        <is>
          <t>Sveaskog</t>
        </is>
      </c>
      <c r="G123" t="n">
        <v>26.2</v>
      </c>
      <c r="H123" t="n">
        <v>1</v>
      </c>
      <c r="I123" t="n">
        <v>0</v>
      </c>
      <c r="J123" t="n">
        <v>0</v>
      </c>
      <c r="K123" t="n">
        <v>0</v>
      </c>
      <c r="L123" t="n">
        <v>0</v>
      </c>
      <c r="M123" t="n">
        <v>0</v>
      </c>
      <c r="N123" t="n">
        <v>0</v>
      </c>
      <c r="O123" t="n">
        <v>0</v>
      </c>
      <c r="P123" t="n">
        <v>0</v>
      </c>
      <c r="Q123" t="n">
        <v>1</v>
      </c>
      <c r="R123" s="2" t="inlineStr">
        <is>
          <t>Lavskrika</t>
        </is>
      </c>
      <c r="S123">
        <f>HYPERLINK("https://klasma.github.io/Logging_2039/artfynd/A 36574-2021 artfynd.xlsx", "A 36574-2021")</f>
        <v/>
      </c>
      <c r="T123">
        <f>HYPERLINK("https://klasma.github.io/Logging_2039/kartor/A 36574-2021 karta.png", "A 36574-2021")</f>
        <v/>
      </c>
      <c r="V123">
        <f>HYPERLINK("https://klasma.github.io/Logging_2039/klagomål/A 36574-2021 FSC-klagomål.docx", "A 36574-2021")</f>
        <v/>
      </c>
      <c r="W123">
        <f>HYPERLINK("https://klasma.github.io/Logging_2039/klagomålsmail/A 36574-2021 FSC-klagomål mail.docx", "A 36574-2021")</f>
        <v/>
      </c>
      <c r="X123">
        <f>HYPERLINK("https://klasma.github.io/Logging_2039/tillsyn/A 36574-2021 tillsynsbegäran.docx", "A 36574-2021")</f>
        <v/>
      </c>
      <c r="Y123">
        <f>HYPERLINK("https://klasma.github.io/Logging_2039/tillsynsmail/A 36574-2021 tillsynsbegäran mail.docx", "A 36574-2021")</f>
        <v/>
      </c>
      <c r="Z123">
        <f>HYPERLINK("https://klasma.github.io/Logging_2039/fåglar/A 36574-2021 prioriterade fågelarter.docx", "A 36574-2021")</f>
        <v/>
      </c>
    </row>
    <row r="124" ht="15" customHeight="1">
      <c r="A124" t="inlineStr">
        <is>
          <t>A 50981-2024</t>
        </is>
      </c>
      <c r="B124" s="1" t="n">
        <v>45603.36233796296</v>
      </c>
      <c r="C124" s="1" t="n">
        <v>45892</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45202-2024</t>
        </is>
      </c>
      <c r="B125" s="1" t="n">
        <v>45575</v>
      </c>
      <c r="C125" s="1" t="n">
        <v>45892</v>
      </c>
      <c r="D125" t="inlineStr">
        <is>
          <t>DALARNAS LÄN</t>
        </is>
      </c>
      <c r="E125" t="inlineStr">
        <is>
          <t>ÄLVDALEN</t>
        </is>
      </c>
      <c r="G125" t="n">
        <v>184.5</v>
      </c>
      <c r="H125" t="n">
        <v>1</v>
      </c>
      <c r="I125" t="n">
        <v>0</v>
      </c>
      <c r="J125" t="n">
        <v>0</v>
      </c>
      <c r="K125" t="n">
        <v>0</v>
      </c>
      <c r="L125" t="n">
        <v>0</v>
      </c>
      <c r="M125" t="n">
        <v>0</v>
      </c>
      <c r="N125" t="n">
        <v>0</v>
      </c>
      <c r="O125" t="n">
        <v>0</v>
      </c>
      <c r="P125" t="n">
        <v>0</v>
      </c>
      <c r="Q125" t="n">
        <v>1</v>
      </c>
      <c r="R125" s="2" t="inlineStr">
        <is>
          <t>Lavskrika</t>
        </is>
      </c>
      <c r="S125">
        <f>HYPERLINK("https://klasma.github.io/Logging_2039/artfynd/A 45202-2024 artfynd.xlsx", "A 45202-2024")</f>
        <v/>
      </c>
      <c r="T125">
        <f>HYPERLINK("https://klasma.github.io/Logging_2039/kartor/A 45202-2024 karta.png", "A 45202-2024")</f>
        <v/>
      </c>
      <c r="V125">
        <f>HYPERLINK("https://klasma.github.io/Logging_2039/klagomål/A 45202-2024 FSC-klagomål.docx", "A 45202-2024")</f>
        <v/>
      </c>
      <c r="W125">
        <f>HYPERLINK("https://klasma.github.io/Logging_2039/klagomålsmail/A 45202-2024 FSC-klagomål mail.docx", "A 45202-2024")</f>
        <v/>
      </c>
      <c r="X125">
        <f>HYPERLINK("https://klasma.github.io/Logging_2039/tillsyn/A 45202-2024 tillsynsbegäran.docx", "A 45202-2024")</f>
        <v/>
      </c>
      <c r="Y125">
        <f>HYPERLINK("https://klasma.github.io/Logging_2039/tillsynsmail/A 45202-2024 tillsynsbegäran mail.docx", "A 45202-2024")</f>
        <v/>
      </c>
      <c r="Z125">
        <f>HYPERLINK("https://klasma.github.io/Logging_2039/fåglar/A 45202-2024 prioriterade fågelarter.docx", "A 45202-2024")</f>
        <v/>
      </c>
    </row>
    <row r="126" ht="15" customHeight="1">
      <c r="A126" t="inlineStr">
        <is>
          <t>A 55062-2022</t>
        </is>
      </c>
      <c r="B126" s="1" t="n">
        <v>44881</v>
      </c>
      <c r="C126" s="1" t="n">
        <v>45892</v>
      </c>
      <c r="D126" t="inlineStr">
        <is>
          <t>DALARNAS LÄN</t>
        </is>
      </c>
      <c r="E126" t="inlineStr">
        <is>
          <t>ÄLVDALEN</t>
        </is>
      </c>
      <c r="F126" t="inlineStr">
        <is>
          <t>Övriga statliga verk och myndigheter</t>
        </is>
      </c>
      <c r="G126" t="n">
        <v>28.1</v>
      </c>
      <c r="H126" t="n">
        <v>1</v>
      </c>
      <c r="I126" t="n">
        <v>0</v>
      </c>
      <c r="J126" t="n">
        <v>1</v>
      </c>
      <c r="K126" t="n">
        <v>0</v>
      </c>
      <c r="L126" t="n">
        <v>0</v>
      </c>
      <c r="M126" t="n">
        <v>0</v>
      </c>
      <c r="N126" t="n">
        <v>0</v>
      </c>
      <c r="O126" t="n">
        <v>1</v>
      </c>
      <c r="P126" t="n">
        <v>0</v>
      </c>
      <c r="Q126" t="n">
        <v>1</v>
      </c>
      <c r="R126" s="2" t="inlineStr">
        <is>
          <t>Utter</t>
        </is>
      </c>
      <c r="S126">
        <f>HYPERLINK("https://klasma.github.io/Logging_2039/artfynd/A 55062-2022 artfynd.xlsx", "A 55062-2022")</f>
        <v/>
      </c>
      <c r="T126">
        <f>HYPERLINK("https://klasma.github.io/Logging_2039/kartor/A 55062-2022 karta.png", "A 55062-2022")</f>
        <v/>
      </c>
      <c r="V126">
        <f>HYPERLINK("https://klasma.github.io/Logging_2039/klagomål/A 55062-2022 FSC-klagomål.docx", "A 55062-2022")</f>
        <v/>
      </c>
      <c r="W126">
        <f>HYPERLINK("https://klasma.github.io/Logging_2039/klagomålsmail/A 55062-2022 FSC-klagomål mail.docx", "A 55062-2022")</f>
        <v/>
      </c>
      <c r="X126">
        <f>HYPERLINK("https://klasma.github.io/Logging_2039/tillsyn/A 55062-2022 tillsynsbegäran.docx", "A 55062-2022")</f>
        <v/>
      </c>
      <c r="Y126">
        <f>HYPERLINK("https://klasma.github.io/Logging_2039/tillsynsmail/A 55062-2022 tillsynsbegäran mail.docx", "A 55062-2022")</f>
        <v/>
      </c>
    </row>
    <row r="127" ht="15" customHeight="1">
      <c r="A127" t="inlineStr">
        <is>
          <t>A 19313-2021</t>
        </is>
      </c>
      <c r="B127" s="1" t="n">
        <v>44309</v>
      </c>
      <c r="C127" s="1" t="n">
        <v>45892</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45892</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45892</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45892</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45892</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45892</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45892</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45892</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45892</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45892</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45892</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45892</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45892</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45892</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45892</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45892</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26874-2021</t>
        </is>
      </c>
      <c r="B143" s="1" t="n">
        <v>44349</v>
      </c>
      <c r="C143" s="1" t="n">
        <v>45892</v>
      </c>
      <c r="D143" t="inlineStr">
        <is>
          <t>DALARNAS LÄN</t>
        </is>
      </c>
      <c r="E143" t="inlineStr">
        <is>
          <t>ÄLVDALEN</t>
        </is>
      </c>
      <c r="F143" t="inlineStr">
        <is>
          <t>Bergvik skog öst AB</t>
        </is>
      </c>
      <c r="G143" t="n">
        <v>3.2</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45892</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45892</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45892</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45892</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45892</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45892</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45892</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45892</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45892</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45892</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45892</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45892</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45892</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49737-2020</t>
        </is>
      </c>
      <c r="B157" s="1" t="n">
        <v>44106</v>
      </c>
      <c r="C157" s="1" t="n">
        <v>45892</v>
      </c>
      <c r="D157" t="inlineStr">
        <is>
          <t>DALARNAS LÄN</t>
        </is>
      </c>
      <c r="E157" t="inlineStr">
        <is>
          <t>ÄLVDALEN</t>
        </is>
      </c>
      <c r="G157" t="n">
        <v>1</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45892</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45892</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45892</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45892</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45892</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45892</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45892</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45892</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45892</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45892</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45892</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45892</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45892</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45892</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45892</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45892</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45892</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26726-2021</t>
        </is>
      </c>
      <c r="B175" s="1" t="n">
        <v>44349.38230324074</v>
      </c>
      <c r="C175" s="1" t="n">
        <v>45892</v>
      </c>
      <c r="D175" t="inlineStr">
        <is>
          <t>DALARNAS LÄN</t>
        </is>
      </c>
      <c r="E175" t="inlineStr">
        <is>
          <t>ÄLVDALEN</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45892</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45892</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45892</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45892</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45892</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45892</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45892</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45892</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45892</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45892</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45892</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45892</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45892</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45892</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45892</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45892</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45892</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17627-2022</t>
        </is>
      </c>
      <c r="B193" s="1" t="n">
        <v>44680</v>
      </c>
      <c r="C193" s="1" t="n">
        <v>45892</v>
      </c>
      <c r="D193" t="inlineStr">
        <is>
          <t>DALARNAS LÄN</t>
        </is>
      </c>
      <c r="E193" t="inlineStr">
        <is>
          <t>ÄLVDALEN</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45892</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45892</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45892</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19759-2021</t>
        </is>
      </c>
      <c r="B197" s="1" t="n">
        <v>44309</v>
      </c>
      <c r="C197" s="1" t="n">
        <v>45892</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22454-2021</t>
        </is>
      </c>
      <c r="B198" s="1" t="n">
        <v>44326</v>
      </c>
      <c r="C198" s="1" t="n">
        <v>45892</v>
      </c>
      <c r="D198" t="inlineStr">
        <is>
          <t>DALARNAS LÄN</t>
        </is>
      </c>
      <c r="E198" t="inlineStr">
        <is>
          <t>ÄLVDALEN</t>
        </is>
      </c>
      <c r="F198" t="inlineStr">
        <is>
          <t>Allmännings- och besparingsskogar</t>
        </is>
      </c>
      <c r="G198" t="n">
        <v>4.3</v>
      </c>
      <c r="H198" t="n">
        <v>0</v>
      </c>
      <c r="I198" t="n">
        <v>0</v>
      </c>
      <c r="J198" t="n">
        <v>0</v>
      </c>
      <c r="K198" t="n">
        <v>0</v>
      </c>
      <c r="L198" t="n">
        <v>0</v>
      </c>
      <c r="M198" t="n">
        <v>0</v>
      </c>
      <c r="N198" t="n">
        <v>0</v>
      </c>
      <c r="O198" t="n">
        <v>0</v>
      </c>
      <c r="P198" t="n">
        <v>0</v>
      </c>
      <c r="Q198" t="n">
        <v>0</v>
      </c>
      <c r="R198" s="2" t="inlineStr"/>
    </row>
    <row r="199" ht="15" customHeight="1">
      <c r="A199" t="inlineStr">
        <is>
          <t>A 37009-2021</t>
        </is>
      </c>
      <c r="B199" s="1" t="n">
        <v>44393.6384837963</v>
      </c>
      <c r="C199" s="1" t="n">
        <v>45892</v>
      </c>
      <c r="D199" t="inlineStr">
        <is>
          <t>DALARNAS LÄN</t>
        </is>
      </c>
      <c r="E199" t="inlineStr">
        <is>
          <t>ÄLVDALEN</t>
        </is>
      </c>
      <c r="F199" t="inlineStr">
        <is>
          <t>Bergvik skog öst AB</t>
        </is>
      </c>
      <c r="G199" t="n">
        <v>3.3</v>
      </c>
      <c r="H199" t="n">
        <v>0</v>
      </c>
      <c r="I199" t="n">
        <v>0</v>
      </c>
      <c r="J199" t="n">
        <v>0</v>
      </c>
      <c r="K199" t="n">
        <v>0</v>
      </c>
      <c r="L199" t="n">
        <v>0</v>
      </c>
      <c r="M199" t="n">
        <v>0</v>
      </c>
      <c r="N199" t="n">
        <v>0</v>
      </c>
      <c r="O199" t="n">
        <v>0</v>
      </c>
      <c r="P199" t="n">
        <v>0</v>
      </c>
      <c r="Q199" t="n">
        <v>0</v>
      </c>
      <c r="R199" s="2" t="inlineStr"/>
    </row>
    <row r="200" ht="15" customHeight="1">
      <c r="A200" t="inlineStr">
        <is>
          <t>A 31714-2021</t>
        </is>
      </c>
      <c r="B200" s="1" t="n">
        <v>44369.82663194444</v>
      </c>
      <c r="C200" s="1" t="n">
        <v>45892</v>
      </c>
      <c r="D200" t="inlineStr">
        <is>
          <t>DALARNAS LÄN</t>
        </is>
      </c>
      <c r="E200" t="inlineStr">
        <is>
          <t>ÄLVDALEN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45892</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28011-2021</t>
        </is>
      </c>
      <c r="B202" s="1" t="n">
        <v>44355.35329861111</v>
      </c>
      <c r="C202" s="1" t="n">
        <v>45892</v>
      </c>
      <c r="D202" t="inlineStr">
        <is>
          <t>DALARNAS LÄN</t>
        </is>
      </c>
      <c r="E202" t="inlineStr">
        <is>
          <t>ÄLVDALEN</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51504-2022</t>
        </is>
      </c>
      <c r="B203" s="1" t="n">
        <v>44869</v>
      </c>
      <c r="C203" s="1" t="n">
        <v>45892</v>
      </c>
      <c r="D203" t="inlineStr">
        <is>
          <t>DALARNAS LÄN</t>
        </is>
      </c>
      <c r="E203" t="inlineStr">
        <is>
          <t>ÄLVDALEN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21279-2022</t>
        </is>
      </c>
      <c r="B204" s="1" t="n">
        <v>44705</v>
      </c>
      <c r="C204" s="1" t="n">
        <v>45892</v>
      </c>
      <c r="D204" t="inlineStr">
        <is>
          <t>DALARNAS LÄN</t>
        </is>
      </c>
      <c r="E204" t="inlineStr">
        <is>
          <t>ÄLVDALEN</t>
        </is>
      </c>
      <c r="G204" t="n">
        <v>4.6</v>
      </c>
      <c r="H204" t="n">
        <v>0</v>
      </c>
      <c r="I204" t="n">
        <v>0</v>
      </c>
      <c r="J204" t="n">
        <v>0</v>
      </c>
      <c r="K204" t="n">
        <v>0</v>
      </c>
      <c r="L204" t="n">
        <v>0</v>
      </c>
      <c r="M204" t="n">
        <v>0</v>
      </c>
      <c r="N204" t="n">
        <v>0</v>
      </c>
      <c r="O204" t="n">
        <v>0</v>
      </c>
      <c r="P204" t="n">
        <v>0</v>
      </c>
      <c r="Q204" t="n">
        <v>0</v>
      </c>
      <c r="R204" s="2" t="inlineStr"/>
    </row>
    <row r="205" ht="15" customHeight="1">
      <c r="A205" t="inlineStr">
        <is>
          <t>A 30254-2021</t>
        </is>
      </c>
      <c r="B205" s="1" t="n">
        <v>44363</v>
      </c>
      <c r="C205" s="1" t="n">
        <v>45892</v>
      </c>
      <c r="D205" t="inlineStr">
        <is>
          <t>DALARNAS LÄN</t>
        </is>
      </c>
      <c r="E205" t="inlineStr">
        <is>
          <t>ÄLVDALEN</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20050-2021</t>
        </is>
      </c>
      <c r="B206" s="1" t="n">
        <v>44314</v>
      </c>
      <c r="C206" s="1" t="n">
        <v>45892</v>
      </c>
      <c r="D206" t="inlineStr">
        <is>
          <t>DALARNAS LÄN</t>
        </is>
      </c>
      <c r="E206" t="inlineStr">
        <is>
          <t>ÄLVDALEN</t>
        </is>
      </c>
      <c r="G206" t="n">
        <v>1.6</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45892</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45892</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45892</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45892</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45892</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72846-2021</t>
        </is>
      </c>
      <c r="B212" s="1" t="n">
        <v>44547</v>
      </c>
      <c r="C212" s="1" t="n">
        <v>45892</v>
      </c>
      <c r="D212" t="inlineStr">
        <is>
          <t>DALARNAS LÄN</t>
        </is>
      </c>
      <c r="E212" t="inlineStr">
        <is>
          <t>ÄLVDALEN</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36825-2021</t>
        </is>
      </c>
      <c r="B213" s="1" t="n">
        <v>44393</v>
      </c>
      <c r="C213" s="1" t="n">
        <v>45892</v>
      </c>
      <c r="D213" t="inlineStr">
        <is>
          <t>DALARNAS LÄN</t>
        </is>
      </c>
      <c r="E213" t="inlineStr">
        <is>
          <t>ÄLVDALEN</t>
        </is>
      </c>
      <c r="F213" t="inlineStr">
        <is>
          <t>Sveaskog</t>
        </is>
      </c>
      <c r="G213" t="n">
        <v>12.2</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45892</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45892</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45892</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25602-2022</t>
        </is>
      </c>
      <c r="B217" s="1" t="n">
        <v>44732.6975</v>
      </c>
      <c r="C217" s="1" t="n">
        <v>45892</v>
      </c>
      <c r="D217" t="inlineStr">
        <is>
          <t>DALARNAS LÄN</t>
        </is>
      </c>
      <c r="E217" t="inlineStr">
        <is>
          <t>ÄLVDALEN</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54138-2020</t>
        </is>
      </c>
      <c r="B218" s="1" t="n">
        <v>44125</v>
      </c>
      <c r="C218" s="1" t="n">
        <v>45892</v>
      </c>
      <c r="D218" t="inlineStr">
        <is>
          <t>DALARNAS LÄN</t>
        </is>
      </c>
      <c r="E218" t="inlineStr">
        <is>
          <t>ÄLVDALEN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59658-2021</t>
        </is>
      </c>
      <c r="B219" s="1" t="n">
        <v>44494.3159375</v>
      </c>
      <c r="C219" s="1" t="n">
        <v>45892</v>
      </c>
      <c r="D219" t="inlineStr">
        <is>
          <t>DALARNAS LÄN</t>
        </is>
      </c>
      <c r="E219" t="inlineStr">
        <is>
          <t>ÄLVDALEN</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33689-2021</t>
        </is>
      </c>
      <c r="B220" s="1" t="n">
        <v>44378</v>
      </c>
      <c r="C220" s="1" t="n">
        <v>45892</v>
      </c>
      <c r="D220" t="inlineStr">
        <is>
          <t>DALARNAS LÄN</t>
        </is>
      </c>
      <c r="E220" t="inlineStr">
        <is>
          <t>ÄLVDALEN</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7232-2021</t>
        </is>
      </c>
      <c r="B221" s="1" t="n">
        <v>44238</v>
      </c>
      <c r="C221" s="1" t="n">
        <v>45892</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45892</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71282-2021</t>
        </is>
      </c>
      <c r="B223" s="1" t="n">
        <v>44539</v>
      </c>
      <c r="C223" s="1" t="n">
        <v>45892</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70252-2021</t>
        </is>
      </c>
      <c r="B224" s="1" t="n">
        <v>44536</v>
      </c>
      <c r="C224" s="1" t="n">
        <v>45892</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37490-2021</t>
        </is>
      </c>
      <c r="B225" s="1" t="n">
        <v>44399</v>
      </c>
      <c r="C225" s="1" t="n">
        <v>45892</v>
      </c>
      <c r="D225" t="inlineStr">
        <is>
          <t>DALARNAS LÄN</t>
        </is>
      </c>
      <c r="E225" t="inlineStr">
        <is>
          <t>ÄLVDALEN</t>
        </is>
      </c>
      <c r="G225" t="n">
        <v>1.5</v>
      </c>
      <c r="H225" t="n">
        <v>0</v>
      </c>
      <c r="I225" t="n">
        <v>0</v>
      </c>
      <c r="J225" t="n">
        <v>0</v>
      </c>
      <c r="K225" t="n">
        <v>0</v>
      </c>
      <c r="L225" t="n">
        <v>0</v>
      </c>
      <c r="M225" t="n">
        <v>0</v>
      </c>
      <c r="N225" t="n">
        <v>0</v>
      </c>
      <c r="O225" t="n">
        <v>0</v>
      </c>
      <c r="P225" t="n">
        <v>0</v>
      </c>
      <c r="Q225" t="n">
        <v>0</v>
      </c>
      <c r="R225" s="2" t="inlineStr"/>
    </row>
    <row r="226" ht="15" customHeight="1">
      <c r="A226" t="inlineStr">
        <is>
          <t>A 1310-2024</t>
        </is>
      </c>
      <c r="B226" s="1" t="n">
        <v>45303</v>
      </c>
      <c r="C226" s="1" t="n">
        <v>45892</v>
      </c>
      <c r="D226" t="inlineStr">
        <is>
          <t>DALARNAS LÄN</t>
        </is>
      </c>
      <c r="E226" t="inlineStr">
        <is>
          <t>ÄLVDALEN</t>
        </is>
      </c>
      <c r="G226" t="n">
        <v>4.3</v>
      </c>
      <c r="H226" t="n">
        <v>0</v>
      </c>
      <c r="I226" t="n">
        <v>0</v>
      </c>
      <c r="J226" t="n">
        <v>0</v>
      </c>
      <c r="K226" t="n">
        <v>0</v>
      </c>
      <c r="L226" t="n">
        <v>0</v>
      </c>
      <c r="M226" t="n">
        <v>0</v>
      </c>
      <c r="N226" t="n">
        <v>0</v>
      </c>
      <c r="O226" t="n">
        <v>0</v>
      </c>
      <c r="P226" t="n">
        <v>0</v>
      </c>
      <c r="Q226" t="n">
        <v>0</v>
      </c>
      <c r="R226" s="2" t="inlineStr"/>
    </row>
    <row r="227" ht="15" customHeight="1">
      <c r="A227" t="inlineStr">
        <is>
          <t>A 24009-2024</t>
        </is>
      </c>
      <c r="B227" s="1" t="n">
        <v>45456.40030092592</v>
      </c>
      <c r="C227" s="1" t="n">
        <v>45892</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49587-2020</t>
        </is>
      </c>
      <c r="B228" s="1" t="n">
        <v>44106</v>
      </c>
      <c r="C228" s="1" t="n">
        <v>45892</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45892</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8538-2025</t>
        </is>
      </c>
      <c r="B230" s="1" t="n">
        <v>45709.59030092593</v>
      </c>
      <c r="C230" s="1" t="n">
        <v>45892</v>
      </c>
      <c r="D230" t="inlineStr">
        <is>
          <t>DALARNAS LÄN</t>
        </is>
      </c>
      <c r="E230" t="inlineStr">
        <is>
          <t>ÄLVDALEN</t>
        </is>
      </c>
      <c r="F230" t="inlineStr">
        <is>
          <t>Allmännings- och besparingsskogar</t>
        </is>
      </c>
      <c r="G230" t="n">
        <v>0.6</v>
      </c>
      <c r="H230" t="n">
        <v>0</v>
      </c>
      <c r="I230" t="n">
        <v>0</v>
      </c>
      <c r="J230" t="n">
        <v>0</v>
      </c>
      <c r="K230" t="n">
        <v>0</v>
      </c>
      <c r="L230" t="n">
        <v>0</v>
      </c>
      <c r="M230" t="n">
        <v>0</v>
      </c>
      <c r="N230" t="n">
        <v>0</v>
      </c>
      <c r="O230" t="n">
        <v>0</v>
      </c>
      <c r="P230" t="n">
        <v>0</v>
      </c>
      <c r="Q230" t="n">
        <v>0</v>
      </c>
      <c r="R230" s="2" t="inlineStr"/>
    </row>
    <row r="231" ht="15" customHeight="1">
      <c r="A231" t="inlineStr">
        <is>
          <t>A 7913-2025</t>
        </is>
      </c>
      <c r="B231" s="1" t="n">
        <v>45707.34497685185</v>
      </c>
      <c r="C231" s="1" t="n">
        <v>45892</v>
      </c>
      <c r="D231" t="inlineStr">
        <is>
          <t>DALARNAS LÄN</t>
        </is>
      </c>
      <c r="E231" t="inlineStr">
        <is>
          <t>ÄLVDALEN</t>
        </is>
      </c>
      <c r="F231" t="inlineStr">
        <is>
          <t>Allmännings- och besparingsskogar</t>
        </is>
      </c>
      <c r="G231" t="n">
        <v>7.5</v>
      </c>
      <c r="H231" t="n">
        <v>0</v>
      </c>
      <c r="I231" t="n">
        <v>0</v>
      </c>
      <c r="J231" t="n">
        <v>0</v>
      </c>
      <c r="K231" t="n">
        <v>0</v>
      </c>
      <c r="L231" t="n">
        <v>0</v>
      </c>
      <c r="M231" t="n">
        <v>0</v>
      </c>
      <c r="N231" t="n">
        <v>0</v>
      </c>
      <c r="O231" t="n">
        <v>0</v>
      </c>
      <c r="P231" t="n">
        <v>0</v>
      </c>
      <c r="Q231" t="n">
        <v>0</v>
      </c>
      <c r="R231" s="2" t="inlineStr"/>
    </row>
    <row r="232" ht="15" customHeight="1">
      <c r="A232" t="inlineStr">
        <is>
          <t>A 21832-2021</t>
        </is>
      </c>
      <c r="B232" s="1" t="n">
        <v>44322.6378125</v>
      </c>
      <c r="C232" s="1" t="n">
        <v>45892</v>
      </c>
      <c r="D232" t="inlineStr">
        <is>
          <t>DALARNAS LÄN</t>
        </is>
      </c>
      <c r="E232" t="inlineStr">
        <is>
          <t>ÄLVDALEN</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62314-2022</t>
        </is>
      </c>
      <c r="B233" s="1" t="n">
        <v>44916</v>
      </c>
      <c r="C233" s="1" t="n">
        <v>45892</v>
      </c>
      <c r="D233" t="inlineStr">
        <is>
          <t>DALARNAS LÄN</t>
        </is>
      </c>
      <c r="E233" t="inlineStr">
        <is>
          <t>ÄLVDALEN</t>
        </is>
      </c>
      <c r="G233" t="n">
        <v>2.7</v>
      </c>
      <c r="H233" t="n">
        <v>0</v>
      </c>
      <c r="I233" t="n">
        <v>0</v>
      </c>
      <c r="J233" t="n">
        <v>0</v>
      </c>
      <c r="K233" t="n">
        <v>0</v>
      </c>
      <c r="L233" t="n">
        <v>0</v>
      </c>
      <c r="M233" t="n">
        <v>0</v>
      </c>
      <c r="N233" t="n">
        <v>0</v>
      </c>
      <c r="O233" t="n">
        <v>0</v>
      </c>
      <c r="P233" t="n">
        <v>0</v>
      </c>
      <c r="Q233" t="n">
        <v>0</v>
      </c>
      <c r="R233" s="2" t="inlineStr"/>
    </row>
    <row r="234" ht="15" customHeight="1">
      <c r="A234" t="inlineStr">
        <is>
          <t>A 58004-2020</t>
        </is>
      </c>
      <c r="B234" s="1" t="n">
        <v>44140</v>
      </c>
      <c r="C234" s="1" t="n">
        <v>45892</v>
      </c>
      <c r="D234" t="inlineStr">
        <is>
          <t>DALARNAS LÄN</t>
        </is>
      </c>
      <c r="E234" t="inlineStr">
        <is>
          <t>ÄLVDALEN</t>
        </is>
      </c>
      <c r="G234" t="n">
        <v>2.9</v>
      </c>
      <c r="H234" t="n">
        <v>0</v>
      </c>
      <c r="I234" t="n">
        <v>0</v>
      </c>
      <c r="J234" t="n">
        <v>0</v>
      </c>
      <c r="K234" t="n">
        <v>0</v>
      </c>
      <c r="L234" t="n">
        <v>0</v>
      </c>
      <c r="M234" t="n">
        <v>0</v>
      </c>
      <c r="N234" t="n">
        <v>0</v>
      </c>
      <c r="O234" t="n">
        <v>0</v>
      </c>
      <c r="P234" t="n">
        <v>0</v>
      </c>
      <c r="Q234" t="n">
        <v>0</v>
      </c>
      <c r="R234" s="2" t="inlineStr"/>
    </row>
    <row r="235" ht="15" customHeight="1">
      <c r="A235" t="inlineStr">
        <is>
          <t>A 8784-2024</t>
        </is>
      </c>
      <c r="B235" s="1" t="n">
        <v>45356.58180555556</v>
      </c>
      <c r="C235" s="1" t="n">
        <v>45892</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15952-2021</t>
        </is>
      </c>
      <c r="B236" s="1" t="n">
        <v>44286</v>
      </c>
      <c r="C236" s="1" t="n">
        <v>45892</v>
      </c>
      <c r="D236" t="inlineStr">
        <is>
          <t>DALARNAS LÄN</t>
        </is>
      </c>
      <c r="E236" t="inlineStr">
        <is>
          <t>ÄLVDALEN</t>
        </is>
      </c>
      <c r="F236" t="inlineStr">
        <is>
          <t>Övriga statliga verk och myndigheter</t>
        </is>
      </c>
      <c r="G236" t="n">
        <v>6.6</v>
      </c>
      <c r="H236" t="n">
        <v>0</v>
      </c>
      <c r="I236" t="n">
        <v>0</v>
      </c>
      <c r="J236" t="n">
        <v>0</v>
      </c>
      <c r="K236" t="n">
        <v>0</v>
      </c>
      <c r="L236" t="n">
        <v>0</v>
      </c>
      <c r="M236" t="n">
        <v>0</v>
      </c>
      <c r="N236" t="n">
        <v>0</v>
      </c>
      <c r="O236" t="n">
        <v>0</v>
      </c>
      <c r="P236" t="n">
        <v>0</v>
      </c>
      <c r="Q236" t="n">
        <v>0</v>
      </c>
      <c r="R236" s="2" t="inlineStr"/>
    </row>
    <row r="237" ht="15" customHeight="1">
      <c r="A237" t="inlineStr">
        <is>
          <t>A 47869-2023</t>
        </is>
      </c>
      <c r="B237" s="1" t="n">
        <v>45204</v>
      </c>
      <c r="C237" s="1" t="n">
        <v>45892</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59207-2022</t>
        </is>
      </c>
      <c r="B238" s="1" t="n">
        <v>44904</v>
      </c>
      <c r="C238" s="1" t="n">
        <v>45892</v>
      </c>
      <c r="D238" t="inlineStr">
        <is>
          <t>DALARNAS LÄN</t>
        </is>
      </c>
      <c r="E238" t="inlineStr">
        <is>
          <t>ÄLVDALEN</t>
        </is>
      </c>
      <c r="G238" t="n">
        <v>4.7</v>
      </c>
      <c r="H238" t="n">
        <v>0</v>
      </c>
      <c r="I238" t="n">
        <v>0</v>
      </c>
      <c r="J238" t="n">
        <v>0</v>
      </c>
      <c r="K238" t="n">
        <v>0</v>
      </c>
      <c r="L238" t="n">
        <v>0</v>
      </c>
      <c r="M238" t="n">
        <v>0</v>
      </c>
      <c r="N238" t="n">
        <v>0</v>
      </c>
      <c r="O238" t="n">
        <v>0</v>
      </c>
      <c r="P238" t="n">
        <v>0</v>
      </c>
      <c r="Q238" t="n">
        <v>0</v>
      </c>
      <c r="R238" s="2" t="inlineStr"/>
    </row>
    <row r="239" ht="15" customHeight="1">
      <c r="A239" t="inlineStr">
        <is>
          <t>A 629-2025</t>
        </is>
      </c>
      <c r="B239" s="1" t="n">
        <v>45660</v>
      </c>
      <c r="C239" s="1" t="n">
        <v>45892</v>
      </c>
      <c r="D239" t="inlineStr">
        <is>
          <t>DALARNAS LÄN</t>
        </is>
      </c>
      <c r="E239" t="inlineStr">
        <is>
          <t>ÄLVDALEN</t>
        </is>
      </c>
      <c r="F239" t="inlineStr">
        <is>
          <t>Allmännings- och besparingsskogar</t>
        </is>
      </c>
      <c r="G239" t="n">
        <v>0.6</v>
      </c>
      <c r="H239" t="n">
        <v>0</v>
      </c>
      <c r="I239" t="n">
        <v>0</v>
      </c>
      <c r="J239" t="n">
        <v>0</v>
      </c>
      <c r="K239" t="n">
        <v>0</v>
      </c>
      <c r="L239" t="n">
        <v>0</v>
      </c>
      <c r="M239" t="n">
        <v>0</v>
      </c>
      <c r="N239" t="n">
        <v>0</v>
      </c>
      <c r="O239" t="n">
        <v>0</v>
      </c>
      <c r="P239" t="n">
        <v>0</v>
      </c>
      <c r="Q239" t="n">
        <v>0</v>
      </c>
      <c r="R239" s="2" t="inlineStr"/>
    </row>
    <row r="240" ht="15" customHeight="1">
      <c r="A240" t="inlineStr">
        <is>
          <t>A 5170-2024</t>
        </is>
      </c>
      <c r="B240" s="1" t="n">
        <v>45330.55390046296</v>
      </c>
      <c r="C240" s="1" t="n">
        <v>45892</v>
      </c>
      <c r="D240" t="inlineStr">
        <is>
          <t>DALARNAS LÄN</t>
        </is>
      </c>
      <c r="E240" t="inlineStr">
        <is>
          <t>ÄLVDALEN</t>
        </is>
      </c>
      <c r="G240" t="n">
        <v>15.8</v>
      </c>
      <c r="H240" t="n">
        <v>0</v>
      </c>
      <c r="I240" t="n">
        <v>0</v>
      </c>
      <c r="J240" t="n">
        <v>0</v>
      </c>
      <c r="K240" t="n">
        <v>0</v>
      </c>
      <c r="L240" t="n">
        <v>0</v>
      </c>
      <c r="M240" t="n">
        <v>0</v>
      </c>
      <c r="N240" t="n">
        <v>0</v>
      </c>
      <c r="O240" t="n">
        <v>0</v>
      </c>
      <c r="P240" t="n">
        <v>0</v>
      </c>
      <c r="Q240" t="n">
        <v>0</v>
      </c>
      <c r="R240" s="2" t="inlineStr"/>
    </row>
    <row r="241" ht="15" customHeight="1">
      <c r="A241" t="inlineStr">
        <is>
          <t>A 36285-2024</t>
        </is>
      </c>
      <c r="B241" s="1" t="n">
        <v>45534.59008101852</v>
      </c>
      <c r="C241" s="1" t="n">
        <v>45892</v>
      </c>
      <c r="D241" t="inlineStr">
        <is>
          <t>DALARNAS LÄN</t>
        </is>
      </c>
      <c r="E241" t="inlineStr">
        <is>
          <t>ÄLVDALEN</t>
        </is>
      </c>
      <c r="G241" t="n">
        <v>4.9</v>
      </c>
      <c r="H241" t="n">
        <v>0</v>
      </c>
      <c r="I241" t="n">
        <v>0</v>
      </c>
      <c r="J241" t="n">
        <v>0</v>
      </c>
      <c r="K241" t="n">
        <v>0</v>
      </c>
      <c r="L241" t="n">
        <v>0</v>
      </c>
      <c r="M241" t="n">
        <v>0</v>
      </c>
      <c r="N241" t="n">
        <v>0</v>
      </c>
      <c r="O241" t="n">
        <v>0</v>
      </c>
      <c r="P241" t="n">
        <v>0</v>
      </c>
      <c r="Q241" t="n">
        <v>0</v>
      </c>
      <c r="R241" s="2" t="inlineStr"/>
    </row>
    <row r="242" ht="15" customHeight="1">
      <c r="A242" t="inlineStr">
        <is>
          <t>A 49723-2023</t>
        </is>
      </c>
      <c r="B242" s="1" t="n">
        <v>45212</v>
      </c>
      <c r="C242" s="1" t="n">
        <v>45892</v>
      </c>
      <c r="D242" t="inlineStr">
        <is>
          <t>DALARNAS LÄN</t>
        </is>
      </c>
      <c r="E242" t="inlineStr">
        <is>
          <t>ÄLVDALEN</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7232-2025</t>
        </is>
      </c>
      <c r="B243" s="1" t="n">
        <v>45702.51415509259</v>
      </c>
      <c r="C243" s="1" t="n">
        <v>45892</v>
      </c>
      <c r="D243" t="inlineStr">
        <is>
          <t>DALARNAS LÄN</t>
        </is>
      </c>
      <c r="E243" t="inlineStr">
        <is>
          <t>ÄLVDALEN</t>
        </is>
      </c>
      <c r="F243" t="inlineStr">
        <is>
          <t>Allmännings- och besparingsskogar</t>
        </is>
      </c>
      <c r="G243" t="n">
        <v>1.4</v>
      </c>
      <c r="H243" t="n">
        <v>0</v>
      </c>
      <c r="I243" t="n">
        <v>0</v>
      </c>
      <c r="J243" t="n">
        <v>0</v>
      </c>
      <c r="K243" t="n">
        <v>0</v>
      </c>
      <c r="L243" t="n">
        <v>0</v>
      </c>
      <c r="M243" t="n">
        <v>0</v>
      </c>
      <c r="N243" t="n">
        <v>0</v>
      </c>
      <c r="O243" t="n">
        <v>0</v>
      </c>
      <c r="P243" t="n">
        <v>0</v>
      </c>
      <c r="Q243" t="n">
        <v>0</v>
      </c>
      <c r="R243" s="2" t="inlineStr"/>
    </row>
    <row r="244" ht="15" customHeight="1">
      <c r="A244" t="inlineStr">
        <is>
          <t>A 9045-2025</t>
        </is>
      </c>
      <c r="B244" s="1" t="n">
        <v>45713.62837962963</v>
      </c>
      <c r="C244" s="1" t="n">
        <v>45892</v>
      </c>
      <c r="D244" t="inlineStr">
        <is>
          <t>DALARNAS LÄN</t>
        </is>
      </c>
      <c r="E244" t="inlineStr">
        <is>
          <t>ÄLVDALEN</t>
        </is>
      </c>
      <c r="F244" t="inlineStr">
        <is>
          <t>Allmännings- och besparingsskogar</t>
        </is>
      </c>
      <c r="G244" t="n">
        <v>39.1</v>
      </c>
      <c r="H244" t="n">
        <v>0</v>
      </c>
      <c r="I244" t="n">
        <v>0</v>
      </c>
      <c r="J244" t="n">
        <v>0</v>
      </c>
      <c r="K244" t="n">
        <v>0</v>
      </c>
      <c r="L244" t="n">
        <v>0</v>
      </c>
      <c r="M244" t="n">
        <v>0</v>
      </c>
      <c r="N244" t="n">
        <v>0</v>
      </c>
      <c r="O244" t="n">
        <v>0</v>
      </c>
      <c r="P244" t="n">
        <v>0</v>
      </c>
      <c r="Q244" t="n">
        <v>0</v>
      </c>
      <c r="R244" s="2" t="inlineStr"/>
    </row>
    <row r="245" ht="15" customHeight="1">
      <c r="A245" t="inlineStr">
        <is>
          <t>A 48954-2023</t>
        </is>
      </c>
      <c r="B245" s="1" t="n">
        <v>45209.58488425926</v>
      </c>
      <c r="C245" s="1" t="n">
        <v>45892</v>
      </c>
      <c r="D245" t="inlineStr">
        <is>
          <t>DALARNAS LÄN</t>
        </is>
      </c>
      <c r="E245" t="inlineStr">
        <is>
          <t>ÄLVDALEN</t>
        </is>
      </c>
      <c r="G245" t="n">
        <v>7</v>
      </c>
      <c r="H245" t="n">
        <v>0</v>
      </c>
      <c r="I245" t="n">
        <v>0</v>
      </c>
      <c r="J245" t="n">
        <v>0</v>
      </c>
      <c r="K245" t="n">
        <v>0</v>
      </c>
      <c r="L245" t="n">
        <v>0</v>
      </c>
      <c r="M245" t="n">
        <v>0</v>
      </c>
      <c r="N245" t="n">
        <v>0</v>
      </c>
      <c r="O245" t="n">
        <v>0</v>
      </c>
      <c r="P245" t="n">
        <v>0</v>
      </c>
      <c r="Q245" t="n">
        <v>0</v>
      </c>
      <c r="R245" s="2" t="inlineStr"/>
    </row>
    <row r="246" ht="15" customHeight="1">
      <c r="A246" t="inlineStr">
        <is>
          <t>A 36462-2024</t>
        </is>
      </c>
      <c r="B246" s="1" t="n">
        <v>45537.35211805555</v>
      </c>
      <c r="C246" s="1" t="n">
        <v>45892</v>
      </c>
      <c r="D246" t="inlineStr">
        <is>
          <t>DALARNAS LÄN</t>
        </is>
      </c>
      <c r="E246" t="inlineStr">
        <is>
          <t>ÄLVDALEN</t>
        </is>
      </c>
      <c r="G246" t="n">
        <v>5</v>
      </c>
      <c r="H246" t="n">
        <v>0</v>
      </c>
      <c r="I246" t="n">
        <v>0</v>
      </c>
      <c r="J246" t="n">
        <v>0</v>
      </c>
      <c r="K246" t="n">
        <v>0</v>
      </c>
      <c r="L246" t="n">
        <v>0</v>
      </c>
      <c r="M246" t="n">
        <v>0</v>
      </c>
      <c r="N246" t="n">
        <v>0</v>
      </c>
      <c r="O246" t="n">
        <v>0</v>
      </c>
      <c r="P246" t="n">
        <v>0</v>
      </c>
      <c r="Q246" t="n">
        <v>0</v>
      </c>
      <c r="R246" s="2" t="inlineStr"/>
    </row>
    <row r="247" ht="15" customHeight="1">
      <c r="A247" t="inlineStr">
        <is>
          <t>A 55778-2021</t>
        </is>
      </c>
      <c r="B247" s="1" t="n">
        <v>44476</v>
      </c>
      <c r="C247" s="1" t="n">
        <v>45892</v>
      </c>
      <c r="D247" t="inlineStr">
        <is>
          <t>DALARNAS LÄN</t>
        </is>
      </c>
      <c r="E247" t="inlineStr">
        <is>
          <t>ÄLVDALEN</t>
        </is>
      </c>
      <c r="G247" t="n">
        <v>3.2</v>
      </c>
      <c r="H247" t="n">
        <v>0</v>
      </c>
      <c r="I247" t="n">
        <v>0</v>
      </c>
      <c r="J247" t="n">
        <v>0</v>
      </c>
      <c r="K247" t="n">
        <v>0</v>
      </c>
      <c r="L247" t="n">
        <v>0</v>
      </c>
      <c r="M247" t="n">
        <v>0</v>
      </c>
      <c r="N247" t="n">
        <v>0</v>
      </c>
      <c r="O247" t="n">
        <v>0</v>
      </c>
      <c r="P247" t="n">
        <v>0</v>
      </c>
      <c r="Q247" t="n">
        <v>0</v>
      </c>
      <c r="R247" s="2" t="inlineStr"/>
    </row>
    <row r="248" ht="15" customHeight="1">
      <c r="A248" t="inlineStr">
        <is>
          <t>A 32740-2024</t>
        </is>
      </c>
      <c r="B248" s="1" t="n">
        <v>45516.43834490741</v>
      </c>
      <c r="C248" s="1" t="n">
        <v>45892</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34835-2023</t>
        </is>
      </c>
      <c r="B249" s="1" t="n">
        <v>45141</v>
      </c>
      <c r="C249" s="1" t="n">
        <v>45892</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45892</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19992-2023</t>
        </is>
      </c>
      <c r="B251" s="1" t="n">
        <v>45054.61501157407</v>
      </c>
      <c r="C251" s="1" t="n">
        <v>45892</v>
      </c>
      <c r="D251" t="inlineStr">
        <is>
          <t>DALARNAS LÄN</t>
        </is>
      </c>
      <c r="E251" t="inlineStr">
        <is>
          <t>ÄLVDALEN</t>
        </is>
      </c>
      <c r="G251" t="n">
        <v>3.9</v>
      </c>
      <c r="H251" t="n">
        <v>0</v>
      </c>
      <c r="I251" t="n">
        <v>0</v>
      </c>
      <c r="J251" t="n">
        <v>0</v>
      </c>
      <c r="K251" t="n">
        <v>0</v>
      </c>
      <c r="L251" t="n">
        <v>0</v>
      </c>
      <c r="M251" t="n">
        <v>0</v>
      </c>
      <c r="N251" t="n">
        <v>0</v>
      </c>
      <c r="O251" t="n">
        <v>0</v>
      </c>
      <c r="P251" t="n">
        <v>0</v>
      </c>
      <c r="Q251" t="n">
        <v>0</v>
      </c>
      <c r="R251" s="2" t="inlineStr"/>
    </row>
    <row r="252" ht="15" customHeight="1">
      <c r="A252" t="inlineStr">
        <is>
          <t>A 46926-2024</t>
        </is>
      </c>
      <c r="B252" s="1" t="n">
        <v>45584.68275462963</v>
      </c>
      <c r="C252" s="1" t="n">
        <v>45892</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8192-2025</t>
        </is>
      </c>
      <c r="B253" s="1" t="n">
        <v>45708.41151620371</v>
      </c>
      <c r="C253" s="1" t="n">
        <v>45892</v>
      </c>
      <c r="D253" t="inlineStr">
        <is>
          <t>DALARNAS LÄN</t>
        </is>
      </c>
      <c r="E253" t="inlineStr">
        <is>
          <t>ÄLVDALEN</t>
        </is>
      </c>
      <c r="F253" t="inlineStr">
        <is>
          <t>Allmännings- och besparingsskogar</t>
        </is>
      </c>
      <c r="G253" t="n">
        <v>15.1</v>
      </c>
      <c r="H253" t="n">
        <v>0</v>
      </c>
      <c r="I253" t="n">
        <v>0</v>
      </c>
      <c r="J253" t="n">
        <v>0</v>
      </c>
      <c r="K253" t="n">
        <v>0</v>
      </c>
      <c r="L253" t="n">
        <v>0</v>
      </c>
      <c r="M253" t="n">
        <v>0</v>
      </c>
      <c r="N253" t="n">
        <v>0</v>
      </c>
      <c r="O253" t="n">
        <v>0</v>
      </c>
      <c r="P253" t="n">
        <v>0</v>
      </c>
      <c r="Q253" t="n">
        <v>0</v>
      </c>
      <c r="R253" s="2" t="inlineStr"/>
    </row>
    <row r="254" ht="15" customHeight="1">
      <c r="A254" t="inlineStr">
        <is>
          <t>A 27615-2023</t>
        </is>
      </c>
      <c r="B254" s="1" t="n">
        <v>45097</v>
      </c>
      <c r="C254" s="1" t="n">
        <v>45892</v>
      </c>
      <c r="D254" t="inlineStr">
        <is>
          <t>DALARNAS LÄN</t>
        </is>
      </c>
      <c r="E254" t="inlineStr">
        <is>
          <t>ÄLVDALEN</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31857-2023</t>
        </is>
      </c>
      <c r="B255" s="1" t="n">
        <v>45106</v>
      </c>
      <c r="C255" s="1" t="n">
        <v>45892</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431-2023</t>
        </is>
      </c>
      <c r="B256" s="1" t="n">
        <v>44923</v>
      </c>
      <c r="C256" s="1" t="n">
        <v>45892</v>
      </c>
      <c r="D256" t="inlineStr">
        <is>
          <t>DALARNAS LÄN</t>
        </is>
      </c>
      <c r="E256" t="inlineStr">
        <is>
          <t>ÄLVDALEN</t>
        </is>
      </c>
      <c r="G256" t="n">
        <v>2.9</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45892</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58848-2022</t>
        </is>
      </c>
      <c r="B258" s="1" t="n">
        <v>44896</v>
      </c>
      <c r="C258" s="1" t="n">
        <v>45892</v>
      </c>
      <c r="D258" t="inlineStr">
        <is>
          <t>DALARNAS LÄN</t>
        </is>
      </c>
      <c r="E258" t="inlineStr">
        <is>
          <t>ÄLVDALEN</t>
        </is>
      </c>
      <c r="F258" t="inlineStr">
        <is>
          <t>Övriga statliga verk och myndigheter</t>
        </is>
      </c>
      <c r="G258" t="n">
        <v>18.1</v>
      </c>
      <c r="H258" t="n">
        <v>0</v>
      </c>
      <c r="I258" t="n">
        <v>0</v>
      </c>
      <c r="J258" t="n">
        <v>0</v>
      </c>
      <c r="K258" t="n">
        <v>0</v>
      </c>
      <c r="L258" t="n">
        <v>0</v>
      </c>
      <c r="M258" t="n">
        <v>0</v>
      </c>
      <c r="N258" t="n">
        <v>0</v>
      </c>
      <c r="O258" t="n">
        <v>0</v>
      </c>
      <c r="P258" t="n">
        <v>0</v>
      </c>
      <c r="Q258" t="n">
        <v>0</v>
      </c>
      <c r="R258" s="2" t="inlineStr"/>
    </row>
    <row r="259" ht="15" customHeight="1">
      <c r="A259" t="inlineStr">
        <is>
          <t>A 23570-2023</t>
        </is>
      </c>
      <c r="B259" s="1" t="n">
        <v>45077</v>
      </c>
      <c r="C259" s="1" t="n">
        <v>45892</v>
      </c>
      <c r="D259" t="inlineStr">
        <is>
          <t>DALARNAS LÄN</t>
        </is>
      </c>
      <c r="E259" t="inlineStr">
        <is>
          <t>ÄLVDALEN</t>
        </is>
      </c>
      <c r="G259" t="n">
        <v>4.9</v>
      </c>
      <c r="H259" t="n">
        <v>0</v>
      </c>
      <c r="I259" t="n">
        <v>0</v>
      </c>
      <c r="J259" t="n">
        <v>0</v>
      </c>
      <c r="K259" t="n">
        <v>0</v>
      </c>
      <c r="L259" t="n">
        <v>0</v>
      </c>
      <c r="M259" t="n">
        <v>0</v>
      </c>
      <c r="N259" t="n">
        <v>0</v>
      </c>
      <c r="O259" t="n">
        <v>0</v>
      </c>
      <c r="P259" t="n">
        <v>0</v>
      </c>
      <c r="Q259" t="n">
        <v>0</v>
      </c>
      <c r="R259" s="2" t="inlineStr"/>
    </row>
    <row r="260" ht="15" customHeight="1">
      <c r="A260" t="inlineStr">
        <is>
          <t>A 68219-2021</t>
        </is>
      </c>
      <c r="B260" s="1" t="n">
        <v>44526.57060185185</v>
      </c>
      <c r="C260" s="1" t="n">
        <v>45892</v>
      </c>
      <c r="D260" t="inlineStr">
        <is>
          <t>DALARNAS LÄN</t>
        </is>
      </c>
      <c r="E260" t="inlineStr">
        <is>
          <t>ÄLVDALEN</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17346-2022</t>
        </is>
      </c>
      <c r="B261" s="1" t="n">
        <v>44678.56600694444</v>
      </c>
      <c r="C261" s="1" t="n">
        <v>45892</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30143-2024</t>
        </is>
      </c>
      <c r="B262" s="1" t="n">
        <v>45488</v>
      </c>
      <c r="C262" s="1" t="n">
        <v>45892</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30146-2024</t>
        </is>
      </c>
      <c r="B263" s="1" t="n">
        <v>45488</v>
      </c>
      <c r="C263" s="1" t="n">
        <v>45892</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42332-2023</t>
        </is>
      </c>
      <c r="B264" s="1" t="n">
        <v>45175</v>
      </c>
      <c r="C264" s="1" t="n">
        <v>45892</v>
      </c>
      <c r="D264" t="inlineStr">
        <is>
          <t>DALARNAS LÄN</t>
        </is>
      </c>
      <c r="E264" t="inlineStr">
        <is>
          <t>ÄLVDALEN</t>
        </is>
      </c>
      <c r="G264" t="n">
        <v>2.7</v>
      </c>
      <c r="H264" t="n">
        <v>0</v>
      </c>
      <c r="I264" t="n">
        <v>0</v>
      </c>
      <c r="J264" t="n">
        <v>0</v>
      </c>
      <c r="K264" t="n">
        <v>0</v>
      </c>
      <c r="L264" t="n">
        <v>0</v>
      </c>
      <c r="M264" t="n">
        <v>0</v>
      </c>
      <c r="N264" t="n">
        <v>0</v>
      </c>
      <c r="O264" t="n">
        <v>0</v>
      </c>
      <c r="P264" t="n">
        <v>0</v>
      </c>
      <c r="Q264" t="n">
        <v>0</v>
      </c>
      <c r="R264" s="2" t="inlineStr"/>
    </row>
    <row r="265" ht="15" customHeight="1">
      <c r="A265" t="inlineStr">
        <is>
          <t>A 36640-2023</t>
        </is>
      </c>
      <c r="B265" s="1" t="n">
        <v>45153.54498842593</v>
      </c>
      <c r="C265" s="1" t="n">
        <v>45892</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1790-2024</t>
        </is>
      </c>
      <c r="B266" s="1" t="n">
        <v>45307.5731712963</v>
      </c>
      <c r="C266" s="1" t="n">
        <v>45892</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19761-2021</t>
        </is>
      </c>
      <c r="B267" s="1" t="n">
        <v>44309</v>
      </c>
      <c r="C267" s="1" t="n">
        <v>45892</v>
      </c>
      <c r="D267" t="inlineStr">
        <is>
          <t>DALARNAS LÄN</t>
        </is>
      </c>
      <c r="E267" t="inlineStr">
        <is>
          <t>ÄLVDALEN</t>
        </is>
      </c>
      <c r="G267" t="n">
        <v>4.3</v>
      </c>
      <c r="H267" t="n">
        <v>0</v>
      </c>
      <c r="I267" t="n">
        <v>0</v>
      </c>
      <c r="J267" t="n">
        <v>0</v>
      </c>
      <c r="K267" t="n">
        <v>0</v>
      </c>
      <c r="L267" t="n">
        <v>0</v>
      </c>
      <c r="M267" t="n">
        <v>0</v>
      </c>
      <c r="N267" t="n">
        <v>0</v>
      </c>
      <c r="O267" t="n">
        <v>0</v>
      </c>
      <c r="P267" t="n">
        <v>0</v>
      </c>
      <c r="Q267" t="n">
        <v>0</v>
      </c>
      <c r="R267" s="2" t="inlineStr"/>
    </row>
    <row r="268" ht="15" customHeight="1">
      <c r="A268" t="inlineStr">
        <is>
          <t>A 23369-2023</t>
        </is>
      </c>
      <c r="B268" s="1" t="n">
        <v>45076</v>
      </c>
      <c r="C268" s="1" t="n">
        <v>45892</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19182-2023</t>
        </is>
      </c>
      <c r="B269" s="1" t="n">
        <v>45048</v>
      </c>
      <c r="C269" s="1" t="n">
        <v>45892</v>
      </c>
      <c r="D269" t="inlineStr">
        <is>
          <t>DALARNAS LÄN</t>
        </is>
      </c>
      <c r="E269" t="inlineStr">
        <is>
          <t>ÄLVDALEN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57533-2024</t>
        </is>
      </c>
      <c r="B270" s="1" t="n">
        <v>45630.4246875</v>
      </c>
      <c r="C270" s="1" t="n">
        <v>45892</v>
      </c>
      <c r="D270" t="inlineStr">
        <is>
          <t>DALARNAS LÄN</t>
        </is>
      </c>
      <c r="E270" t="inlineStr">
        <is>
          <t>ÄLVDALEN</t>
        </is>
      </c>
      <c r="G270" t="n">
        <v>2.5</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45892</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29819-2024</t>
        </is>
      </c>
      <c r="B272" s="1" t="n">
        <v>45485.55760416666</v>
      </c>
      <c r="C272" s="1" t="n">
        <v>45892</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13000-2022</t>
        </is>
      </c>
      <c r="B273" s="1" t="n">
        <v>44643.44597222222</v>
      </c>
      <c r="C273" s="1" t="n">
        <v>45892</v>
      </c>
      <c r="D273" t="inlineStr">
        <is>
          <t>DALARNAS LÄN</t>
        </is>
      </c>
      <c r="E273" t="inlineStr">
        <is>
          <t>ÄLVDALEN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43900-2024</t>
        </is>
      </c>
      <c r="B274" s="1" t="n">
        <v>45572.41975694444</v>
      </c>
      <c r="C274" s="1" t="n">
        <v>45892</v>
      </c>
      <c r="D274" t="inlineStr">
        <is>
          <t>DALARNAS LÄN</t>
        </is>
      </c>
      <c r="E274" t="inlineStr">
        <is>
          <t>ÄLVDALEN</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45892</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8146-2025</t>
        </is>
      </c>
      <c r="B276" s="1" t="n">
        <v>45708.30415509259</v>
      </c>
      <c r="C276" s="1" t="n">
        <v>45892</v>
      </c>
      <c r="D276" t="inlineStr">
        <is>
          <t>DALARNAS LÄN</t>
        </is>
      </c>
      <c r="E276" t="inlineStr">
        <is>
          <t>ÄLVDALEN</t>
        </is>
      </c>
      <c r="F276" t="inlineStr">
        <is>
          <t>Allmännings- och besparingsskogar</t>
        </is>
      </c>
      <c r="G276" t="n">
        <v>1</v>
      </c>
      <c r="H276" t="n">
        <v>0</v>
      </c>
      <c r="I276" t="n">
        <v>0</v>
      </c>
      <c r="J276" t="n">
        <v>0</v>
      </c>
      <c r="K276" t="n">
        <v>0</v>
      </c>
      <c r="L276" t="n">
        <v>0</v>
      </c>
      <c r="M276" t="n">
        <v>0</v>
      </c>
      <c r="N276" t="n">
        <v>0</v>
      </c>
      <c r="O276" t="n">
        <v>0</v>
      </c>
      <c r="P276" t="n">
        <v>0</v>
      </c>
      <c r="Q276" t="n">
        <v>0</v>
      </c>
      <c r="R276" s="2" t="inlineStr"/>
    </row>
    <row r="277" ht="15" customHeight="1">
      <c r="A277" t="inlineStr">
        <is>
          <t>A 61450-2022</t>
        </is>
      </c>
      <c r="B277" s="1" t="n">
        <v>44910</v>
      </c>
      <c r="C277" s="1" t="n">
        <v>45892</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57539-2024</t>
        </is>
      </c>
      <c r="B278" s="1" t="n">
        <v>45630.43707175926</v>
      </c>
      <c r="C278" s="1" t="n">
        <v>45892</v>
      </c>
      <c r="D278" t="inlineStr">
        <is>
          <t>DALARNAS LÄN</t>
        </is>
      </c>
      <c r="E278" t="inlineStr">
        <is>
          <t>ÄLVDALEN</t>
        </is>
      </c>
      <c r="G278" t="n">
        <v>6.7</v>
      </c>
      <c r="H278" t="n">
        <v>0</v>
      </c>
      <c r="I278" t="n">
        <v>0</v>
      </c>
      <c r="J278" t="n">
        <v>0</v>
      </c>
      <c r="K278" t="n">
        <v>0</v>
      </c>
      <c r="L278" t="n">
        <v>0</v>
      </c>
      <c r="M278" t="n">
        <v>0</v>
      </c>
      <c r="N278" t="n">
        <v>0</v>
      </c>
      <c r="O278" t="n">
        <v>0</v>
      </c>
      <c r="P278" t="n">
        <v>0</v>
      </c>
      <c r="Q278" t="n">
        <v>0</v>
      </c>
      <c r="R278" s="2" t="inlineStr"/>
    </row>
    <row r="279" ht="15" customHeight="1">
      <c r="A279" t="inlineStr">
        <is>
          <t>A 68204-2021</t>
        </is>
      </c>
      <c r="B279" s="1" t="n">
        <v>44526</v>
      </c>
      <c r="C279" s="1" t="n">
        <v>45892</v>
      </c>
      <c r="D279" t="inlineStr">
        <is>
          <t>DALARNAS LÄN</t>
        </is>
      </c>
      <c r="E279" t="inlineStr">
        <is>
          <t>ÄLVDALEN</t>
        </is>
      </c>
      <c r="F279" t="inlineStr">
        <is>
          <t>Kyrkan</t>
        </is>
      </c>
      <c r="G279" t="n">
        <v>5</v>
      </c>
      <c r="H279" t="n">
        <v>0</v>
      </c>
      <c r="I279" t="n">
        <v>0</v>
      </c>
      <c r="J279" t="n">
        <v>0</v>
      </c>
      <c r="K279" t="n">
        <v>0</v>
      </c>
      <c r="L279" t="n">
        <v>0</v>
      </c>
      <c r="M279" t="n">
        <v>0</v>
      </c>
      <c r="N279" t="n">
        <v>0</v>
      </c>
      <c r="O279" t="n">
        <v>0</v>
      </c>
      <c r="P279" t="n">
        <v>0</v>
      </c>
      <c r="Q279" t="n">
        <v>0</v>
      </c>
      <c r="R279" s="2" t="inlineStr"/>
    </row>
    <row r="280" ht="15" customHeight="1">
      <c r="A280" t="inlineStr">
        <is>
          <t>A 57467-2023</t>
        </is>
      </c>
      <c r="B280" s="1" t="n">
        <v>45246.36751157408</v>
      </c>
      <c r="C280" s="1" t="n">
        <v>45892</v>
      </c>
      <c r="D280" t="inlineStr">
        <is>
          <t>DALARNAS LÄN</t>
        </is>
      </c>
      <c r="E280" t="inlineStr">
        <is>
          <t>ÄLVDALEN</t>
        </is>
      </c>
      <c r="G280" t="n">
        <v>0.2</v>
      </c>
      <c r="H280" t="n">
        <v>0</v>
      </c>
      <c r="I280" t="n">
        <v>0</v>
      </c>
      <c r="J280" t="n">
        <v>0</v>
      </c>
      <c r="K280" t="n">
        <v>0</v>
      </c>
      <c r="L280" t="n">
        <v>0</v>
      </c>
      <c r="M280" t="n">
        <v>0</v>
      </c>
      <c r="N280" t="n">
        <v>0</v>
      </c>
      <c r="O280" t="n">
        <v>0</v>
      </c>
      <c r="P280" t="n">
        <v>0</v>
      </c>
      <c r="Q280" t="n">
        <v>0</v>
      </c>
      <c r="R280" s="2" t="inlineStr"/>
    </row>
    <row r="281" ht="15" customHeight="1">
      <c r="A281" t="inlineStr">
        <is>
          <t>A 8492-2025</t>
        </is>
      </c>
      <c r="B281" s="1" t="n">
        <v>45709.50980324074</v>
      </c>
      <c r="C281" s="1" t="n">
        <v>45892</v>
      </c>
      <c r="D281" t="inlineStr">
        <is>
          <t>DALARNAS LÄN</t>
        </is>
      </c>
      <c r="E281" t="inlineStr">
        <is>
          <t>ÄLVDALEN</t>
        </is>
      </c>
      <c r="G281" t="n">
        <v>1.4</v>
      </c>
      <c r="H281" t="n">
        <v>0</v>
      </c>
      <c r="I281" t="n">
        <v>0</v>
      </c>
      <c r="J281" t="n">
        <v>0</v>
      </c>
      <c r="K281" t="n">
        <v>0</v>
      </c>
      <c r="L281" t="n">
        <v>0</v>
      </c>
      <c r="M281" t="n">
        <v>0</v>
      </c>
      <c r="N281" t="n">
        <v>0</v>
      </c>
      <c r="O281" t="n">
        <v>0</v>
      </c>
      <c r="P281" t="n">
        <v>0</v>
      </c>
      <c r="Q281" t="n">
        <v>0</v>
      </c>
      <c r="R281" s="2" t="inlineStr"/>
    </row>
    <row r="282" ht="15" customHeight="1">
      <c r="A282" t="inlineStr">
        <is>
          <t>A 8496-2025</t>
        </is>
      </c>
      <c r="B282" s="1" t="n">
        <v>45709.51084490741</v>
      </c>
      <c r="C282" s="1" t="n">
        <v>45892</v>
      </c>
      <c r="D282" t="inlineStr">
        <is>
          <t>DALARNAS LÄN</t>
        </is>
      </c>
      <c r="E282" t="inlineStr">
        <is>
          <t>ÄLVDALEN</t>
        </is>
      </c>
      <c r="G282" t="n">
        <v>1.4</v>
      </c>
      <c r="H282" t="n">
        <v>0</v>
      </c>
      <c r="I282" t="n">
        <v>0</v>
      </c>
      <c r="J282" t="n">
        <v>0</v>
      </c>
      <c r="K282" t="n">
        <v>0</v>
      </c>
      <c r="L282" t="n">
        <v>0</v>
      </c>
      <c r="M282" t="n">
        <v>0</v>
      </c>
      <c r="N282" t="n">
        <v>0</v>
      </c>
      <c r="O282" t="n">
        <v>0</v>
      </c>
      <c r="P282" t="n">
        <v>0</v>
      </c>
      <c r="Q282" t="n">
        <v>0</v>
      </c>
      <c r="R282" s="2" t="inlineStr"/>
    </row>
    <row r="283" ht="15" customHeight="1">
      <c r="A283" t="inlineStr">
        <is>
          <t>A 61070-2024</t>
        </is>
      </c>
      <c r="B283" s="1" t="n">
        <v>45645.50170138889</v>
      </c>
      <c r="C283" s="1" t="n">
        <v>45892</v>
      </c>
      <c r="D283" t="inlineStr">
        <is>
          <t>DALARNAS LÄN</t>
        </is>
      </c>
      <c r="E283" t="inlineStr">
        <is>
          <t>ÄLVDALEN</t>
        </is>
      </c>
      <c r="G283" t="n">
        <v>5.6</v>
      </c>
      <c r="H283" t="n">
        <v>0</v>
      </c>
      <c r="I283" t="n">
        <v>0</v>
      </c>
      <c r="J283" t="n">
        <v>0</v>
      </c>
      <c r="K283" t="n">
        <v>0</v>
      </c>
      <c r="L283" t="n">
        <v>0</v>
      </c>
      <c r="M283" t="n">
        <v>0</v>
      </c>
      <c r="N283" t="n">
        <v>0</v>
      </c>
      <c r="O283" t="n">
        <v>0</v>
      </c>
      <c r="P283" t="n">
        <v>0</v>
      </c>
      <c r="Q283" t="n">
        <v>0</v>
      </c>
      <c r="R283" s="2" t="inlineStr"/>
    </row>
    <row r="284" ht="15" customHeight="1">
      <c r="A284" t="inlineStr">
        <is>
          <t>A 32838-2023</t>
        </is>
      </c>
      <c r="B284" s="1" t="n">
        <v>45124</v>
      </c>
      <c r="C284" s="1" t="n">
        <v>45892</v>
      </c>
      <c r="D284" t="inlineStr">
        <is>
          <t>DALARNAS LÄN</t>
        </is>
      </c>
      <c r="E284" t="inlineStr">
        <is>
          <t>ÄLVDALEN</t>
        </is>
      </c>
      <c r="G284" t="n">
        <v>3.7</v>
      </c>
      <c r="H284" t="n">
        <v>0</v>
      </c>
      <c r="I284" t="n">
        <v>0</v>
      </c>
      <c r="J284" t="n">
        <v>0</v>
      </c>
      <c r="K284" t="n">
        <v>0</v>
      </c>
      <c r="L284" t="n">
        <v>0</v>
      </c>
      <c r="M284" t="n">
        <v>0</v>
      </c>
      <c r="N284" t="n">
        <v>0</v>
      </c>
      <c r="O284" t="n">
        <v>0</v>
      </c>
      <c r="P284" t="n">
        <v>0</v>
      </c>
      <c r="Q284" t="n">
        <v>0</v>
      </c>
      <c r="R284" s="2" t="inlineStr"/>
    </row>
    <row r="285" ht="15" customHeight="1">
      <c r="A285" t="inlineStr">
        <is>
          <t>A 47666-2024</t>
        </is>
      </c>
      <c r="B285" s="1" t="n">
        <v>45588.39283564815</v>
      </c>
      <c r="C285" s="1" t="n">
        <v>45892</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59668-2024</t>
        </is>
      </c>
      <c r="B286" s="1" t="n">
        <v>45639.37899305556</v>
      </c>
      <c r="C286" s="1" t="n">
        <v>45892</v>
      </c>
      <c r="D286" t="inlineStr">
        <is>
          <t>DALARNAS LÄN</t>
        </is>
      </c>
      <c r="E286" t="inlineStr">
        <is>
          <t>ÄLVDALEN</t>
        </is>
      </c>
      <c r="G286" t="n">
        <v>2.5</v>
      </c>
      <c r="H286" t="n">
        <v>0</v>
      </c>
      <c r="I286" t="n">
        <v>0</v>
      </c>
      <c r="J286" t="n">
        <v>0</v>
      </c>
      <c r="K286" t="n">
        <v>0</v>
      </c>
      <c r="L286" t="n">
        <v>0</v>
      </c>
      <c r="M286" t="n">
        <v>0</v>
      </c>
      <c r="N286" t="n">
        <v>0</v>
      </c>
      <c r="O286" t="n">
        <v>0</v>
      </c>
      <c r="P286" t="n">
        <v>0</v>
      </c>
      <c r="Q286" t="n">
        <v>0</v>
      </c>
      <c r="R286" s="2" t="inlineStr"/>
    </row>
    <row r="287" ht="15" customHeight="1">
      <c r="A287" t="inlineStr">
        <is>
          <t>A 59671-2024</t>
        </is>
      </c>
      <c r="B287" s="1" t="n">
        <v>45639.3862962963</v>
      </c>
      <c r="C287" s="1" t="n">
        <v>45892</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39064-2021</t>
        </is>
      </c>
      <c r="B288" s="1" t="n">
        <v>44411</v>
      </c>
      <c r="C288" s="1" t="n">
        <v>45892</v>
      </c>
      <c r="D288" t="inlineStr">
        <is>
          <t>DALARNAS LÄN</t>
        </is>
      </c>
      <c r="E288" t="inlineStr">
        <is>
          <t>ÄLVDALEN</t>
        </is>
      </c>
      <c r="F288" t="inlineStr">
        <is>
          <t>Övriga statliga verk och myndigheter</t>
        </is>
      </c>
      <c r="G288" t="n">
        <v>4.5</v>
      </c>
      <c r="H288" t="n">
        <v>0</v>
      </c>
      <c r="I288" t="n">
        <v>0</v>
      </c>
      <c r="J288" t="n">
        <v>0</v>
      </c>
      <c r="K288" t="n">
        <v>0</v>
      </c>
      <c r="L288" t="n">
        <v>0</v>
      </c>
      <c r="M288" t="n">
        <v>0</v>
      </c>
      <c r="N288" t="n">
        <v>0</v>
      </c>
      <c r="O288" t="n">
        <v>0</v>
      </c>
      <c r="P288" t="n">
        <v>0</v>
      </c>
      <c r="Q288" t="n">
        <v>0</v>
      </c>
      <c r="R288" s="2" t="inlineStr"/>
    </row>
    <row r="289" ht="15" customHeight="1">
      <c r="A289" t="inlineStr">
        <is>
          <t>A 57470-2023</t>
        </is>
      </c>
      <c r="B289" s="1" t="n">
        <v>45246</v>
      </c>
      <c r="C289" s="1" t="n">
        <v>45892</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27480-2022</t>
        </is>
      </c>
      <c r="B290" s="1" t="n">
        <v>44742.60590277778</v>
      </c>
      <c r="C290" s="1" t="n">
        <v>45892</v>
      </c>
      <c r="D290" t="inlineStr">
        <is>
          <t>DALARNAS LÄN</t>
        </is>
      </c>
      <c r="E290" t="inlineStr">
        <is>
          <t>ÄLVDALEN</t>
        </is>
      </c>
      <c r="F290" t="inlineStr">
        <is>
          <t>Bergvik skog väst AB</t>
        </is>
      </c>
      <c r="G290" t="n">
        <v>4.1</v>
      </c>
      <c r="H290" t="n">
        <v>0</v>
      </c>
      <c r="I290" t="n">
        <v>0</v>
      </c>
      <c r="J290" t="n">
        <v>0</v>
      </c>
      <c r="K290" t="n">
        <v>0</v>
      </c>
      <c r="L290" t="n">
        <v>0</v>
      </c>
      <c r="M290" t="n">
        <v>0</v>
      </c>
      <c r="N290" t="n">
        <v>0</v>
      </c>
      <c r="O290" t="n">
        <v>0</v>
      </c>
      <c r="P290" t="n">
        <v>0</v>
      </c>
      <c r="Q290" t="n">
        <v>0</v>
      </c>
      <c r="R290" s="2" t="inlineStr"/>
    </row>
    <row r="291" ht="15" customHeight="1">
      <c r="A291" t="inlineStr">
        <is>
          <t>A 32031-2023</t>
        </is>
      </c>
      <c r="B291" s="1" t="n">
        <v>45107</v>
      </c>
      <c r="C291" s="1" t="n">
        <v>45892</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9108-2024</t>
        </is>
      </c>
      <c r="B292" s="1" t="n">
        <v>45357.96072916667</v>
      </c>
      <c r="C292" s="1" t="n">
        <v>45892</v>
      </c>
      <c r="D292" t="inlineStr">
        <is>
          <t>DALARNAS LÄN</t>
        </is>
      </c>
      <c r="E292" t="inlineStr">
        <is>
          <t>ÄLVDALEN</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17051-2023</t>
        </is>
      </c>
      <c r="B293" s="1" t="n">
        <v>45034</v>
      </c>
      <c r="C293" s="1" t="n">
        <v>45892</v>
      </c>
      <c r="D293" t="inlineStr">
        <is>
          <t>DALARNAS LÄN</t>
        </is>
      </c>
      <c r="E293" t="inlineStr">
        <is>
          <t>ÄLVDALEN</t>
        </is>
      </c>
      <c r="G293" t="n">
        <v>4.2</v>
      </c>
      <c r="H293" t="n">
        <v>0</v>
      </c>
      <c r="I293" t="n">
        <v>0</v>
      </c>
      <c r="J293" t="n">
        <v>0</v>
      </c>
      <c r="K293" t="n">
        <v>0</v>
      </c>
      <c r="L293" t="n">
        <v>0</v>
      </c>
      <c r="M293" t="n">
        <v>0</v>
      </c>
      <c r="N293" t="n">
        <v>0</v>
      </c>
      <c r="O293" t="n">
        <v>0</v>
      </c>
      <c r="P293" t="n">
        <v>0</v>
      </c>
      <c r="Q293" t="n">
        <v>0</v>
      </c>
      <c r="R293" s="2" t="inlineStr"/>
    </row>
    <row r="294" ht="15" customHeight="1">
      <c r="A294" t="inlineStr">
        <is>
          <t>A 48849-2022</t>
        </is>
      </c>
      <c r="B294" s="1" t="n">
        <v>44859</v>
      </c>
      <c r="C294" s="1" t="n">
        <v>45892</v>
      </c>
      <c r="D294" t="inlineStr">
        <is>
          <t>DALARNAS LÄN</t>
        </is>
      </c>
      <c r="E294" t="inlineStr">
        <is>
          <t>ÄLVDALEN</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30411-2024</t>
        </is>
      </c>
      <c r="B295" s="1" t="n">
        <v>45491.62447916667</v>
      </c>
      <c r="C295" s="1" t="n">
        <v>45892</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37730-2023</t>
        </is>
      </c>
      <c r="B296" s="1" t="n">
        <v>45159</v>
      </c>
      <c r="C296" s="1" t="n">
        <v>45892</v>
      </c>
      <c r="D296" t="inlineStr">
        <is>
          <t>DALARNAS LÄN</t>
        </is>
      </c>
      <c r="E296" t="inlineStr">
        <is>
          <t>ÄLVDALEN</t>
        </is>
      </c>
      <c r="G296" t="n">
        <v>5.4</v>
      </c>
      <c r="H296" t="n">
        <v>0</v>
      </c>
      <c r="I296" t="n">
        <v>0</v>
      </c>
      <c r="J296" t="n">
        <v>0</v>
      </c>
      <c r="K296" t="n">
        <v>0</v>
      </c>
      <c r="L296" t="n">
        <v>0</v>
      </c>
      <c r="M296" t="n">
        <v>0</v>
      </c>
      <c r="N296" t="n">
        <v>0</v>
      </c>
      <c r="O296" t="n">
        <v>0</v>
      </c>
      <c r="P296" t="n">
        <v>0</v>
      </c>
      <c r="Q296" t="n">
        <v>0</v>
      </c>
      <c r="R296" s="2" t="inlineStr"/>
    </row>
    <row r="297" ht="15" customHeight="1">
      <c r="A297" t="inlineStr">
        <is>
          <t>A 32359-2024</t>
        </is>
      </c>
      <c r="B297" s="1" t="n">
        <v>45512.56623842593</v>
      </c>
      <c r="C297" s="1" t="n">
        <v>45892</v>
      </c>
      <c r="D297" t="inlineStr">
        <is>
          <t>DALARNAS LÄN</t>
        </is>
      </c>
      <c r="E297" t="inlineStr">
        <is>
          <t>ÄLVDALEN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57817-2023</t>
        </is>
      </c>
      <c r="B298" s="1" t="n">
        <v>45247</v>
      </c>
      <c r="C298" s="1" t="n">
        <v>45892</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7576-2024</t>
        </is>
      </c>
      <c r="B299" s="1" t="n">
        <v>45348.47555555555</v>
      </c>
      <c r="C299" s="1" t="n">
        <v>45892</v>
      </c>
      <c r="D299" t="inlineStr">
        <is>
          <t>DALARNAS LÄN</t>
        </is>
      </c>
      <c r="E299" t="inlineStr">
        <is>
          <t>ÄLVDALEN</t>
        </is>
      </c>
      <c r="G299" t="n">
        <v>11.1</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45892</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15760-2024</t>
        </is>
      </c>
      <c r="B301" s="1" t="n">
        <v>45404</v>
      </c>
      <c r="C301" s="1" t="n">
        <v>45892</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2381-2024</t>
        </is>
      </c>
      <c r="B302" s="1" t="n">
        <v>45310.64228009259</v>
      </c>
      <c r="C302" s="1" t="n">
        <v>45892</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39227-2024</t>
        </is>
      </c>
      <c r="B303" s="1" t="n">
        <v>45550.50548611111</v>
      </c>
      <c r="C303" s="1" t="n">
        <v>45892</v>
      </c>
      <c r="D303" t="inlineStr">
        <is>
          <t>DALARNAS LÄN</t>
        </is>
      </c>
      <c r="E303" t="inlineStr">
        <is>
          <t>ÄLVDALEN</t>
        </is>
      </c>
      <c r="G303" t="n">
        <v>0.2</v>
      </c>
      <c r="H303" t="n">
        <v>0</v>
      </c>
      <c r="I303" t="n">
        <v>0</v>
      </c>
      <c r="J303" t="n">
        <v>0</v>
      </c>
      <c r="K303" t="n">
        <v>0</v>
      </c>
      <c r="L303" t="n">
        <v>0</v>
      </c>
      <c r="M303" t="n">
        <v>0</v>
      </c>
      <c r="N303" t="n">
        <v>0</v>
      </c>
      <c r="O303" t="n">
        <v>0</v>
      </c>
      <c r="P303" t="n">
        <v>0</v>
      </c>
      <c r="Q303" t="n">
        <v>0</v>
      </c>
      <c r="R303" s="2" t="inlineStr"/>
    </row>
    <row r="304" ht="15" customHeight="1">
      <c r="A304" t="inlineStr">
        <is>
          <t>A 60642-2021</t>
        </is>
      </c>
      <c r="B304" s="1" t="n">
        <v>44496.61677083333</v>
      </c>
      <c r="C304" s="1" t="n">
        <v>45892</v>
      </c>
      <c r="D304" t="inlineStr">
        <is>
          <t>DALARNAS LÄN</t>
        </is>
      </c>
      <c r="E304" t="inlineStr">
        <is>
          <t>ÄLVDALEN</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54076-2024</t>
        </is>
      </c>
      <c r="B305" s="1" t="n">
        <v>45616</v>
      </c>
      <c r="C305" s="1" t="n">
        <v>45892</v>
      </c>
      <c r="D305" t="inlineStr">
        <is>
          <t>DALARNAS LÄN</t>
        </is>
      </c>
      <c r="E305" t="inlineStr">
        <is>
          <t>ÄLVDALEN</t>
        </is>
      </c>
      <c r="G305" t="n">
        <v>1.7</v>
      </c>
      <c r="H305" t="n">
        <v>0</v>
      </c>
      <c r="I305" t="n">
        <v>0</v>
      </c>
      <c r="J305" t="n">
        <v>0</v>
      </c>
      <c r="K305" t="n">
        <v>0</v>
      </c>
      <c r="L305" t="n">
        <v>0</v>
      </c>
      <c r="M305" t="n">
        <v>0</v>
      </c>
      <c r="N305" t="n">
        <v>0</v>
      </c>
      <c r="O305" t="n">
        <v>0</v>
      </c>
      <c r="P305" t="n">
        <v>0</v>
      </c>
      <c r="Q305" t="n">
        <v>0</v>
      </c>
      <c r="R305" s="2" t="inlineStr"/>
    </row>
    <row r="306" ht="15" customHeight="1">
      <c r="A306" t="inlineStr">
        <is>
          <t>A 52167-2024</t>
        </is>
      </c>
      <c r="B306" s="1" t="n">
        <v>45608.53949074074</v>
      </c>
      <c r="C306" s="1" t="n">
        <v>45892</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68383-2021</t>
        </is>
      </c>
      <c r="B307" s="1" t="n">
        <v>44529</v>
      </c>
      <c r="C307" s="1" t="n">
        <v>45892</v>
      </c>
      <c r="D307" t="inlineStr">
        <is>
          <t>DALARNAS LÄN</t>
        </is>
      </c>
      <c r="E307" t="inlineStr">
        <is>
          <t>ÄLVDALEN</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20924-2025</t>
        </is>
      </c>
      <c r="B308" s="1" t="n">
        <v>45777</v>
      </c>
      <c r="C308" s="1" t="n">
        <v>45892</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45892</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45122-2023</t>
        </is>
      </c>
      <c r="B310" s="1" t="n">
        <v>45191.44871527778</v>
      </c>
      <c r="C310" s="1" t="n">
        <v>45892</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28473-2024</t>
        </is>
      </c>
      <c r="B311" s="1" t="n">
        <v>45477.73017361111</v>
      </c>
      <c r="C311" s="1" t="n">
        <v>45892</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28479-2024</t>
        </is>
      </c>
      <c r="B312" s="1" t="n">
        <v>45477.74017361111</v>
      </c>
      <c r="C312" s="1" t="n">
        <v>45892</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713-2022</t>
        </is>
      </c>
      <c r="B313" s="1" t="n">
        <v>44568</v>
      </c>
      <c r="C313" s="1" t="n">
        <v>45892</v>
      </c>
      <c r="D313" t="inlineStr">
        <is>
          <t>DALARNAS LÄN</t>
        </is>
      </c>
      <c r="E313" t="inlineStr">
        <is>
          <t>ÄLVDALEN</t>
        </is>
      </c>
      <c r="G313" t="n">
        <v>1.6</v>
      </c>
      <c r="H313" t="n">
        <v>0</v>
      </c>
      <c r="I313" t="n">
        <v>0</v>
      </c>
      <c r="J313" t="n">
        <v>0</v>
      </c>
      <c r="K313" t="n">
        <v>0</v>
      </c>
      <c r="L313" t="n">
        <v>0</v>
      </c>
      <c r="M313" t="n">
        <v>0</v>
      </c>
      <c r="N313" t="n">
        <v>0</v>
      </c>
      <c r="O313" t="n">
        <v>0</v>
      </c>
      <c r="P313" t="n">
        <v>0</v>
      </c>
      <c r="Q313" t="n">
        <v>0</v>
      </c>
      <c r="R313" s="2" t="inlineStr"/>
    </row>
    <row r="314" ht="15" customHeight="1">
      <c r="A314" t="inlineStr">
        <is>
          <t>A 21395-2025</t>
        </is>
      </c>
      <c r="B314" s="1" t="n">
        <v>45782.48197916667</v>
      </c>
      <c r="C314" s="1" t="n">
        <v>45892</v>
      </c>
      <c r="D314" t="inlineStr">
        <is>
          <t>DALARNAS LÄN</t>
        </is>
      </c>
      <c r="E314" t="inlineStr">
        <is>
          <t>ÄLVDALEN</t>
        </is>
      </c>
      <c r="G314" t="n">
        <v>6.4</v>
      </c>
      <c r="H314" t="n">
        <v>0</v>
      </c>
      <c r="I314" t="n">
        <v>0</v>
      </c>
      <c r="J314" t="n">
        <v>0</v>
      </c>
      <c r="K314" t="n">
        <v>0</v>
      </c>
      <c r="L314" t="n">
        <v>0</v>
      </c>
      <c r="M314" t="n">
        <v>0</v>
      </c>
      <c r="N314" t="n">
        <v>0</v>
      </c>
      <c r="O314" t="n">
        <v>0</v>
      </c>
      <c r="P314" t="n">
        <v>0</v>
      </c>
      <c r="Q314" t="n">
        <v>0</v>
      </c>
      <c r="R314" s="2" t="inlineStr"/>
    </row>
    <row r="315" ht="15" customHeight="1">
      <c r="A315" t="inlineStr">
        <is>
          <t>A 23553-2025</t>
        </is>
      </c>
      <c r="B315" s="1" t="n">
        <v>45792</v>
      </c>
      <c r="C315" s="1" t="n">
        <v>45892</v>
      </c>
      <c r="D315" t="inlineStr">
        <is>
          <t>DALARNAS LÄN</t>
        </is>
      </c>
      <c r="E315" t="inlineStr">
        <is>
          <t>ÄLVDALEN</t>
        </is>
      </c>
      <c r="G315" t="n">
        <v>46.2</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45892</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21613-2025</t>
        </is>
      </c>
      <c r="B317" s="1" t="n">
        <v>45783.39542824074</v>
      </c>
      <c r="C317" s="1" t="n">
        <v>45892</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21629-2025</t>
        </is>
      </c>
      <c r="B318" s="1" t="n">
        <v>45783.4247337963</v>
      </c>
      <c r="C318" s="1" t="n">
        <v>45892</v>
      </c>
      <c r="D318" t="inlineStr">
        <is>
          <t>DALARNAS LÄN</t>
        </is>
      </c>
      <c r="E318" t="inlineStr">
        <is>
          <t>ÄLVDALEN</t>
        </is>
      </c>
      <c r="G318" t="n">
        <v>1.8</v>
      </c>
      <c r="H318" t="n">
        <v>0</v>
      </c>
      <c r="I318" t="n">
        <v>0</v>
      </c>
      <c r="J318" t="n">
        <v>0</v>
      </c>
      <c r="K318" t="n">
        <v>0</v>
      </c>
      <c r="L318" t="n">
        <v>0</v>
      </c>
      <c r="M318" t="n">
        <v>0</v>
      </c>
      <c r="N318" t="n">
        <v>0</v>
      </c>
      <c r="O318" t="n">
        <v>0</v>
      </c>
      <c r="P318" t="n">
        <v>0</v>
      </c>
      <c r="Q318" t="n">
        <v>0</v>
      </c>
      <c r="R318" s="2" t="inlineStr"/>
    </row>
    <row r="319" ht="15" customHeight="1">
      <c r="A319" t="inlineStr">
        <is>
          <t>A 49203-2023</t>
        </is>
      </c>
      <c r="B319" s="1" t="n">
        <v>45210</v>
      </c>
      <c r="C319" s="1" t="n">
        <v>45892</v>
      </c>
      <c r="D319" t="inlineStr">
        <is>
          <t>DALARNAS LÄN</t>
        </is>
      </c>
      <c r="E319" t="inlineStr">
        <is>
          <t>ÄLVDALEN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37061-2024</t>
        </is>
      </c>
      <c r="B320" s="1" t="n">
        <v>45539</v>
      </c>
      <c r="C320" s="1" t="n">
        <v>45892</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22189-2025</t>
        </is>
      </c>
      <c r="B321" s="1" t="n">
        <v>45785.62479166667</v>
      </c>
      <c r="C321" s="1" t="n">
        <v>45892</v>
      </c>
      <c r="D321" t="inlineStr">
        <is>
          <t>DALARNAS LÄN</t>
        </is>
      </c>
      <c r="E321" t="inlineStr">
        <is>
          <t>ÄLVDALEN</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19708-2024</t>
        </is>
      </c>
      <c r="B322" s="1" t="n">
        <v>45432.55324074074</v>
      </c>
      <c r="C322" s="1" t="n">
        <v>45892</v>
      </c>
      <c r="D322" t="inlineStr">
        <is>
          <t>DALARNAS LÄN</t>
        </is>
      </c>
      <c r="E322" t="inlineStr">
        <is>
          <t>ÄLVDALEN</t>
        </is>
      </c>
      <c r="G322" t="n">
        <v>12.4</v>
      </c>
      <c r="H322" t="n">
        <v>0</v>
      </c>
      <c r="I322" t="n">
        <v>0</v>
      </c>
      <c r="J322" t="n">
        <v>0</v>
      </c>
      <c r="K322" t="n">
        <v>0</v>
      </c>
      <c r="L322" t="n">
        <v>0</v>
      </c>
      <c r="M322" t="n">
        <v>0</v>
      </c>
      <c r="N322" t="n">
        <v>0</v>
      </c>
      <c r="O322" t="n">
        <v>0</v>
      </c>
      <c r="P322" t="n">
        <v>0</v>
      </c>
      <c r="Q322" t="n">
        <v>0</v>
      </c>
      <c r="R322" s="2" t="inlineStr"/>
    </row>
    <row r="323" ht="15" customHeight="1">
      <c r="A323" t="inlineStr">
        <is>
          <t>A 28239-2024</t>
        </is>
      </c>
      <c r="B323" s="1" t="n">
        <v>45468</v>
      </c>
      <c r="C323" s="1" t="n">
        <v>45892</v>
      </c>
      <c r="D323" t="inlineStr">
        <is>
          <t>DALARNAS LÄN</t>
        </is>
      </c>
      <c r="E323" t="inlineStr">
        <is>
          <t>ÄLVDALEN</t>
        </is>
      </c>
      <c r="G323" t="n">
        <v>4</v>
      </c>
      <c r="H323" t="n">
        <v>0</v>
      </c>
      <c r="I323" t="n">
        <v>0</v>
      </c>
      <c r="J323" t="n">
        <v>0</v>
      </c>
      <c r="K323" t="n">
        <v>0</v>
      </c>
      <c r="L323" t="n">
        <v>0</v>
      </c>
      <c r="M323" t="n">
        <v>0</v>
      </c>
      <c r="N323" t="n">
        <v>0</v>
      </c>
      <c r="O323" t="n">
        <v>0</v>
      </c>
      <c r="P323" t="n">
        <v>0</v>
      </c>
      <c r="Q323" t="n">
        <v>0</v>
      </c>
      <c r="R323" s="2" t="inlineStr"/>
    </row>
    <row r="324" ht="15" customHeight="1">
      <c r="A324" t="inlineStr">
        <is>
          <t>A 30727-2024</t>
        </is>
      </c>
      <c r="B324" s="1" t="n">
        <v>45496.55789351852</v>
      </c>
      <c r="C324" s="1" t="n">
        <v>45892</v>
      </c>
      <c r="D324" t="inlineStr">
        <is>
          <t>DALARNAS LÄN</t>
        </is>
      </c>
      <c r="E324" t="inlineStr">
        <is>
          <t>ÄLVDALEN</t>
        </is>
      </c>
      <c r="F324" t="inlineStr">
        <is>
          <t>Allmännings- och besparingsskogar</t>
        </is>
      </c>
      <c r="G324" t="n">
        <v>35.7</v>
      </c>
      <c r="H324" t="n">
        <v>0</v>
      </c>
      <c r="I324" t="n">
        <v>0</v>
      </c>
      <c r="J324" t="n">
        <v>0</v>
      </c>
      <c r="K324" t="n">
        <v>0</v>
      </c>
      <c r="L324" t="n">
        <v>0</v>
      </c>
      <c r="M324" t="n">
        <v>0</v>
      </c>
      <c r="N324" t="n">
        <v>0</v>
      </c>
      <c r="O324" t="n">
        <v>0</v>
      </c>
      <c r="P324" t="n">
        <v>0</v>
      </c>
      <c r="Q324" t="n">
        <v>0</v>
      </c>
      <c r="R324" s="2" t="inlineStr"/>
    </row>
    <row r="325" ht="15" customHeight="1">
      <c r="A325" t="inlineStr">
        <is>
          <t>A 39010-2024</t>
        </is>
      </c>
      <c r="B325" s="1" t="n">
        <v>45548</v>
      </c>
      <c r="C325" s="1" t="n">
        <v>45892</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74322-2021</t>
        </is>
      </c>
      <c r="B326" s="1" t="n">
        <v>44558</v>
      </c>
      <c r="C326" s="1" t="n">
        <v>45892</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60265-2021</t>
        </is>
      </c>
      <c r="B327" s="1" t="n">
        <v>44495.68053240741</v>
      </c>
      <c r="C327" s="1" t="n">
        <v>45892</v>
      </c>
      <c r="D327" t="inlineStr">
        <is>
          <t>DALARNAS LÄN</t>
        </is>
      </c>
      <c r="E327" t="inlineStr">
        <is>
          <t>ÄLVDALEN</t>
        </is>
      </c>
      <c r="F327" t="inlineStr">
        <is>
          <t>Allmännings- och besparingsskogar</t>
        </is>
      </c>
      <c r="G327" t="n">
        <v>10</v>
      </c>
      <c r="H327" t="n">
        <v>0</v>
      </c>
      <c r="I327" t="n">
        <v>0</v>
      </c>
      <c r="J327" t="n">
        <v>0</v>
      </c>
      <c r="K327" t="n">
        <v>0</v>
      </c>
      <c r="L327" t="n">
        <v>0</v>
      </c>
      <c r="M327" t="n">
        <v>0</v>
      </c>
      <c r="N327" t="n">
        <v>0</v>
      </c>
      <c r="O327" t="n">
        <v>0</v>
      </c>
      <c r="P327" t="n">
        <v>0</v>
      </c>
      <c r="Q327" t="n">
        <v>0</v>
      </c>
      <c r="R327" s="2" t="inlineStr"/>
    </row>
    <row r="328" ht="15" customHeight="1">
      <c r="A328" t="inlineStr">
        <is>
          <t>A 59444-2024</t>
        </is>
      </c>
      <c r="B328" s="1" t="n">
        <v>45638.45292824074</v>
      </c>
      <c r="C328" s="1" t="n">
        <v>45892</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48552-2024</t>
        </is>
      </c>
      <c r="B329" s="1" t="n">
        <v>45593.37266203704</v>
      </c>
      <c r="C329" s="1" t="n">
        <v>45892</v>
      </c>
      <c r="D329" t="inlineStr">
        <is>
          <t>DALARNAS LÄN</t>
        </is>
      </c>
      <c r="E329" t="inlineStr">
        <is>
          <t>ÄLVDALEN</t>
        </is>
      </c>
      <c r="G329" t="n">
        <v>4.1</v>
      </c>
      <c r="H329" t="n">
        <v>0</v>
      </c>
      <c r="I329" t="n">
        <v>0</v>
      </c>
      <c r="J329" t="n">
        <v>0</v>
      </c>
      <c r="K329" t="n">
        <v>0</v>
      </c>
      <c r="L329" t="n">
        <v>0</v>
      </c>
      <c r="M329" t="n">
        <v>0</v>
      </c>
      <c r="N329" t="n">
        <v>0</v>
      </c>
      <c r="O329" t="n">
        <v>0</v>
      </c>
      <c r="P329" t="n">
        <v>0</v>
      </c>
      <c r="Q329" t="n">
        <v>0</v>
      </c>
      <c r="R329" s="2" t="inlineStr"/>
    </row>
    <row r="330" ht="15" customHeight="1">
      <c r="A330" t="inlineStr">
        <is>
          <t>A 21469-2024</t>
        </is>
      </c>
      <c r="B330" s="1" t="n">
        <v>45441.486875</v>
      </c>
      <c r="C330" s="1" t="n">
        <v>45892</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14089-2022</t>
        </is>
      </c>
      <c r="B331" s="1" t="n">
        <v>44651</v>
      </c>
      <c r="C331" s="1" t="n">
        <v>45892</v>
      </c>
      <c r="D331" t="inlineStr">
        <is>
          <t>DALARNAS LÄN</t>
        </is>
      </c>
      <c r="E331" t="inlineStr">
        <is>
          <t>ÄLVDALEN</t>
        </is>
      </c>
      <c r="F331" t="inlineStr">
        <is>
          <t>Kommuner</t>
        </is>
      </c>
      <c r="G331" t="n">
        <v>2.1</v>
      </c>
      <c r="H331" t="n">
        <v>0</v>
      </c>
      <c r="I331" t="n">
        <v>0</v>
      </c>
      <c r="J331" t="n">
        <v>0</v>
      </c>
      <c r="K331" t="n">
        <v>0</v>
      </c>
      <c r="L331" t="n">
        <v>0</v>
      </c>
      <c r="M331" t="n">
        <v>0</v>
      </c>
      <c r="N331" t="n">
        <v>0</v>
      </c>
      <c r="O331" t="n">
        <v>0</v>
      </c>
      <c r="P331" t="n">
        <v>0</v>
      </c>
      <c r="Q331" t="n">
        <v>0</v>
      </c>
      <c r="R331" s="2" t="inlineStr"/>
    </row>
    <row r="332" ht="15" customHeight="1">
      <c r="A332" t="inlineStr">
        <is>
          <t>A 32594-2023</t>
        </is>
      </c>
      <c r="B332" s="1" t="n">
        <v>45121.50986111111</v>
      </c>
      <c r="C332" s="1" t="n">
        <v>45892</v>
      </c>
      <c r="D332" t="inlineStr">
        <is>
          <t>DALARNAS LÄN</t>
        </is>
      </c>
      <c r="E332" t="inlineStr">
        <is>
          <t>ÄLVDALEN</t>
        </is>
      </c>
      <c r="G332" t="n">
        <v>4</v>
      </c>
      <c r="H332" t="n">
        <v>0</v>
      </c>
      <c r="I332" t="n">
        <v>0</v>
      </c>
      <c r="J332" t="n">
        <v>0</v>
      </c>
      <c r="K332" t="n">
        <v>0</v>
      </c>
      <c r="L332" t="n">
        <v>0</v>
      </c>
      <c r="M332" t="n">
        <v>0</v>
      </c>
      <c r="N332" t="n">
        <v>0</v>
      </c>
      <c r="O332" t="n">
        <v>0</v>
      </c>
      <c r="P332" t="n">
        <v>0</v>
      </c>
      <c r="Q332" t="n">
        <v>0</v>
      </c>
      <c r="R332" s="2" t="inlineStr"/>
    </row>
    <row r="333" ht="15" customHeight="1">
      <c r="A333" t="inlineStr">
        <is>
          <t>A 7581-2024</t>
        </is>
      </c>
      <c r="B333" s="1" t="n">
        <v>45348.49204861111</v>
      </c>
      <c r="C333" s="1" t="n">
        <v>45892</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30147-2024</t>
        </is>
      </c>
      <c r="B334" s="1" t="n">
        <v>45488</v>
      </c>
      <c r="C334" s="1" t="n">
        <v>45892</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46011-2023</t>
        </is>
      </c>
      <c r="B335" s="1" t="n">
        <v>45196.38245370371</v>
      </c>
      <c r="C335" s="1" t="n">
        <v>45892</v>
      </c>
      <c r="D335" t="inlineStr">
        <is>
          <t>DALARNAS LÄN</t>
        </is>
      </c>
      <c r="E335" t="inlineStr">
        <is>
          <t>ÄLVDALEN</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22631-2025</t>
        </is>
      </c>
      <c r="B336" s="1" t="n">
        <v>45789.44056712963</v>
      </c>
      <c r="C336" s="1" t="n">
        <v>45892</v>
      </c>
      <c r="D336" t="inlineStr">
        <is>
          <t>DALARNAS LÄN</t>
        </is>
      </c>
      <c r="E336" t="inlineStr">
        <is>
          <t>ÄLVDALEN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23999-2024</t>
        </is>
      </c>
      <c r="B337" s="1" t="n">
        <v>45456.37555555555</v>
      </c>
      <c r="C337" s="1" t="n">
        <v>45892</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24002-2024</t>
        </is>
      </c>
      <c r="B338" s="1" t="n">
        <v>45456.3827662037</v>
      </c>
      <c r="C338" s="1" t="n">
        <v>45892</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22559-2025</t>
        </is>
      </c>
      <c r="B339" s="1" t="n">
        <v>45789.32916666667</v>
      </c>
      <c r="C339" s="1" t="n">
        <v>45892</v>
      </c>
      <c r="D339" t="inlineStr">
        <is>
          <t>DALARNAS LÄN</t>
        </is>
      </c>
      <c r="E339" t="inlineStr">
        <is>
          <t>ÄLVDALEN</t>
        </is>
      </c>
      <c r="F339" t="inlineStr">
        <is>
          <t>Allmännings- och besparingsskogar</t>
        </is>
      </c>
      <c r="G339" t="n">
        <v>6.4</v>
      </c>
      <c r="H339" t="n">
        <v>0</v>
      </c>
      <c r="I339" t="n">
        <v>0</v>
      </c>
      <c r="J339" t="n">
        <v>0</v>
      </c>
      <c r="K339" t="n">
        <v>0</v>
      </c>
      <c r="L339" t="n">
        <v>0</v>
      </c>
      <c r="M339" t="n">
        <v>0</v>
      </c>
      <c r="N339" t="n">
        <v>0</v>
      </c>
      <c r="O339" t="n">
        <v>0</v>
      </c>
      <c r="P339" t="n">
        <v>0</v>
      </c>
      <c r="Q339" t="n">
        <v>0</v>
      </c>
      <c r="R339" s="2" t="inlineStr"/>
    </row>
    <row r="340" ht="15" customHeight="1">
      <c r="A340" t="inlineStr">
        <is>
          <t>A 4380-2024</t>
        </is>
      </c>
      <c r="B340" s="1" t="n">
        <v>45327</v>
      </c>
      <c r="C340" s="1" t="n">
        <v>45892</v>
      </c>
      <c r="D340" t="inlineStr">
        <is>
          <t>DALARNAS LÄN</t>
        </is>
      </c>
      <c r="E340" t="inlineStr">
        <is>
          <t>ÄLVDALEN</t>
        </is>
      </c>
      <c r="G340" t="n">
        <v>6.3</v>
      </c>
      <c r="H340" t="n">
        <v>0</v>
      </c>
      <c r="I340" t="n">
        <v>0</v>
      </c>
      <c r="J340" t="n">
        <v>0</v>
      </c>
      <c r="K340" t="n">
        <v>0</v>
      </c>
      <c r="L340" t="n">
        <v>0</v>
      </c>
      <c r="M340" t="n">
        <v>0</v>
      </c>
      <c r="N340" t="n">
        <v>0</v>
      </c>
      <c r="O340" t="n">
        <v>0</v>
      </c>
      <c r="P340" t="n">
        <v>0</v>
      </c>
      <c r="Q340" t="n">
        <v>0</v>
      </c>
      <c r="R340" s="2" t="inlineStr"/>
    </row>
    <row r="341" ht="15" customHeight="1">
      <c r="A341" t="inlineStr">
        <is>
          <t>A 46559-2023</t>
        </is>
      </c>
      <c r="B341" s="1" t="n">
        <v>45187</v>
      </c>
      <c r="C341" s="1" t="n">
        <v>45892</v>
      </c>
      <c r="D341" t="inlineStr">
        <is>
          <t>DALARNAS LÄN</t>
        </is>
      </c>
      <c r="E341" t="inlineStr">
        <is>
          <t>ÄLVDALEN</t>
        </is>
      </c>
      <c r="G341" t="n">
        <v>9.6</v>
      </c>
      <c r="H341" t="n">
        <v>0</v>
      </c>
      <c r="I341" t="n">
        <v>0</v>
      </c>
      <c r="J341" t="n">
        <v>0</v>
      </c>
      <c r="K341" t="n">
        <v>0</v>
      </c>
      <c r="L341" t="n">
        <v>0</v>
      </c>
      <c r="M341" t="n">
        <v>0</v>
      </c>
      <c r="N341" t="n">
        <v>0</v>
      </c>
      <c r="O341" t="n">
        <v>0</v>
      </c>
      <c r="P341" t="n">
        <v>0</v>
      </c>
      <c r="Q341" t="n">
        <v>0</v>
      </c>
      <c r="R341" s="2" t="inlineStr"/>
    </row>
    <row r="342" ht="15" customHeight="1">
      <c r="A342" t="inlineStr">
        <is>
          <t>A 30225-2023</t>
        </is>
      </c>
      <c r="B342" s="1" t="n">
        <v>45110.64971064815</v>
      </c>
      <c r="C342" s="1" t="n">
        <v>45892</v>
      </c>
      <c r="D342" t="inlineStr">
        <is>
          <t>DALARNAS LÄN</t>
        </is>
      </c>
      <c r="E342" t="inlineStr">
        <is>
          <t>ÄLVDALEN</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19553-2025</t>
        </is>
      </c>
      <c r="B343" s="1" t="n">
        <v>45770</v>
      </c>
      <c r="C343" s="1" t="n">
        <v>45892</v>
      </c>
      <c r="D343" t="inlineStr">
        <is>
          <t>DALARNAS LÄN</t>
        </is>
      </c>
      <c r="E343" t="inlineStr">
        <is>
          <t>ÄLVDALEN</t>
        </is>
      </c>
      <c r="F343" t="inlineStr">
        <is>
          <t>Sveaskog</t>
        </is>
      </c>
      <c r="G343" t="n">
        <v>25.2</v>
      </c>
      <c r="H343" t="n">
        <v>0</v>
      </c>
      <c r="I343" t="n">
        <v>0</v>
      </c>
      <c r="J343" t="n">
        <v>0</v>
      </c>
      <c r="K343" t="n">
        <v>0</v>
      </c>
      <c r="L343" t="n">
        <v>0</v>
      </c>
      <c r="M343" t="n">
        <v>0</v>
      </c>
      <c r="N343" t="n">
        <v>0</v>
      </c>
      <c r="O343" t="n">
        <v>0</v>
      </c>
      <c r="P343" t="n">
        <v>0</v>
      </c>
      <c r="Q343" t="n">
        <v>0</v>
      </c>
      <c r="R343" s="2" t="inlineStr"/>
    </row>
    <row r="344" ht="15" customHeight="1">
      <c r="A344" t="inlineStr">
        <is>
          <t>A 22279-2025</t>
        </is>
      </c>
      <c r="B344" s="1" t="n">
        <v>45786.33336805556</v>
      </c>
      <c r="C344" s="1" t="n">
        <v>45892</v>
      </c>
      <c r="D344" t="inlineStr">
        <is>
          <t>DALARNAS LÄN</t>
        </is>
      </c>
      <c r="E344" t="inlineStr">
        <is>
          <t>ÄLVDALEN</t>
        </is>
      </c>
      <c r="F344" t="inlineStr">
        <is>
          <t>Allmännings- och besparingsskogar</t>
        </is>
      </c>
      <c r="G344" t="n">
        <v>11.2</v>
      </c>
      <c r="H344" t="n">
        <v>0</v>
      </c>
      <c r="I344" t="n">
        <v>0</v>
      </c>
      <c r="J344" t="n">
        <v>0</v>
      </c>
      <c r="K344" t="n">
        <v>0</v>
      </c>
      <c r="L344" t="n">
        <v>0</v>
      </c>
      <c r="M344" t="n">
        <v>0</v>
      </c>
      <c r="N344" t="n">
        <v>0</v>
      </c>
      <c r="O344" t="n">
        <v>0</v>
      </c>
      <c r="P344" t="n">
        <v>0</v>
      </c>
      <c r="Q344" t="n">
        <v>0</v>
      </c>
      <c r="R344" s="2" t="inlineStr"/>
    </row>
    <row r="345" ht="15" customHeight="1">
      <c r="A345" t="inlineStr">
        <is>
          <t>A 443-2025</t>
        </is>
      </c>
      <c r="B345" s="1" t="n">
        <v>45664.39349537037</v>
      </c>
      <c r="C345" s="1" t="n">
        <v>45892</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22577-2025</t>
        </is>
      </c>
      <c r="B346" s="1" t="n">
        <v>45789.36928240741</v>
      </c>
      <c r="C346" s="1" t="n">
        <v>45892</v>
      </c>
      <c r="D346" t="inlineStr">
        <is>
          <t>DALARNAS LÄN</t>
        </is>
      </c>
      <c r="E346" t="inlineStr">
        <is>
          <t>ÄLVDALEN</t>
        </is>
      </c>
      <c r="F346" t="inlineStr">
        <is>
          <t>Allmännings- och besparingsskogar</t>
        </is>
      </c>
      <c r="G346" t="n">
        <v>18.1</v>
      </c>
      <c r="H346" t="n">
        <v>0</v>
      </c>
      <c r="I346" t="n">
        <v>0</v>
      </c>
      <c r="J346" t="n">
        <v>0</v>
      </c>
      <c r="K346" t="n">
        <v>0</v>
      </c>
      <c r="L346" t="n">
        <v>0</v>
      </c>
      <c r="M346" t="n">
        <v>0</v>
      </c>
      <c r="N346" t="n">
        <v>0</v>
      </c>
      <c r="O346" t="n">
        <v>0</v>
      </c>
      <c r="P346" t="n">
        <v>0</v>
      </c>
      <c r="Q346" t="n">
        <v>0</v>
      </c>
      <c r="R346" s="2" t="inlineStr"/>
    </row>
    <row r="347" ht="15" customHeight="1">
      <c r="A347" t="inlineStr">
        <is>
          <t>A 22303-2025</t>
        </is>
      </c>
      <c r="B347" s="1" t="n">
        <v>45786</v>
      </c>
      <c r="C347" s="1" t="n">
        <v>45892</v>
      </c>
      <c r="D347" t="inlineStr">
        <is>
          <t>DALARNAS LÄN</t>
        </is>
      </c>
      <c r="E347" t="inlineStr">
        <is>
          <t>ÄLVDALEN</t>
        </is>
      </c>
      <c r="G347" t="n">
        <v>3.7</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45892</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47087-2024</t>
        </is>
      </c>
      <c r="B349" s="1" t="n">
        <v>45586.50946759259</v>
      </c>
      <c r="C349" s="1" t="n">
        <v>45892</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38277-2024</t>
        </is>
      </c>
      <c r="B350" s="1" t="n">
        <v>45545.61171296296</v>
      </c>
      <c r="C350" s="1" t="n">
        <v>45892</v>
      </c>
      <c r="D350" t="inlineStr">
        <is>
          <t>DALARNAS LÄN</t>
        </is>
      </c>
      <c r="E350" t="inlineStr">
        <is>
          <t>ÄLVDALEN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14489-2025</t>
        </is>
      </c>
      <c r="B351" s="1" t="n">
        <v>45741.60680555556</v>
      </c>
      <c r="C351" s="1" t="n">
        <v>45892</v>
      </c>
      <c r="D351" t="inlineStr">
        <is>
          <t>DALARNAS LÄN</t>
        </is>
      </c>
      <c r="E351" t="inlineStr">
        <is>
          <t>ÄLVDALEN</t>
        </is>
      </c>
      <c r="G351" t="n">
        <v>7.9</v>
      </c>
      <c r="H351" t="n">
        <v>0</v>
      </c>
      <c r="I351" t="n">
        <v>0</v>
      </c>
      <c r="J351" t="n">
        <v>0</v>
      </c>
      <c r="K351" t="n">
        <v>0</v>
      </c>
      <c r="L351" t="n">
        <v>0</v>
      </c>
      <c r="M351" t="n">
        <v>0</v>
      </c>
      <c r="N351" t="n">
        <v>0</v>
      </c>
      <c r="O351" t="n">
        <v>0</v>
      </c>
      <c r="P351" t="n">
        <v>0</v>
      </c>
      <c r="Q351" t="n">
        <v>0</v>
      </c>
      <c r="R351" s="2" t="inlineStr"/>
    </row>
    <row r="352" ht="15" customHeight="1">
      <c r="A352" t="inlineStr">
        <is>
          <t>A 5883-2024</t>
        </is>
      </c>
      <c r="B352" s="1" t="n">
        <v>45335.69585648148</v>
      </c>
      <c r="C352" s="1" t="n">
        <v>45892</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51967-2023</t>
        </is>
      </c>
      <c r="B353" s="1" t="n">
        <v>45223.56440972222</v>
      </c>
      <c r="C353" s="1" t="n">
        <v>45892</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22909-2025</t>
        </is>
      </c>
      <c r="B354" s="1" t="n">
        <v>45790.42219907408</v>
      </c>
      <c r="C354" s="1" t="n">
        <v>45892</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22847-2023</t>
        </is>
      </c>
      <c r="B355" s="1" t="n">
        <v>45072</v>
      </c>
      <c r="C355" s="1" t="n">
        <v>45892</v>
      </c>
      <c r="D355" t="inlineStr">
        <is>
          <t>DALARNAS LÄN</t>
        </is>
      </c>
      <c r="E355" t="inlineStr">
        <is>
          <t>ÄLVDALEN</t>
        </is>
      </c>
      <c r="F355" t="inlineStr">
        <is>
          <t>Bergvik skog väst AB</t>
        </is>
      </c>
      <c r="G355" t="n">
        <v>8.1</v>
      </c>
      <c r="H355" t="n">
        <v>0</v>
      </c>
      <c r="I355" t="n">
        <v>0</v>
      </c>
      <c r="J355" t="n">
        <v>0</v>
      </c>
      <c r="K355" t="n">
        <v>0</v>
      </c>
      <c r="L355" t="n">
        <v>0</v>
      </c>
      <c r="M355" t="n">
        <v>0</v>
      </c>
      <c r="N355" t="n">
        <v>0</v>
      </c>
      <c r="O355" t="n">
        <v>0</v>
      </c>
      <c r="P355" t="n">
        <v>0</v>
      </c>
      <c r="Q355" t="n">
        <v>0</v>
      </c>
      <c r="R355" s="2" t="inlineStr"/>
    </row>
    <row r="356" ht="15" customHeight="1">
      <c r="A356" t="inlineStr">
        <is>
          <t>A 59177-2023</t>
        </is>
      </c>
      <c r="B356" s="1" t="n">
        <v>45253</v>
      </c>
      <c r="C356" s="1" t="n">
        <v>45892</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23219-2025</t>
        </is>
      </c>
      <c r="B357" s="1" t="n">
        <v>45791.47893518519</v>
      </c>
      <c r="C357" s="1" t="n">
        <v>45892</v>
      </c>
      <c r="D357" t="inlineStr">
        <is>
          <t>DALARNAS LÄN</t>
        </is>
      </c>
      <c r="E357" t="inlineStr">
        <is>
          <t>ÄLVDALEN</t>
        </is>
      </c>
      <c r="F357" t="inlineStr">
        <is>
          <t>Bergvik skog öst AB</t>
        </is>
      </c>
      <c r="G357" t="n">
        <v>16.7</v>
      </c>
      <c r="H357" t="n">
        <v>0</v>
      </c>
      <c r="I357" t="n">
        <v>0</v>
      </c>
      <c r="J357" t="n">
        <v>0</v>
      </c>
      <c r="K357" t="n">
        <v>0</v>
      </c>
      <c r="L357" t="n">
        <v>0</v>
      </c>
      <c r="M357" t="n">
        <v>0</v>
      </c>
      <c r="N357" t="n">
        <v>0</v>
      </c>
      <c r="O357" t="n">
        <v>0</v>
      </c>
      <c r="P357" t="n">
        <v>0</v>
      </c>
      <c r="Q357" t="n">
        <v>0</v>
      </c>
      <c r="R357" s="2" t="inlineStr"/>
    </row>
    <row r="358" ht="15" customHeight="1">
      <c r="A358" t="inlineStr">
        <is>
          <t>A 35161-2023</t>
        </is>
      </c>
      <c r="B358" s="1" t="n">
        <v>45145.57525462963</v>
      </c>
      <c r="C358" s="1" t="n">
        <v>45892</v>
      </c>
      <c r="D358" t="inlineStr">
        <is>
          <t>DALARNAS LÄN</t>
        </is>
      </c>
      <c r="E358" t="inlineStr">
        <is>
          <t>ÄLVDALEN</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29710-2022</t>
        </is>
      </c>
      <c r="B359" s="1" t="n">
        <v>44755</v>
      </c>
      <c r="C359" s="1" t="n">
        <v>45892</v>
      </c>
      <c r="D359" t="inlineStr">
        <is>
          <t>DALARNAS LÄN</t>
        </is>
      </c>
      <c r="E359" t="inlineStr">
        <is>
          <t>ÄLVDALEN</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43903-2024</t>
        </is>
      </c>
      <c r="B360" s="1" t="n">
        <v>45572</v>
      </c>
      <c r="C360" s="1" t="n">
        <v>45892</v>
      </c>
      <c r="D360" t="inlineStr">
        <is>
          <t>DALARNAS LÄN</t>
        </is>
      </c>
      <c r="E360" t="inlineStr">
        <is>
          <t>ÄLVDALEN</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23555-2025</t>
        </is>
      </c>
      <c r="B361" s="1" t="n">
        <v>45792.57824074074</v>
      </c>
      <c r="C361" s="1" t="n">
        <v>45892</v>
      </c>
      <c r="D361" t="inlineStr">
        <is>
          <t>DALARNAS LÄN</t>
        </is>
      </c>
      <c r="E361" t="inlineStr">
        <is>
          <t>ÄLVDALEN</t>
        </is>
      </c>
      <c r="G361" t="n">
        <v>3.1</v>
      </c>
      <c r="H361" t="n">
        <v>0</v>
      </c>
      <c r="I361" t="n">
        <v>0</v>
      </c>
      <c r="J361" t="n">
        <v>0</v>
      </c>
      <c r="K361" t="n">
        <v>0</v>
      </c>
      <c r="L361" t="n">
        <v>0</v>
      </c>
      <c r="M361" t="n">
        <v>0</v>
      </c>
      <c r="N361" t="n">
        <v>0</v>
      </c>
      <c r="O361" t="n">
        <v>0</v>
      </c>
      <c r="P361" t="n">
        <v>0</v>
      </c>
      <c r="Q361" t="n">
        <v>0</v>
      </c>
      <c r="R361" s="2" t="inlineStr"/>
    </row>
    <row r="362" ht="15" customHeight="1">
      <c r="A362" t="inlineStr">
        <is>
          <t>A 47525-2024</t>
        </is>
      </c>
      <c r="B362" s="1" t="n">
        <v>45587.6328587963</v>
      </c>
      <c r="C362" s="1" t="n">
        <v>45892</v>
      </c>
      <c r="D362" t="inlineStr">
        <is>
          <t>DALARNAS LÄN</t>
        </is>
      </c>
      <c r="E362" t="inlineStr">
        <is>
          <t>ÄLVDALEN</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32237-2025</t>
        </is>
      </c>
      <c r="B363" s="1" t="n">
        <v>45835.61434027777</v>
      </c>
      <c r="C363" s="1" t="n">
        <v>45892</v>
      </c>
      <c r="D363" t="inlineStr">
        <is>
          <t>DALARNAS LÄN</t>
        </is>
      </c>
      <c r="E363" t="inlineStr">
        <is>
          <t>ÄLVDALEN</t>
        </is>
      </c>
      <c r="G363" t="n">
        <v>4.6</v>
      </c>
      <c r="H363" t="n">
        <v>0</v>
      </c>
      <c r="I363" t="n">
        <v>0</v>
      </c>
      <c r="J363" t="n">
        <v>0</v>
      </c>
      <c r="K363" t="n">
        <v>0</v>
      </c>
      <c r="L363" t="n">
        <v>0</v>
      </c>
      <c r="M363" t="n">
        <v>0</v>
      </c>
      <c r="N363" t="n">
        <v>0</v>
      </c>
      <c r="O363" t="n">
        <v>0</v>
      </c>
      <c r="P363" t="n">
        <v>0</v>
      </c>
      <c r="Q363" t="n">
        <v>0</v>
      </c>
      <c r="R363" s="2" t="inlineStr"/>
    </row>
    <row r="364" ht="15" customHeight="1">
      <c r="A364" t="inlineStr">
        <is>
          <t>A 59478-2024</t>
        </is>
      </c>
      <c r="B364" s="1" t="n">
        <v>45638.52181712963</v>
      </c>
      <c r="C364" s="1" t="n">
        <v>45892</v>
      </c>
      <c r="D364" t="inlineStr">
        <is>
          <t>DALARNAS LÄN</t>
        </is>
      </c>
      <c r="E364" t="inlineStr">
        <is>
          <t>ÄLVDALEN</t>
        </is>
      </c>
      <c r="F364" t="inlineStr">
        <is>
          <t>Allmännings- och besparingsskogar</t>
        </is>
      </c>
      <c r="G364" t="n">
        <v>6.9</v>
      </c>
      <c r="H364" t="n">
        <v>0</v>
      </c>
      <c r="I364" t="n">
        <v>0</v>
      </c>
      <c r="J364" t="n">
        <v>0</v>
      </c>
      <c r="K364" t="n">
        <v>0</v>
      </c>
      <c r="L364" t="n">
        <v>0</v>
      </c>
      <c r="M364" t="n">
        <v>0</v>
      </c>
      <c r="N364" t="n">
        <v>0</v>
      </c>
      <c r="O364" t="n">
        <v>0</v>
      </c>
      <c r="P364" t="n">
        <v>0</v>
      </c>
      <c r="Q364" t="n">
        <v>0</v>
      </c>
      <c r="R364" s="2" t="inlineStr"/>
    </row>
    <row r="365" ht="15" customHeight="1">
      <c r="A365" t="inlineStr">
        <is>
          <t>A 771-2025</t>
        </is>
      </c>
      <c r="B365" s="1" t="n">
        <v>45665.46518518519</v>
      </c>
      <c r="C365" s="1" t="n">
        <v>45892</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6791-2025</t>
        </is>
      </c>
      <c r="B366" s="1" t="n">
        <v>45700.66315972222</v>
      </c>
      <c r="C366" s="1" t="n">
        <v>45892</v>
      </c>
      <c r="D366" t="inlineStr">
        <is>
          <t>DALARNAS LÄN</t>
        </is>
      </c>
      <c r="E366" t="inlineStr">
        <is>
          <t>ÄLVDALEN</t>
        </is>
      </c>
      <c r="G366" t="n">
        <v>30.2</v>
      </c>
      <c r="H366" t="n">
        <v>0</v>
      </c>
      <c r="I366" t="n">
        <v>0</v>
      </c>
      <c r="J366" t="n">
        <v>0</v>
      </c>
      <c r="K366" t="n">
        <v>0</v>
      </c>
      <c r="L366" t="n">
        <v>0</v>
      </c>
      <c r="M366" t="n">
        <v>0</v>
      </c>
      <c r="N366" t="n">
        <v>0</v>
      </c>
      <c r="O366" t="n">
        <v>0</v>
      </c>
      <c r="P366" t="n">
        <v>0</v>
      </c>
      <c r="Q366" t="n">
        <v>0</v>
      </c>
      <c r="R366" s="2" t="inlineStr"/>
    </row>
    <row r="367" ht="15" customHeight="1">
      <c r="A367" t="inlineStr">
        <is>
          <t>A 46927-2024</t>
        </is>
      </c>
      <c r="B367" s="1" t="n">
        <v>45584.69063657407</v>
      </c>
      <c r="C367" s="1" t="n">
        <v>45892</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61160-2020</t>
        </is>
      </c>
      <c r="B368" s="1" t="n">
        <v>44153</v>
      </c>
      <c r="C368" s="1" t="n">
        <v>45892</v>
      </c>
      <c r="D368" t="inlineStr">
        <is>
          <t>DALARNAS LÄN</t>
        </is>
      </c>
      <c r="E368" t="inlineStr">
        <is>
          <t>ÄLVDALEN</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5583-2025</t>
        </is>
      </c>
      <c r="B369" s="1" t="n">
        <v>45693.55244212963</v>
      </c>
      <c r="C369" s="1" t="n">
        <v>45892</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47645-2024</t>
        </is>
      </c>
      <c r="B370" s="1" t="n">
        <v>45588.37167824074</v>
      </c>
      <c r="C370" s="1" t="n">
        <v>45892</v>
      </c>
      <c r="D370" t="inlineStr">
        <is>
          <t>DALARNAS LÄN</t>
        </is>
      </c>
      <c r="E370" t="inlineStr">
        <is>
          <t>ÄLVDALEN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29713-2022</t>
        </is>
      </c>
      <c r="B371" s="1" t="n">
        <v>44755</v>
      </c>
      <c r="C371" s="1" t="n">
        <v>45892</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23328-2024</t>
        </is>
      </c>
      <c r="B372" s="1" t="n">
        <v>45453.46716435185</v>
      </c>
      <c r="C372" s="1" t="n">
        <v>45892</v>
      </c>
      <c r="D372" t="inlineStr">
        <is>
          <t>DALARNAS LÄN</t>
        </is>
      </c>
      <c r="E372" t="inlineStr">
        <is>
          <t>ÄLVDALEN</t>
        </is>
      </c>
      <c r="G372" t="n">
        <v>2.7</v>
      </c>
      <c r="H372" t="n">
        <v>0</v>
      </c>
      <c r="I372" t="n">
        <v>0</v>
      </c>
      <c r="J372" t="n">
        <v>0</v>
      </c>
      <c r="K372" t="n">
        <v>0</v>
      </c>
      <c r="L372" t="n">
        <v>0</v>
      </c>
      <c r="M372" t="n">
        <v>0</v>
      </c>
      <c r="N372" t="n">
        <v>0</v>
      </c>
      <c r="O372" t="n">
        <v>0</v>
      </c>
      <c r="P372" t="n">
        <v>0</v>
      </c>
      <c r="Q372" t="n">
        <v>0</v>
      </c>
      <c r="R372" s="2" t="inlineStr"/>
    </row>
    <row r="373" ht="15" customHeight="1">
      <c r="A373" t="inlineStr">
        <is>
          <t>A 43351-2024</t>
        </is>
      </c>
      <c r="B373" s="1" t="n">
        <v>45568.56023148148</v>
      </c>
      <c r="C373" s="1" t="n">
        <v>45892</v>
      </c>
      <c r="D373" t="inlineStr">
        <is>
          <t>DALARNAS LÄN</t>
        </is>
      </c>
      <c r="E373" t="inlineStr">
        <is>
          <t>ÄLVDALEN</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52107-2022</t>
        </is>
      </c>
      <c r="B374" s="1" t="n">
        <v>44873.41295138889</v>
      </c>
      <c r="C374" s="1" t="n">
        <v>45892</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44119-2022</t>
        </is>
      </c>
      <c r="B375" s="1" t="n">
        <v>44839.39157407408</v>
      </c>
      <c r="C375" s="1" t="n">
        <v>45892</v>
      </c>
      <c r="D375" t="inlineStr">
        <is>
          <t>DALARNAS LÄN</t>
        </is>
      </c>
      <c r="E375" t="inlineStr">
        <is>
          <t>ÄLVDALEN</t>
        </is>
      </c>
      <c r="G375" t="n">
        <v>3.2</v>
      </c>
      <c r="H375" t="n">
        <v>0</v>
      </c>
      <c r="I375" t="n">
        <v>0</v>
      </c>
      <c r="J375" t="n">
        <v>0</v>
      </c>
      <c r="K375" t="n">
        <v>0</v>
      </c>
      <c r="L375" t="n">
        <v>0</v>
      </c>
      <c r="M375" t="n">
        <v>0</v>
      </c>
      <c r="N375" t="n">
        <v>0</v>
      </c>
      <c r="O375" t="n">
        <v>0</v>
      </c>
      <c r="P375" t="n">
        <v>0</v>
      </c>
      <c r="Q375" t="n">
        <v>0</v>
      </c>
      <c r="R375" s="2" t="inlineStr"/>
    </row>
    <row r="376" ht="15" customHeight="1">
      <c r="A376" t="inlineStr">
        <is>
          <t>A 56222-2023</t>
        </is>
      </c>
      <c r="B376" s="1" t="n">
        <v>45240</v>
      </c>
      <c r="C376" s="1" t="n">
        <v>45892</v>
      </c>
      <c r="D376" t="inlineStr">
        <is>
          <t>DALARNAS LÄN</t>
        </is>
      </c>
      <c r="E376" t="inlineStr">
        <is>
          <t>ÄLVDALEN</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56224-2023</t>
        </is>
      </c>
      <c r="B377" s="1" t="n">
        <v>45240</v>
      </c>
      <c r="C377" s="1" t="n">
        <v>45892</v>
      </c>
      <c r="D377" t="inlineStr">
        <is>
          <t>DALARNAS LÄN</t>
        </is>
      </c>
      <c r="E377" t="inlineStr">
        <is>
          <t>ÄLVDALEN</t>
        </is>
      </c>
      <c r="F377" t="inlineStr">
        <is>
          <t>Övriga Aktiebolag</t>
        </is>
      </c>
      <c r="G377" t="n">
        <v>10.9</v>
      </c>
      <c r="H377" t="n">
        <v>0</v>
      </c>
      <c r="I377" t="n">
        <v>0</v>
      </c>
      <c r="J377" t="n">
        <v>0</v>
      </c>
      <c r="K377" t="n">
        <v>0</v>
      </c>
      <c r="L377" t="n">
        <v>0</v>
      </c>
      <c r="M377" t="n">
        <v>0</v>
      </c>
      <c r="N377" t="n">
        <v>0</v>
      </c>
      <c r="O377" t="n">
        <v>0</v>
      </c>
      <c r="P377" t="n">
        <v>0</v>
      </c>
      <c r="Q377" t="n">
        <v>0</v>
      </c>
      <c r="R377" s="2" t="inlineStr"/>
    </row>
    <row r="378" ht="15" customHeight="1">
      <c r="A378" t="inlineStr">
        <is>
          <t>A 39006-2024</t>
        </is>
      </c>
      <c r="B378" s="1" t="n">
        <v>45548.42846064815</v>
      </c>
      <c r="C378" s="1" t="n">
        <v>45892</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62355-2022</t>
        </is>
      </c>
      <c r="B379" s="1" t="n">
        <v>44923</v>
      </c>
      <c r="C379" s="1" t="n">
        <v>45892</v>
      </c>
      <c r="D379" t="inlineStr">
        <is>
          <t>DALARNAS LÄN</t>
        </is>
      </c>
      <c r="E379" t="inlineStr">
        <is>
          <t>ÄLVDALEN</t>
        </is>
      </c>
      <c r="G379" t="n">
        <v>4.3</v>
      </c>
      <c r="H379" t="n">
        <v>0</v>
      </c>
      <c r="I379" t="n">
        <v>0</v>
      </c>
      <c r="J379" t="n">
        <v>0</v>
      </c>
      <c r="K379" t="n">
        <v>0</v>
      </c>
      <c r="L379" t="n">
        <v>0</v>
      </c>
      <c r="M379" t="n">
        <v>0</v>
      </c>
      <c r="N379" t="n">
        <v>0</v>
      </c>
      <c r="O379" t="n">
        <v>0</v>
      </c>
      <c r="P379" t="n">
        <v>0</v>
      </c>
      <c r="Q379" t="n">
        <v>0</v>
      </c>
      <c r="R379" s="2" t="inlineStr"/>
    </row>
    <row r="380" ht="15" customHeight="1">
      <c r="A380" t="inlineStr">
        <is>
          <t>A 15251-2021</t>
        </is>
      </c>
      <c r="B380" s="1" t="n">
        <v>44284</v>
      </c>
      <c r="C380" s="1" t="n">
        <v>45892</v>
      </c>
      <c r="D380" t="inlineStr">
        <is>
          <t>DALARNAS LÄN</t>
        </is>
      </c>
      <c r="E380" t="inlineStr">
        <is>
          <t>ÄLVDALEN</t>
        </is>
      </c>
      <c r="G380" t="n">
        <v>6.1</v>
      </c>
      <c r="H380" t="n">
        <v>0</v>
      </c>
      <c r="I380" t="n">
        <v>0</v>
      </c>
      <c r="J380" t="n">
        <v>0</v>
      </c>
      <c r="K380" t="n">
        <v>0</v>
      </c>
      <c r="L380" t="n">
        <v>0</v>
      </c>
      <c r="M380" t="n">
        <v>0</v>
      </c>
      <c r="N380" t="n">
        <v>0</v>
      </c>
      <c r="O380" t="n">
        <v>0</v>
      </c>
      <c r="P380" t="n">
        <v>0</v>
      </c>
      <c r="Q380" t="n">
        <v>0</v>
      </c>
      <c r="R380" s="2" t="inlineStr"/>
    </row>
    <row r="381" ht="15" customHeight="1">
      <c r="A381" t="inlineStr">
        <is>
          <t>A 47936-2024</t>
        </is>
      </c>
      <c r="B381" s="1" t="n">
        <v>45589.34738425926</v>
      </c>
      <c r="C381" s="1" t="n">
        <v>45892</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3900-2024</t>
        </is>
      </c>
      <c r="B382" s="1" t="n">
        <v>45322</v>
      </c>
      <c r="C382" s="1" t="n">
        <v>45892</v>
      </c>
      <c r="D382" t="inlineStr">
        <is>
          <t>DALARNAS LÄN</t>
        </is>
      </c>
      <c r="E382" t="inlineStr">
        <is>
          <t>ÄLVDALEN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3903-2024</t>
        </is>
      </c>
      <c r="B383" s="1" t="n">
        <v>45322</v>
      </c>
      <c r="C383" s="1" t="n">
        <v>45892</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3914-2024</t>
        </is>
      </c>
      <c r="B384" s="1" t="n">
        <v>45322</v>
      </c>
      <c r="C384" s="1" t="n">
        <v>45892</v>
      </c>
      <c r="D384" t="inlineStr">
        <is>
          <t>DALARNAS LÄN</t>
        </is>
      </c>
      <c r="E384" t="inlineStr">
        <is>
          <t>ÄLVDALEN</t>
        </is>
      </c>
      <c r="G384" t="n">
        <v>0.3</v>
      </c>
      <c r="H384" t="n">
        <v>0</v>
      </c>
      <c r="I384" t="n">
        <v>0</v>
      </c>
      <c r="J384" t="n">
        <v>0</v>
      </c>
      <c r="K384" t="n">
        <v>0</v>
      </c>
      <c r="L384" t="n">
        <v>0</v>
      </c>
      <c r="M384" t="n">
        <v>0</v>
      </c>
      <c r="N384" t="n">
        <v>0</v>
      </c>
      <c r="O384" t="n">
        <v>0</v>
      </c>
      <c r="P384" t="n">
        <v>0</v>
      </c>
      <c r="Q384" t="n">
        <v>0</v>
      </c>
      <c r="R384" s="2" t="inlineStr"/>
    </row>
    <row r="385" ht="15" customHeight="1">
      <c r="A385" t="inlineStr">
        <is>
          <t>A 30414-2024</t>
        </is>
      </c>
      <c r="B385" s="1" t="n">
        <v>45491.63538194444</v>
      </c>
      <c r="C385" s="1" t="n">
        <v>45892</v>
      </c>
      <c r="D385" t="inlineStr">
        <is>
          <t>DALARNAS LÄN</t>
        </is>
      </c>
      <c r="E385" t="inlineStr">
        <is>
          <t>ÄLVDALEN</t>
        </is>
      </c>
      <c r="G385" t="n">
        <v>0.7</v>
      </c>
      <c r="H385" t="n">
        <v>0</v>
      </c>
      <c r="I385" t="n">
        <v>0</v>
      </c>
      <c r="J385" t="n">
        <v>0</v>
      </c>
      <c r="K385" t="n">
        <v>0</v>
      </c>
      <c r="L385" t="n">
        <v>0</v>
      </c>
      <c r="M385" t="n">
        <v>0</v>
      </c>
      <c r="N385" t="n">
        <v>0</v>
      </c>
      <c r="O385" t="n">
        <v>0</v>
      </c>
      <c r="P385" t="n">
        <v>0</v>
      </c>
      <c r="Q385" t="n">
        <v>0</v>
      </c>
      <c r="R385" s="2" t="inlineStr"/>
    </row>
    <row r="386" ht="15" customHeight="1">
      <c r="A386" t="inlineStr">
        <is>
          <t>A 59108-2022</t>
        </is>
      </c>
      <c r="B386" s="1" t="n">
        <v>44904</v>
      </c>
      <c r="C386" s="1" t="n">
        <v>45892</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3196-2025</t>
        </is>
      </c>
      <c r="B387" s="1" t="n">
        <v>45679.42957175926</v>
      </c>
      <c r="C387" s="1" t="n">
        <v>45892</v>
      </c>
      <c r="D387" t="inlineStr">
        <is>
          <t>DALARNAS LÄN</t>
        </is>
      </c>
      <c r="E387" t="inlineStr">
        <is>
          <t>ÄLVDALEN</t>
        </is>
      </c>
      <c r="G387" t="n">
        <v>5.2</v>
      </c>
      <c r="H387" t="n">
        <v>0</v>
      </c>
      <c r="I387" t="n">
        <v>0</v>
      </c>
      <c r="J387" t="n">
        <v>0</v>
      </c>
      <c r="K387" t="n">
        <v>0</v>
      </c>
      <c r="L387" t="n">
        <v>0</v>
      </c>
      <c r="M387" t="n">
        <v>0</v>
      </c>
      <c r="N387" t="n">
        <v>0</v>
      </c>
      <c r="O387" t="n">
        <v>0</v>
      </c>
      <c r="P387" t="n">
        <v>0</v>
      </c>
      <c r="Q387" t="n">
        <v>0</v>
      </c>
      <c r="R387" s="2" t="inlineStr"/>
    </row>
    <row r="388" ht="15" customHeight="1">
      <c r="A388" t="inlineStr">
        <is>
          <t>A 32187-2024</t>
        </is>
      </c>
      <c r="B388" s="1" t="n">
        <v>45511.64925925926</v>
      </c>
      <c r="C388" s="1" t="n">
        <v>45892</v>
      </c>
      <c r="D388" t="inlineStr">
        <is>
          <t>DALARNAS LÄN</t>
        </is>
      </c>
      <c r="E388" t="inlineStr">
        <is>
          <t>ÄLVDALEN</t>
        </is>
      </c>
      <c r="F388" t="inlineStr">
        <is>
          <t>Allmännings- och besparingsskogar</t>
        </is>
      </c>
      <c r="G388" t="n">
        <v>20</v>
      </c>
      <c r="H388" t="n">
        <v>0</v>
      </c>
      <c r="I388" t="n">
        <v>0</v>
      </c>
      <c r="J388" t="n">
        <v>0</v>
      </c>
      <c r="K388" t="n">
        <v>0</v>
      </c>
      <c r="L388" t="n">
        <v>0</v>
      </c>
      <c r="M388" t="n">
        <v>0</v>
      </c>
      <c r="N388" t="n">
        <v>0</v>
      </c>
      <c r="O388" t="n">
        <v>0</v>
      </c>
      <c r="P388" t="n">
        <v>0</v>
      </c>
      <c r="Q388" t="n">
        <v>0</v>
      </c>
      <c r="R388" s="2" t="inlineStr"/>
    </row>
    <row r="389" ht="15" customHeight="1">
      <c r="A389" t="inlineStr">
        <is>
          <t>A 19587-2025</t>
        </is>
      </c>
      <c r="B389" s="1" t="n">
        <v>45770.56820601852</v>
      </c>
      <c r="C389" s="1" t="n">
        <v>45892</v>
      </c>
      <c r="D389" t="inlineStr">
        <is>
          <t>DALARNAS LÄN</t>
        </is>
      </c>
      <c r="E389" t="inlineStr">
        <is>
          <t>ÄLVDALEN</t>
        </is>
      </c>
      <c r="F389" t="inlineStr">
        <is>
          <t>Allmännings- och besparingsskogar</t>
        </is>
      </c>
      <c r="G389" t="n">
        <v>1.4</v>
      </c>
      <c r="H389" t="n">
        <v>0</v>
      </c>
      <c r="I389" t="n">
        <v>0</v>
      </c>
      <c r="J389" t="n">
        <v>0</v>
      </c>
      <c r="K389" t="n">
        <v>0</v>
      </c>
      <c r="L389" t="n">
        <v>0</v>
      </c>
      <c r="M389" t="n">
        <v>0</v>
      </c>
      <c r="N389" t="n">
        <v>0</v>
      </c>
      <c r="O389" t="n">
        <v>0</v>
      </c>
      <c r="P389" t="n">
        <v>0</v>
      </c>
      <c r="Q389" t="n">
        <v>0</v>
      </c>
      <c r="R389" s="2" t="inlineStr"/>
    </row>
    <row r="390" ht="15" customHeight="1">
      <c r="A390" t="inlineStr">
        <is>
          <t>A 42649-2023</t>
        </is>
      </c>
      <c r="B390" s="1" t="n">
        <v>45181.53310185186</v>
      </c>
      <c r="C390" s="1" t="n">
        <v>45892</v>
      </c>
      <c r="D390" t="inlineStr">
        <is>
          <t>DALARNAS LÄN</t>
        </is>
      </c>
      <c r="E390" t="inlineStr">
        <is>
          <t>ÄLVDALEN</t>
        </is>
      </c>
      <c r="G390" t="n">
        <v>5.3</v>
      </c>
      <c r="H390" t="n">
        <v>0</v>
      </c>
      <c r="I390" t="n">
        <v>0</v>
      </c>
      <c r="J390" t="n">
        <v>0</v>
      </c>
      <c r="K390" t="n">
        <v>0</v>
      </c>
      <c r="L390" t="n">
        <v>0</v>
      </c>
      <c r="M390" t="n">
        <v>0</v>
      </c>
      <c r="N390" t="n">
        <v>0</v>
      </c>
      <c r="O390" t="n">
        <v>0</v>
      </c>
      <c r="P390" t="n">
        <v>0</v>
      </c>
      <c r="Q390" t="n">
        <v>0</v>
      </c>
      <c r="R390" s="2" t="inlineStr"/>
    </row>
    <row r="391" ht="15" customHeight="1">
      <c r="A391" t="inlineStr">
        <is>
          <t>A 57821-2023</t>
        </is>
      </c>
      <c r="B391" s="1" t="n">
        <v>45247</v>
      </c>
      <c r="C391" s="1" t="n">
        <v>45892</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14938-2023</t>
        </is>
      </c>
      <c r="B392" s="1" t="n">
        <v>45015</v>
      </c>
      <c r="C392" s="1" t="n">
        <v>45892</v>
      </c>
      <c r="D392" t="inlineStr">
        <is>
          <t>DALARNAS LÄN</t>
        </is>
      </c>
      <c r="E392" t="inlineStr">
        <is>
          <t>ÄLVDALEN</t>
        </is>
      </c>
      <c r="G392" t="n">
        <v>1.8</v>
      </c>
      <c r="H392" t="n">
        <v>0</v>
      </c>
      <c r="I392" t="n">
        <v>0</v>
      </c>
      <c r="J392" t="n">
        <v>0</v>
      </c>
      <c r="K392" t="n">
        <v>0</v>
      </c>
      <c r="L392" t="n">
        <v>0</v>
      </c>
      <c r="M392" t="n">
        <v>0</v>
      </c>
      <c r="N392" t="n">
        <v>0</v>
      </c>
      <c r="O392" t="n">
        <v>0</v>
      </c>
      <c r="P392" t="n">
        <v>0</v>
      </c>
      <c r="Q392" t="n">
        <v>0</v>
      </c>
      <c r="R392" s="2" t="inlineStr"/>
    </row>
    <row r="393" ht="15" customHeight="1">
      <c r="A393" t="inlineStr">
        <is>
          <t>A 24950-2025</t>
        </is>
      </c>
      <c r="B393" s="1" t="n">
        <v>45799.56943287037</v>
      </c>
      <c r="C393" s="1" t="n">
        <v>45892</v>
      </c>
      <c r="D393" t="inlineStr">
        <is>
          <t>DALARNAS LÄN</t>
        </is>
      </c>
      <c r="E393" t="inlineStr">
        <is>
          <t>ÄLVDALEN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24637-2025</t>
        </is>
      </c>
      <c r="B394" s="1" t="n">
        <v>45798.616875</v>
      </c>
      <c r="C394" s="1" t="n">
        <v>45892</v>
      </c>
      <c r="D394" t="inlineStr">
        <is>
          <t>DALARNAS LÄN</t>
        </is>
      </c>
      <c r="E394" t="inlineStr">
        <is>
          <t>ÄLVDALEN</t>
        </is>
      </c>
      <c r="G394" t="n">
        <v>0.5</v>
      </c>
      <c r="H394" t="n">
        <v>0</v>
      </c>
      <c r="I394" t="n">
        <v>0</v>
      </c>
      <c r="J394" t="n">
        <v>0</v>
      </c>
      <c r="K394" t="n">
        <v>0</v>
      </c>
      <c r="L394" t="n">
        <v>0</v>
      </c>
      <c r="M394" t="n">
        <v>0</v>
      </c>
      <c r="N394" t="n">
        <v>0</v>
      </c>
      <c r="O394" t="n">
        <v>0</v>
      </c>
      <c r="P394" t="n">
        <v>0</v>
      </c>
      <c r="Q394" t="n">
        <v>0</v>
      </c>
      <c r="R394" s="2" t="inlineStr"/>
    </row>
    <row r="395" ht="15" customHeight="1">
      <c r="A395" t="inlineStr">
        <is>
          <t>A 45167-2022</t>
        </is>
      </c>
      <c r="B395" s="1" t="n">
        <v>44844</v>
      </c>
      <c r="C395" s="1" t="n">
        <v>45892</v>
      </c>
      <c r="D395" t="inlineStr">
        <is>
          <t>DALARNAS LÄN</t>
        </is>
      </c>
      <c r="E395" t="inlineStr">
        <is>
          <t>ÄLVDALEN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33-2021</t>
        </is>
      </c>
      <c r="B396" s="1" t="n">
        <v>44198</v>
      </c>
      <c r="C396" s="1" t="n">
        <v>45892</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25086-2025</t>
        </is>
      </c>
      <c r="B397" s="1" t="n">
        <v>45800</v>
      </c>
      <c r="C397" s="1" t="n">
        <v>45892</v>
      </c>
      <c r="D397" t="inlineStr">
        <is>
          <t>DALARNAS LÄN</t>
        </is>
      </c>
      <c r="E397" t="inlineStr">
        <is>
          <t>ÄLVDALEN</t>
        </is>
      </c>
      <c r="F397" t="inlineStr">
        <is>
          <t>Sveaskog</t>
        </is>
      </c>
      <c r="G397" t="n">
        <v>10.7</v>
      </c>
      <c r="H397" t="n">
        <v>0</v>
      </c>
      <c r="I397" t="n">
        <v>0</v>
      </c>
      <c r="J397" t="n">
        <v>0</v>
      </c>
      <c r="K397" t="n">
        <v>0</v>
      </c>
      <c r="L397" t="n">
        <v>0</v>
      </c>
      <c r="M397" t="n">
        <v>0</v>
      </c>
      <c r="N397" t="n">
        <v>0</v>
      </c>
      <c r="O397" t="n">
        <v>0</v>
      </c>
      <c r="P397" t="n">
        <v>0</v>
      </c>
      <c r="Q397" t="n">
        <v>0</v>
      </c>
      <c r="R397" s="2" t="inlineStr"/>
    </row>
    <row r="398" ht="15" customHeight="1">
      <c r="A398" t="inlineStr">
        <is>
          <t>A 49906-2024</t>
        </is>
      </c>
      <c r="B398" s="1" t="n">
        <v>45597.55230324074</v>
      </c>
      <c r="C398" s="1" t="n">
        <v>45892</v>
      </c>
      <c r="D398" t="inlineStr">
        <is>
          <t>DALARNAS LÄN</t>
        </is>
      </c>
      <c r="E398" t="inlineStr">
        <is>
          <t>ÄLVDALEN</t>
        </is>
      </c>
      <c r="G398" t="n">
        <v>4.2</v>
      </c>
      <c r="H398" t="n">
        <v>0</v>
      </c>
      <c r="I398" t="n">
        <v>0</v>
      </c>
      <c r="J398" t="n">
        <v>0</v>
      </c>
      <c r="K398" t="n">
        <v>0</v>
      </c>
      <c r="L398" t="n">
        <v>0</v>
      </c>
      <c r="M398" t="n">
        <v>0</v>
      </c>
      <c r="N398" t="n">
        <v>0</v>
      </c>
      <c r="O398" t="n">
        <v>0</v>
      </c>
      <c r="P398" t="n">
        <v>0</v>
      </c>
      <c r="Q398" t="n">
        <v>0</v>
      </c>
      <c r="R398" s="2" t="inlineStr"/>
    </row>
    <row r="399" ht="15" customHeight="1">
      <c r="A399" t="inlineStr">
        <is>
          <t>A 56487-2024</t>
        </is>
      </c>
      <c r="B399" s="1" t="n">
        <v>45625.48621527778</v>
      </c>
      <c r="C399" s="1" t="n">
        <v>45892</v>
      </c>
      <c r="D399" t="inlineStr">
        <is>
          <t>DALARNAS LÄN</t>
        </is>
      </c>
      <c r="E399" t="inlineStr">
        <is>
          <t>ÄLVDALEN</t>
        </is>
      </c>
      <c r="F399" t="inlineStr">
        <is>
          <t>Allmännings- och besparingsskogar</t>
        </is>
      </c>
      <c r="G399" t="n">
        <v>5.6</v>
      </c>
      <c r="H399" t="n">
        <v>0</v>
      </c>
      <c r="I399" t="n">
        <v>0</v>
      </c>
      <c r="J399" t="n">
        <v>0</v>
      </c>
      <c r="K399" t="n">
        <v>0</v>
      </c>
      <c r="L399" t="n">
        <v>0</v>
      </c>
      <c r="M399" t="n">
        <v>0</v>
      </c>
      <c r="N399" t="n">
        <v>0</v>
      </c>
      <c r="O399" t="n">
        <v>0</v>
      </c>
      <c r="P399" t="n">
        <v>0</v>
      </c>
      <c r="Q399" t="n">
        <v>0</v>
      </c>
      <c r="R399" s="2" t="inlineStr"/>
    </row>
    <row r="400" ht="15" customHeight="1">
      <c r="A400" t="inlineStr">
        <is>
          <t>A 43990-2024</t>
        </is>
      </c>
      <c r="B400" s="1" t="n">
        <v>45572</v>
      </c>
      <c r="C400" s="1" t="n">
        <v>45892</v>
      </c>
      <c r="D400" t="inlineStr">
        <is>
          <t>DALARNAS LÄN</t>
        </is>
      </c>
      <c r="E400" t="inlineStr">
        <is>
          <t>ÄLVDALEN</t>
        </is>
      </c>
      <c r="F400" t="inlineStr">
        <is>
          <t>Kommuner</t>
        </is>
      </c>
      <c r="G400" t="n">
        <v>0</v>
      </c>
      <c r="H400" t="n">
        <v>0</v>
      </c>
      <c r="I400" t="n">
        <v>0</v>
      </c>
      <c r="J400" t="n">
        <v>0</v>
      </c>
      <c r="K400" t="n">
        <v>0</v>
      </c>
      <c r="L400" t="n">
        <v>0</v>
      </c>
      <c r="M400" t="n">
        <v>0</v>
      </c>
      <c r="N400" t="n">
        <v>0</v>
      </c>
      <c r="O400" t="n">
        <v>0</v>
      </c>
      <c r="P400" t="n">
        <v>0</v>
      </c>
      <c r="Q400" t="n">
        <v>0</v>
      </c>
      <c r="R400" s="2" t="inlineStr"/>
    </row>
    <row r="401" ht="15" customHeight="1">
      <c r="A401" t="inlineStr">
        <is>
          <t>A 52249-2022</t>
        </is>
      </c>
      <c r="B401" s="1" t="n">
        <v>44873</v>
      </c>
      <c r="C401" s="1" t="n">
        <v>45892</v>
      </c>
      <c r="D401" t="inlineStr">
        <is>
          <t>DALARNAS LÄN</t>
        </is>
      </c>
      <c r="E401" t="inlineStr">
        <is>
          <t>ÄLVDALEN</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25758-2025</t>
        </is>
      </c>
      <c r="B402" s="1" t="n">
        <v>45804.33314814815</v>
      </c>
      <c r="C402" s="1" t="n">
        <v>45892</v>
      </c>
      <c r="D402" t="inlineStr">
        <is>
          <t>DALARNAS LÄN</t>
        </is>
      </c>
      <c r="E402" t="inlineStr">
        <is>
          <t>ÄLVDALEN</t>
        </is>
      </c>
      <c r="F402" t="inlineStr">
        <is>
          <t>Kommuner</t>
        </is>
      </c>
      <c r="G402" t="n">
        <v>2.2</v>
      </c>
      <c r="H402" t="n">
        <v>0</v>
      </c>
      <c r="I402" t="n">
        <v>0</v>
      </c>
      <c r="J402" t="n">
        <v>0</v>
      </c>
      <c r="K402" t="n">
        <v>0</v>
      </c>
      <c r="L402" t="n">
        <v>0</v>
      </c>
      <c r="M402" t="n">
        <v>0</v>
      </c>
      <c r="N402" t="n">
        <v>0</v>
      </c>
      <c r="O402" t="n">
        <v>0</v>
      </c>
      <c r="P402" t="n">
        <v>0</v>
      </c>
      <c r="Q402" t="n">
        <v>0</v>
      </c>
      <c r="R402" s="2" t="inlineStr"/>
    </row>
    <row r="403" ht="15" customHeight="1">
      <c r="A403" t="inlineStr">
        <is>
          <t>A 5885-2024</t>
        </is>
      </c>
      <c r="B403" s="1" t="n">
        <v>45335</v>
      </c>
      <c r="C403" s="1" t="n">
        <v>45892</v>
      </c>
      <c r="D403" t="inlineStr">
        <is>
          <t>DALARNAS LÄN</t>
        </is>
      </c>
      <c r="E403" t="inlineStr">
        <is>
          <t>ÄLVDALEN</t>
        </is>
      </c>
      <c r="G403" t="n">
        <v>0.8</v>
      </c>
      <c r="H403" t="n">
        <v>0</v>
      </c>
      <c r="I403" t="n">
        <v>0</v>
      </c>
      <c r="J403" t="n">
        <v>0</v>
      </c>
      <c r="K403" t="n">
        <v>0</v>
      </c>
      <c r="L403" t="n">
        <v>0</v>
      </c>
      <c r="M403" t="n">
        <v>0</v>
      </c>
      <c r="N403" t="n">
        <v>0</v>
      </c>
      <c r="O403" t="n">
        <v>0</v>
      </c>
      <c r="P403" t="n">
        <v>0</v>
      </c>
      <c r="Q403" t="n">
        <v>0</v>
      </c>
      <c r="R403" s="2" t="inlineStr"/>
    </row>
    <row r="404" ht="15" customHeight="1">
      <c r="A404" t="inlineStr">
        <is>
          <t>A 25754-2025</t>
        </is>
      </c>
      <c r="B404" s="1" t="n">
        <v>45804.32020833333</v>
      </c>
      <c r="C404" s="1" t="n">
        <v>45892</v>
      </c>
      <c r="D404" t="inlineStr">
        <is>
          <t>DALARNAS LÄN</t>
        </is>
      </c>
      <c r="E404" t="inlineStr">
        <is>
          <t>ÄLVDALEN</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26285-2025</t>
        </is>
      </c>
      <c r="B405" s="1" t="n">
        <v>45805.61885416666</v>
      </c>
      <c r="C405" s="1" t="n">
        <v>45892</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50037-2022</t>
        </is>
      </c>
      <c r="B406" s="1" t="n">
        <v>44865.46136574074</v>
      </c>
      <c r="C406" s="1" t="n">
        <v>45892</v>
      </c>
      <c r="D406" t="inlineStr">
        <is>
          <t>DALARNAS LÄN</t>
        </is>
      </c>
      <c r="E406" t="inlineStr">
        <is>
          <t>ÄLVDALEN</t>
        </is>
      </c>
      <c r="F406" t="inlineStr">
        <is>
          <t>Allmännings- och besparingsskogar</t>
        </is>
      </c>
      <c r="G406" t="n">
        <v>5.8</v>
      </c>
      <c r="H406" t="n">
        <v>0</v>
      </c>
      <c r="I406" t="n">
        <v>0</v>
      </c>
      <c r="J406" t="n">
        <v>0</v>
      </c>
      <c r="K406" t="n">
        <v>0</v>
      </c>
      <c r="L406" t="n">
        <v>0</v>
      </c>
      <c r="M406" t="n">
        <v>0</v>
      </c>
      <c r="N406" t="n">
        <v>0</v>
      </c>
      <c r="O406" t="n">
        <v>0</v>
      </c>
      <c r="P406" t="n">
        <v>0</v>
      </c>
      <c r="Q406" t="n">
        <v>0</v>
      </c>
      <c r="R406" s="2" t="inlineStr"/>
    </row>
    <row r="407" ht="15" customHeight="1">
      <c r="A407" t="inlineStr">
        <is>
          <t>A 25879-2025</t>
        </is>
      </c>
      <c r="B407" s="1" t="n">
        <v>45804.49605324074</v>
      </c>
      <c r="C407" s="1" t="n">
        <v>45892</v>
      </c>
      <c r="D407" t="inlineStr">
        <is>
          <t>DALARNAS LÄN</t>
        </is>
      </c>
      <c r="E407" t="inlineStr">
        <is>
          <t>ÄLVDALEN</t>
        </is>
      </c>
      <c r="F407" t="inlineStr">
        <is>
          <t>Allmännings- och besparingsskogar</t>
        </is>
      </c>
      <c r="G407" t="n">
        <v>0.2</v>
      </c>
      <c r="H407" t="n">
        <v>0</v>
      </c>
      <c r="I407" t="n">
        <v>0</v>
      </c>
      <c r="J407" t="n">
        <v>0</v>
      </c>
      <c r="K407" t="n">
        <v>0</v>
      </c>
      <c r="L407" t="n">
        <v>0</v>
      </c>
      <c r="M407" t="n">
        <v>0</v>
      </c>
      <c r="N407" t="n">
        <v>0</v>
      </c>
      <c r="O407" t="n">
        <v>0</v>
      </c>
      <c r="P407" t="n">
        <v>0</v>
      </c>
      <c r="Q407" t="n">
        <v>0</v>
      </c>
      <c r="R407" s="2" t="inlineStr"/>
    </row>
    <row r="408" ht="15" customHeight="1">
      <c r="A408" t="inlineStr">
        <is>
          <t>A 25823-2025</t>
        </is>
      </c>
      <c r="B408" s="1" t="n">
        <v>45804.4396412037</v>
      </c>
      <c r="C408" s="1" t="n">
        <v>45892</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47751-2024</t>
        </is>
      </c>
      <c r="B409" s="1" t="n">
        <v>45588.53628472222</v>
      </c>
      <c r="C409" s="1" t="n">
        <v>45892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47873-2023</t>
        </is>
      </c>
      <c r="B410" s="1" t="n">
        <v>45204</v>
      </c>
      <c r="C410" s="1" t="n">
        <v>45892</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26704-2025</t>
        </is>
      </c>
      <c r="B411" s="1" t="n">
        <v>45810.45271990741</v>
      </c>
      <c r="C411" s="1" t="n">
        <v>45892</v>
      </c>
      <c r="D411" t="inlineStr">
        <is>
          <t>DALARNAS LÄN</t>
        </is>
      </c>
      <c r="E411" t="inlineStr">
        <is>
          <t>ÄLVDALEN</t>
        </is>
      </c>
      <c r="F411" t="inlineStr">
        <is>
          <t>Bergvik skog väst AB</t>
        </is>
      </c>
      <c r="G411" t="n">
        <v>32.3</v>
      </c>
      <c r="H411" t="n">
        <v>0</v>
      </c>
      <c r="I411" t="n">
        <v>0</v>
      </c>
      <c r="J411" t="n">
        <v>0</v>
      </c>
      <c r="K411" t="n">
        <v>0</v>
      </c>
      <c r="L411" t="n">
        <v>0</v>
      </c>
      <c r="M411" t="n">
        <v>0</v>
      </c>
      <c r="N411" t="n">
        <v>0</v>
      </c>
      <c r="O411" t="n">
        <v>0</v>
      </c>
      <c r="P411" t="n">
        <v>0</v>
      </c>
      <c r="Q411" t="n">
        <v>0</v>
      </c>
      <c r="R411" s="2" t="inlineStr"/>
    </row>
    <row r="412" ht="15" customHeight="1">
      <c r="A412" t="inlineStr">
        <is>
          <t>A 20146-2025</t>
        </is>
      </c>
      <c r="B412" s="1" t="n">
        <v>45772.53324074074</v>
      </c>
      <c r="C412" s="1" t="n">
        <v>45892</v>
      </c>
      <c r="D412" t="inlineStr">
        <is>
          <t>DALARNAS LÄN</t>
        </is>
      </c>
      <c r="E412" t="inlineStr">
        <is>
          <t>ÄLVDALEN</t>
        </is>
      </c>
      <c r="F412" t="inlineStr">
        <is>
          <t>Allmännings- och besparingsskogar</t>
        </is>
      </c>
      <c r="G412" t="n">
        <v>24.3</v>
      </c>
      <c r="H412" t="n">
        <v>0</v>
      </c>
      <c r="I412" t="n">
        <v>0</v>
      </c>
      <c r="J412" t="n">
        <v>0</v>
      </c>
      <c r="K412" t="n">
        <v>0</v>
      </c>
      <c r="L412" t="n">
        <v>0</v>
      </c>
      <c r="M412" t="n">
        <v>0</v>
      </c>
      <c r="N412" t="n">
        <v>0</v>
      </c>
      <c r="O412" t="n">
        <v>0</v>
      </c>
      <c r="P412" t="n">
        <v>0</v>
      </c>
      <c r="Q412" t="n">
        <v>0</v>
      </c>
      <c r="R412" s="2" t="inlineStr"/>
    </row>
    <row r="413" ht="15" customHeight="1">
      <c r="A413" t="inlineStr">
        <is>
          <t>A 31690-2024</t>
        </is>
      </c>
      <c r="B413" s="1" t="n">
        <v>45507</v>
      </c>
      <c r="C413" s="1" t="n">
        <v>45892</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46881-2020</t>
        </is>
      </c>
      <c r="B414" s="1" t="n">
        <v>44096</v>
      </c>
      <c r="C414" s="1" t="n">
        <v>45892</v>
      </c>
      <c r="D414" t="inlineStr">
        <is>
          <t>DALARNAS LÄN</t>
        </is>
      </c>
      <c r="E414" t="inlineStr">
        <is>
          <t>ÄLVDALEN</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52060-2022</t>
        </is>
      </c>
      <c r="B415" s="1" t="n">
        <v>44873.34417824074</v>
      </c>
      <c r="C415" s="1" t="n">
        <v>45892</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19567-2025</t>
        </is>
      </c>
      <c r="B416" s="1" t="n">
        <v>45770.5349537037</v>
      </c>
      <c r="C416" s="1" t="n">
        <v>45892</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2546-2025</t>
        </is>
      </c>
      <c r="B417" s="1" t="n">
        <v>45674.62240740741</v>
      </c>
      <c r="C417" s="1" t="n">
        <v>45892</v>
      </c>
      <c r="D417" t="inlineStr">
        <is>
          <t>DALARNAS LÄN</t>
        </is>
      </c>
      <c r="E417" t="inlineStr">
        <is>
          <t>ÄLVDALEN</t>
        </is>
      </c>
      <c r="G417" t="n">
        <v>2</v>
      </c>
      <c r="H417" t="n">
        <v>0</v>
      </c>
      <c r="I417" t="n">
        <v>0</v>
      </c>
      <c r="J417" t="n">
        <v>0</v>
      </c>
      <c r="K417" t="n">
        <v>0</v>
      </c>
      <c r="L417" t="n">
        <v>0</v>
      </c>
      <c r="M417" t="n">
        <v>0</v>
      </c>
      <c r="N417" t="n">
        <v>0</v>
      </c>
      <c r="O417" t="n">
        <v>0</v>
      </c>
      <c r="P417" t="n">
        <v>0</v>
      </c>
      <c r="Q417" t="n">
        <v>0</v>
      </c>
      <c r="R417" s="2" t="inlineStr"/>
    </row>
    <row r="418" ht="15" customHeight="1">
      <c r="A418" t="inlineStr">
        <is>
          <t>A 4662-2024</t>
        </is>
      </c>
      <c r="B418" s="1" t="n">
        <v>45328.465625</v>
      </c>
      <c r="C418" s="1" t="n">
        <v>45892</v>
      </c>
      <c r="D418" t="inlineStr">
        <is>
          <t>DALARNAS LÄN</t>
        </is>
      </c>
      <c r="E418" t="inlineStr">
        <is>
          <t>ÄLVDALEN</t>
        </is>
      </c>
      <c r="G418" t="n">
        <v>4.9</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45892</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29129-2024</t>
        </is>
      </c>
      <c r="B420" s="1" t="n">
        <v>45482.35762731481</v>
      </c>
      <c r="C420" s="1" t="n">
        <v>45892</v>
      </c>
      <c r="D420" t="inlineStr">
        <is>
          <t>DALARNAS LÄN</t>
        </is>
      </c>
      <c r="E420" t="inlineStr">
        <is>
          <t>ÄLVDALEN</t>
        </is>
      </c>
      <c r="F420" t="inlineStr">
        <is>
          <t>Allmännings- och besparingsskogar</t>
        </is>
      </c>
      <c r="G420" t="n">
        <v>19.8</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45892</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17558-2024</t>
        </is>
      </c>
      <c r="B422" s="1" t="n">
        <v>45415.66295138889</v>
      </c>
      <c r="C422" s="1" t="n">
        <v>45892</v>
      </c>
      <c r="D422" t="inlineStr">
        <is>
          <t>DALARNAS LÄN</t>
        </is>
      </c>
      <c r="E422" t="inlineStr">
        <is>
          <t>ÄLVDALEN</t>
        </is>
      </c>
      <c r="G422" t="n">
        <v>2.2</v>
      </c>
      <c r="H422" t="n">
        <v>0</v>
      </c>
      <c r="I422" t="n">
        <v>0</v>
      </c>
      <c r="J422" t="n">
        <v>0</v>
      </c>
      <c r="K422" t="n">
        <v>0</v>
      </c>
      <c r="L422" t="n">
        <v>0</v>
      </c>
      <c r="M422" t="n">
        <v>0</v>
      </c>
      <c r="N422" t="n">
        <v>0</v>
      </c>
      <c r="O422" t="n">
        <v>0</v>
      </c>
      <c r="P422" t="n">
        <v>0</v>
      </c>
      <c r="Q422" t="n">
        <v>0</v>
      </c>
      <c r="R422" s="2" t="inlineStr"/>
    </row>
    <row r="423" ht="15" customHeight="1">
      <c r="A423" t="inlineStr">
        <is>
          <t>A 45203-2024</t>
        </is>
      </c>
      <c r="B423" s="1" t="n">
        <v>45575</v>
      </c>
      <c r="C423" s="1" t="n">
        <v>45892</v>
      </c>
      <c r="D423" t="inlineStr">
        <is>
          <t>DALARNAS LÄN</t>
        </is>
      </c>
      <c r="E423" t="inlineStr">
        <is>
          <t>ÄLVDALEN</t>
        </is>
      </c>
      <c r="G423" t="n">
        <v>7.3</v>
      </c>
      <c r="H423" t="n">
        <v>0</v>
      </c>
      <c r="I423" t="n">
        <v>0</v>
      </c>
      <c r="J423" t="n">
        <v>0</v>
      </c>
      <c r="K423" t="n">
        <v>0</v>
      </c>
      <c r="L423" t="n">
        <v>0</v>
      </c>
      <c r="M423" t="n">
        <v>0</v>
      </c>
      <c r="N423" t="n">
        <v>0</v>
      </c>
      <c r="O423" t="n">
        <v>0</v>
      </c>
      <c r="P423" t="n">
        <v>0</v>
      </c>
      <c r="Q423" t="n">
        <v>0</v>
      </c>
      <c r="R423" s="2" t="inlineStr"/>
    </row>
    <row r="424" ht="15" customHeight="1">
      <c r="A424" t="inlineStr">
        <is>
          <t>A 23129-2023</t>
        </is>
      </c>
      <c r="B424" s="1" t="n">
        <v>45075</v>
      </c>
      <c r="C424" s="1" t="n">
        <v>45892</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27090-2025</t>
        </is>
      </c>
      <c r="B425" s="1" t="n">
        <v>45811.66903935185</v>
      </c>
      <c r="C425" s="1" t="n">
        <v>45892</v>
      </c>
      <c r="D425" t="inlineStr">
        <is>
          <t>DALARNAS LÄN</t>
        </is>
      </c>
      <c r="E425" t="inlineStr">
        <is>
          <t>ÄLVDALEN</t>
        </is>
      </c>
      <c r="G425" t="n">
        <v>2.3</v>
      </c>
      <c r="H425" t="n">
        <v>0</v>
      </c>
      <c r="I425" t="n">
        <v>0</v>
      </c>
      <c r="J425" t="n">
        <v>0</v>
      </c>
      <c r="K425" t="n">
        <v>0</v>
      </c>
      <c r="L425" t="n">
        <v>0</v>
      </c>
      <c r="M425" t="n">
        <v>0</v>
      </c>
      <c r="N425" t="n">
        <v>0</v>
      </c>
      <c r="O425" t="n">
        <v>0</v>
      </c>
      <c r="P425" t="n">
        <v>0</v>
      </c>
      <c r="Q425" t="n">
        <v>0</v>
      </c>
      <c r="R425" s="2" t="inlineStr"/>
    </row>
    <row r="426" ht="15" customHeight="1">
      <c r="A426" t="inlineStr">
        <is>
          <t>A 40003-2022</t>
        </is>
      </c>
      <c r="B426" s="1" t="n">
        <v>44820.36509259259</v>
      </c>
      <c r="C426" s="1" t="n">
        <v>45892</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42679-2024</t>
        </is>
      </c>
      <c r="B427" s="1" t="n">
        <v>45566.37706018519</v>
      </c>
      <c r="C427" s="1" t="n">
        <v>45892</v>
      </c>
      <c r="D427" t="inlineStr">
        <is>
          <t>DALARNAS LÄN</t>
        </is>
      </c>
      <c r="E427" t="inlineStr">
        <is>
          <t>ÄLVDALEN</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27187-2025</t>
        </is>
      </c>
      <c r="B428" s="1" t="n">
        <v>45812.36554398148</v>
      </c>
      <c r="C428" s="1" t="n">
        <v>45892</v>
      </c>
      <c r="D428" t="inlineStr">
        <is>
          <t>DALARNAS LÄN</t>
        </is>
      </c>
      <c r="E428" t="inlineStr">
        <is>
          <t>ÄLVDALEN</t>
        </is>
      </c>
      <c r="F428" t="inlineStr">
        <is>
          <t>Allmännings- och besparingsskogar</t>
        </is>
      </c>
      <c r="G428" t="n">
        <v>3</v>
      </c>
      <c r="H428" t="n">
        <v>0</v>
      </c>
      <c r="I428" t="n">
        <v>0</v>
      </c>
      <c r="J428" t="n">
        <v>0</v>
      </c>
      <c r="K428" t="n">
        <v>0</v>
      </c>
      <c r="L428" t="n">
        <v>0</v>
      </c>
      <c r="M428" t="n">
        <v>0</v>
      </c>
      <c r="N428" t="n">
        <v>0</v>
      </c>
      <c r="O428" t="n">
        <v>0</v>
      </c>
      <c r="P428" t="n">
        <v>0</v>
      </c>
      <c r="Q428" t="n">
        <v>0</v>
      </c>
      <c r="R428" s="2" t="inlineStr"/>
    </row>
    <row r="429" ht="15" customHeight="1">
      <c r="A429" t="inlineStr">
        <is>
          <t>A 63079-2021</t>
        </is>
      </c>
      <c r="B429" s="1" t="n">
        <v>44505.56753472222</v>
      </c>
      <c r="C429" s="1" t="n">
        <v>45892</v>
      </c>
      <c r="D429" t="inlineStr">
        <is>
          <t>DALARNAS LÄN</t>
        </is>
      </c>
      <c r="E429" t="inlineStr">
        <is>
          <t>ÄLVDALEN</t>
        </is>
      </c>
      <c r="F429" t="inlineStr">
        <is>
          <t>Bergvik skog väst AB</t>
        </is>
      </c>
      <c r="G429" t="n">
        <v>4</v>
      </c>
      <c r="H429" t="n">
        <v>0</v>
      </c>
      <c r="I429" t="n">
        <v>0</v>
      </c>
      <c r="J429" t="n">
        <v>0</v>
      </c>
      <c r="K429" t="n">
        <v>0</v>
      </c>
      <c r="L429" t="n">
        <v>0</v>
      </c>
      <c r="M429" t="n">
        <v>0</v>
      </c>
      <c r="N429" t="n">
        <v>0</v>
      </c>
      <c r="O429" t="n">
        <v>0</v>
      </c>
      <c r="P429" t="n">
        <v>0</v>
      </c>
      <c r="Q429" t="n">
        <v>0</v>
      </c>
      <c r="R429" s="2" t="inlineStr"/>
    </row>
    <row r="430" ht="15" customHeight="1">
      <c r="A430" t="inlineStr">
        <is>
          <t>A 510-2024</t>
        </is>
      </c>
      <c r="B430" s="1" t="n">
        <v>45299.39997685186</v>
      </c>
      <c r="C430" s="1" t="n">
        <v>45892</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27230-2025</t>
        </is>
      </c>
      <c r="B431" s="1" t="n">
        <v>45812.43825231482</v>
      </c>
      <c r="C431" s="1" t="n">
        <v>45892</v>
      </c>
      <c r="D431" t="inlineStr">
        <is>
          <t>DALARNAS LÄN</t>
        </is>
      </c>
      <c r="E431" t="inlineStr">
        <is>
          <t>ÄLVDALEN</t>
        </is>
      </c>
      <c r="F431" t="inlineStr">
        <is>
          <t>Allmännings- och besparingsskogar</t>
        </is>
      </c>
      <c r="G431" t="n">
        <v>4</v>
      </c>
      <c r="H431" t="n">
        <v>0</v>
      </c>
      <c r="I431" t="n">
        <v>0</v>
      </c>
      <c r="J431" t="n">
        <v>0</v>
      </c>
      <c r="K431" t="n">
        <v>0</v>
      </c>
      <c r="L431" t="n">
        <v>0</v>
      </c>
      <c r="M431" t="n">
        <v>0</v>
      </c>
      <c r="N431" t="n">
        <v>0</v>
      </c>
      <c r="O431" t="n">
        <v>0</v>
      </c>
      <c r="P431" t="n">
        <v>0</v>
      </c>
      <c r="Q431" t="n">
        <v>0</v>
      </c>
      <c r="R431" s="2" t="inlineStr"/>
    </row>
    <row r="432" ht="15" customHeight="1">
      <c r="A432" t="inlineStr">
        <is>
          <t>A 54632-2021</t>
        </is>
      </c>
      <c r="B432" s="1" t="n">
        <v>44473</v>
      </c>
      <c r="C432" s="1" t="n">
        <v>45892</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c r="T432">
        <f>HYPERLINK("https://klasma.github.io/Logging_2039/kartor/A 54632-2021 karta.png", "A 54632-2021")</f>
        <v/>
      </c>
      <c r="V432">
        <f>HYPERLINK("https://klasma.github.io/Logging_2039/klagomål/A 54632-2021 FSC-klagomål.docx", "A 54632-2021")</f>
        <v/>
      </c>
      <c r="W432">
        <f>HYPERLINK("https://klasma.github.io/Logging_2039/klagomålsmail/A 54632-2021 FSC-klagomål mail.docx", "A 54632-2021")</f>
        <v/>
      </c>
      <c r="X432">
        <f>HYPERLINK("https://klasma.github.io/Logging_2039/tillsyn/A 54632-2021 tillsynsbegäran.docx", "A 54632-2021")</f>
        <v/>
      </c>
      <c r="Y432">
        <f>HYPERLINK("https://klasma.github.io/Logging_2039/tillsynsmail/A 54632-2021 tillsynsbegäran mail.docx", "A 54632-2021")</f>
        <v/>
      </c>
    </row>
    <row r="433" ht="15" customHeight="1">
      <c r="A433" t="inlineStr">
        <is>
          <t>A 27261-2025</t>
        </is>
      </c>
      <c r="B433" s="1" t="n">
        <v>45812.47674768518</v>
      </c>
      <c r="C433" s="1" t="n">
        <v>45892</v>
      </c>
      <c r="D433" t="inlineStr">
        <is>
          <t>DALARNAS LÄN</t>
        </is>
      </c>
      <c r="E433" t="inlineStr">
        <is>
          <t>ÄLVDALEN</t>
        </is>
      </c>
      <c r="F433" t="inlineStr">
        <is>
          <t>Bergvik skog väst AB</t>
        </is>
      </c>
      <c r="G433" t="n">
        <v>9.5</v>
      </c>
      <c r="H433" t="n">
        <v>0</v>
      </c>
      <c r="I433" t="n">
        <v>0</v>
      </c>
      <c r="J433" t="n">
        <v>0</v>
      </c>
      <c r="K433" t="n">
        <v>0</v>
      </c>
      <c r="L433" t="n">
        <v>0</v>
      </c>
      <c r="M433" t="n">
        <v>0</v>
      </c>
      <c r="N433" t="n">
        <v>0</v>
      </c>
      <c r="O433" t="n">
        <v>0</v>
      </c>
      <c r="P433" t="n">
        <v>0</v>
      </c>
      <c r="Q433" t="n">
        <v>0</v>
      </c>
      <c r="R433" s="2" t="inlineStr"/>
    </row>
    <row r="434" ht="15" customHeight="1">
      <c r="A434" t="inlineStr">
        <is>
          <t>A 36284-2024</t>
        </is>
      </c>
      <c r="B434" s="1" t="n">
        <v>45534.5897337963</v>
      </c>
      <c r="C434" s="1" t="n">
        <v>45892</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2377-2024</t>
        </is>
      </c>
      <c r="B435" s="1" t="n">
        <v>45310.63633101852</v>
      </c>
      <c r="C435" s="1" t="n">
        <v>45892</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2384-2024</t>
        </is>
      </c>
      <c r="B436" s="1" t="n">
        <v>45310.65099537037</v>
      </c>
      <c r="C436" s="1" t="n">
        <v>45892</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42426-2023</t>
        </is>
      </c>
      <c r="B437" s="1" t="n">
        <v>45175</v>
      </c>
      <c r="C437" s="1" t="n">
        <v>45892</v>
      </c>
      <c r="D437" t="inlineStr">
        <is>
          <t>DALARNAS LÄN</t>
        </is>
      </c>
      <c r="E437" t="inlineStr">
        <is>
          <t>ÄLVDALEN</t>
        </is>
      </c>
      <c r="G437" t="n">
        <v>3.6</v>
      </c>
      <c r="H437" t="n">
        <v>0</v>
      </c>
      <c r="I437" t="n">
        <v>0</v>
      </c>
      <c r="J437" t="n">
        <v>0</v>
      </c>
      <c r="K437" t="n">
        <v>0</v>
      </c>
      <c r="L437" t="n">
        <v>0</v>
      </c>
      <c r="M437" t="n">
        <v>0</v>
      </c>
      <c r="N437" t="n">
        <v>0</v>
      </c>
      <c r="O437" t="n">
        <v>0</v>
      </c>
      <c r="P437" t="n">
        <v>0</v>
      </c>
      <c r="Q437" t="n">
        <v>0</v>
      </c>
      <c r="R437" s="2" t="inlineStr"/>
    </row>
    <row r="438" ht="15" customHeight="1">
      <c r="A438" t="inlineStr">
        <is>
          <t>A 52469-2022</t>
        </is>
      </c>
      <c r="B438" s="1" t="n">
        <v>44874</v>
      </c>
      <c r="C438" s="1" t="n">
        <v>45892</v>
      </c>
      <c r="D438" t="inlineStr">
        <is>
          <t>DALARNAS LÄN</t>
        </is>
      </c>
      <c r="E438" t="inlineStr">
        <is>
          <t>ÄLVDALEN</t>
        </is>
      </c>
      <c r="G438" t="n">
        <v>1.7</v>
      </c>
      <c r="H438" t="n">
        <v>0</v>
      </c>
      <c r="I438" t="n">
        <v>0</v>
      </c>
      <c r="J438" t="n">
        <v>0</v>
      </c>
      <c r="K438" t="n">
        <v>0</v>
      </c>
      <c r="L438" t="n">
        <v>0</v>
      </c>
      <c r="M438" t="n">
        <v>0</v>
      </c>
      <c r="N438" t="n">
        <v>0</v>
      </c>
      <c r="O438" t="n">
        <v>0</v>
      </c>
      <c r="P438" t="n">
        <v>0</v>
      </c>
      <c r="Q438" t="n">
        <v>0</v>
      </c>
      <c r="R438" s="2" t="inlineStr"/>
    </row>
    <row r="439" ht="15" customHeight="1">
      <c r="A439" t="inlineStr">
        <is>
          <t>A 7998-2024</t>
        </is>
      </c>
      <c r="B439" s="1" t="n">
        <v>45350.6433912037</v>
      </c>
      <c r="C439" s="1" t="n">
        <v>45892</v>
      </c>
      <c r="D439" t="inlineStr">
        <is>
          <t>DALARNAS LÄN</t>
        </is>
      </c>
      <c r="E439" t="inlineStr">
        <is>
          <t>ÄLVDALEN</t>
        </is>
      </c>
      <c r="F439" t="inlineStr">
        <is>
          <t>Kommuner</t>
        </is>
      </c>
      <c r="G439" t="n">
        <v>7.9</v>
      </c>
      <c r="H439" t="n">
        <v>0</v>
      </c>
      <c r="I439" t="n">
        <v>0</v>
      </c>
      <c r="J439" t="n">
        <v>0</v>
      </c>
      <c r="K439" t="n">
        <v>0</v>
      </c>
      <c r="L439" t="n">
        <v>0</v>
      </c>
      <c r="M439" t="n">
        <v>0</v>
      </c>
      <c r="N439" t="n">
        <v>0</v>
      </c>
      <c r="O439" t="n">
        <v>0</v>
      </c>
      <c r="P439" t="n">
        <v>0</v>
      </c>
      <c r="Q439" t="n">
        <v>0</v>
      </c>
      <c r="R439" s="2" t="inlineStr"/>
    </row>
    <row r="440" ht="15" customHeight="1">
      <c r="A440" t="inlineStr">
        <is>
          <t>A 49956-2020</t>
        </is>
      </c>
      <c r="B440" s="1" t="n">
        <v>44109</v>
      </c>
      <c r="C440" s="1" t="n">
        <v>45892</v>
      </c>
      <c r="D440" t="inlineStr">
        <is>
          <t>DALARNAS LÄN</t>
        </is>
      </c>
      <c r="E440" t="inlineStr">
        <is>
          <t>ÄLVDALEN</t>
        </is>
      </c>
      <c r="F440" t="inlineStr">
        <is>
          <t>Övriga Aktiebolag</t>
        </is>
      </c>
      <c r="G440" t="n">
        <v>25.8</v>
      </c>
      <c r="H440" t="n">
        <v>0</v>
      </c>
      <c r="I440" t="n">
        <v>0</v>
      </c>
      <c r="J440" t="n">
        <v>0</v>
      </c>
      <c r="K440" t="n">
        <v>0</v>
      </c>
      <c r="L440" t="n">
        <v>0</v>
      </c>
      <c r="M440" t="n">
        <v>0</v>
      </c>
      <c r="N440" t="n">
        <v>0</v>
      </c>
      <c r="O440" t="n">
        <v>0</v>
      </c>
      <c r="P440" t="n">
        <v>0</v>
      </c>
      <c r="Q440" t="n">
        <v>0</v>
      </c>
      <c r="R440" s="2" t="inlineStr"/>
    </row>
    <row r="441" ht="15" customHeight="1">
      <c r="A441" t="inlineStr">
        <is>
          <t>A 36593-2023</t>
        </is>
      </c>
      <c r="B441" s="1" t="n">
        <v>45153.47732638889</v>
      </c>
      <c r="C441" s="1" t="n">
        <v>45892</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760-2025</t>
        </is>
      </c>
      <c r="B442" s="1" t="n">
        <v>45665.44936342593</v>
      </c>
      <c r="C442" s="1" t="n">
        <v>45892</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28884-2023</t>
        </is>
      </c>
      <c r="B443" s="1" t="n">
        <v>45104.48320601852</v>
      </c>
      <c r="C443" s="1" t="n">
        <v>45892</v>
      </c>
      <c r="D443" t="inlineStr">
        <is>
          <t>DALARNAS LÄN</t>
        </is>
      </c>
      <c r="E443" t="inlineStr">
        <is>
          <t>ÄLVDALEN</t>
        </is>
      </c>
      <c r="F443" t="inlineStr">
        <is>
          <t>Allmännings- och besparingsskogar</t>
        </is>
      </c>
      <c r="G443" t="n">
        <v>1.1</v>
      </c>
      <c r="H443" t="n">
        <v>0</v>
      </c>
      <c r="I443" t="n">
        <v>0</v>
      </c>
      <c r="J443" t="n">
        <v>0</v>
      </c>
      <c r="K443" t="n">
        <v>0</v>
      </c>
      <c r="L443" t="n">
        <v>0</v>
      </c>
      <c r="M443" t="n">
        <v>0</v>
      </c>
      <c r="N443" t="n">
        <v>0</v>
      </c>
      <c r="O443" t="n">
        <v>0</v>
      </c>
      <c r="P443" t="n">
        <v>0</v>
      </c>
      <c r="Q443" t="n">
        <v>0</v>
      </c>
      <c r="R443" s="2" t="inlineStr"/>
    </row>
    <row r="444" ht="15" customHeight="1">
      <c r="A444" t="inlineStr">
        <is>
          <t>A 55589-2022</t>
        </is>
      </c>
      <c r="B444" s="1" t="n">
        <v>44888.40673611111</v>
      </c>
      <c r="C444" s="1" t="n">
        <v>45892</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41004-2023</t>
        </is>
      </c>
      <c r="B445" s="1" t="n">
        <v>45173</v>
      </c>
      <c r="C445" s="1" t="n">
        <v>45892</v>
      </c>
      <c r="D445" t="inlineStr">
        <is>
          <t>DALARNAS LÄN</t>
        </is>
      </c>
      <c r="E445" t="inlineStr">
        <is>
          <t>ÄLVDALEN</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27918-2025</t>
        </is>
      </c>
      <c r="B446" s="1" t="n">
        <v>45817.48231481481</v>
      </c>
      <c r="C446" s="1" t="n">
        <v>45892</v>
      </c>
      <c r="D446" t="inlineStr">
        <is>
          <t>DALARNAS LÄN</t>
        </is>
      </c>
      <c r="E446" t="inlineStr">
        <is>
          <t>ÄLVDALEN</t>
        </is>
      </c>
      <c r="G446" t="n">
        <v>5.6</v>
      </c>
      <c r="H446" t="n">
        <v>0</v>
      </c>
      <c r="I446" t="n">
        <v>0</v>
      </c>
      <c r="J446" t="n">
        <v>0</v>
      </c>
      <c r="K446" t="n">
        <v>0</v>
      </c>
      <c r="L446" t="n">
        <v>0</v>
      </c>
      <c r="M446" t="n">
        <v>0</v>
      </c>
      <c r="N446" t="n">
        <v>0</v>
      </c>
      <c r="O446" t="n">
        <v>0</v>
      </c>
      <c r="P446" t="n">
        <v>0</v>
      </c>
      <c r="Q446" t="n">
        <v>0</v>
      </c>
      <c r="R446" s="2" t="inlineStr"/>
    </row>
    <row r="447" ht="15" customHeight="1">
      <c r="A447" t="inlineStr">
        <is>
          <t>A 44386-2021</t>
        </is>
      </c>
      <c r="B447" s="1" t="n">
        <v>44435</v>
      </c>
      <c r="C447" s="1" t="n">
        <v>45892</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3904-2024</t>
        </is>
      </c>
      <c r="B448" s="1" t="n">
        <v>45322</v>
      </c>
      <c r="C448" s="1" t="n">
        <v>45892</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27739-2025</t>
        </is>
      </c>
      <c r="B449" s="1" t="n">
        <v>45815.49082175926</v>
      </c>
      <c r="C449" s="1" t="n">
        <v>45892</v>
      </c>
      <c r="D449" t="inlineStr">
        <is>
          <t>DALARNAS LÄN</t>
        </is>
      </c>
      <c r="E449" t="inlineStr">
        <is>
          <t>ÄLVDALEN</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30987-2023</t>
        </is>
      </c>
      <c r="B450" s="1" t="n">
        <v>45113</v>
      </c>
      <c r="C450" s="1" t="n">
        <v>45892</v>
      </c>
      <c r="D450" t="inlineStr">
        <is>
          <t>DALARNAS LÄN</t>
        </is>
      </c>
      <c r="E450" t="inlineStr">
        <is>
          <t>ÄLVDALEN</t>
        </is>
      </c>
      <c r="F450" t="inlineStr">
        <is>
          <t>Allmännings- och besparingsskogar</t>
        </is>
      </c>
      <c r="G450" t="n">
        <v>3.8</v>
      </c>
      <c r="H450" t="n">
        <v>0</v>
      </c>
      <c r="I450" t="n">
        <v>0</v>
      </c>
      <c r="J450" t="n">
        <v>0</v>
      </c>
      <c r="K450" t="n">
        <v>0</v>
      </c>
      <c r="L450" t="n">
        <v>0</v>
      </c>
      <c r="M450" t="n">
        <v>0</v>
      </c>
      <c r="N450" t="n">
        <v>0</v>
      </c>
      <c r="O450" t="n">
        <v>0</v>
      </c>
      <c r="P450" t="n">
        <v>0</v>
      </c>
      <c r="Q450" t="n">
        <v>0</v>
      </c>
      <c r="R450" s="2" t="inlineStr"/>
    </row>
    <row r="451" ht="15" customHeight="1">
      <c r="A451" t="inlineStr">
        <is>
          <t>A 33107-2023</t>
        </is>
      </c>
      <c r="B451" s="1" t="n">
        <v>45114</v>
      </c>
      <c r="C451" s="1" t="n">
        <v>45892</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1081-2025</t>
        </is>
      </c>
      <c r="B452" s="1" t="n">
        <v>45666.61589120371</v>
      </c>
      <c r="C452" s="1" t="n">
        <v>45892</v>
      </c>
      <c r="D452" t="inlineStr">
        <is>
          <t>DALARNAS LÄN</t>
        </is>
      </c>
      <c r="E452" t="inlineStr">
        <is>
          <t>ÄLVDALEN</t>
        </is>
      </c>
      <c r="G452" t="n">
        <v>5.8</v>
      </c>
      <c r="H452" t="n">
        <v>0</v>
      </c>
      <c r="I452" t="n">
        <v>0</v>
      </c>
      <c r="J452" t="n">
        <v>0</v>
      </c>
      <c r="K452" t="n">
        <v>0</v>
      </c>
      <c r="L452" t="n">
        <v>0</v>
      </c>
      <c r="M452" t="n">
        <v>0</v>
      </c>
      <c r="N452" t="n">
        <v>0</v>
      </c>
      <c r="O452" t="n">
        <v>0</v>
      </c>
      <c r="P452" t="n">
        <v>0</v>
      </c>
      <c r="Q452" t="n">
        <v>0</v>
      </c>
      <c r="R452" s="2" t="inlineStr"/>
    </row>
    <row r="453" ht="15" customHeight="1">
      <c r="A453" t="inlineStr">
        <is>
          <t>A 1088-2025</t>
        </is>
      </c>
      <c r="B453" s="1" t="n">
        <v>45666.62162037037</v>
      </c>
      <c r="C453" s="1" t="n">
        <v>45892</v>
      </c>
      <c r="D453" t="inlineStr">
        <is>
          <t>DALARNAS LÄN</t>
        </is>
      </c>
      <c r="E453" t="inlineStr">
        <is>
          <t>ÄLVDALEN</t>
        </is>
      </c>
      <c r="G453" t="n">
        <v>5.4</v>
      </c>
      <c r="H453" t="n">
        <v>0</v>
      </c>
      <c r="I453" t="n">
        <v>0</v>
      </c>
      <c r="J453" t="n">
        <v>0</v>
      </c>
      <c r="K453" t="n">
        <v>0</v>
      </c>
      <c r="L453" t="n">
        <v>0</v>
      </c>
      <c r="M453" t="n">
        <v>0</v>
      </c>
      <c r="N453" t="n">
        <v>0</v>
      </c>
      <c r="O453" t="n">
        <v>0</v>
      </c>
      <c r="P453" t="n">
        <v>0</v>
      </c>
      <c r="Q453" t="n">
        <v>0</v>
      </c>
      <c r="R453" s="2" t="inlineStr"/>
    </row>
    <row r="454" ht="15" customHeight="1">
      <c r="A454" t="inlineStr">
        <is>
          <t>A 47071-2023</t>
        </is>
      </c>
      <c r="B454" s="1" t="n">
        <v>45201.60141203704</v>
      </c>
      <c r="C454" s="1" t="n">
        <v>45892</v>
      </c>
      <c r="D454" t="inlineStr">
        <is>
          <t>DALARNAS LÄN</t>
        </is>
      </c>
      <c r="E454" t="inlineStr">
        <is>
          <t>ÄLVDALEN</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26734-2021</t>
        </is>
      </c>
      <c r="B455" s="1" t="n">
        <v>44349.39537037037</v>
      </c>
      <c r="C455" s="1" t="n">
        <v>45892</v>
      </c>
      <c r="D455" t="inlineStr">
        <is>
          <t>DALARNAS LÄN</t>
        </is>
      </c>
      <c r="E455" t="inlineStr">
        <is>
          <t>ÄLVDALEN</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61575-2024</t>
        </is>
      </c>
      <c r="B456" s="1" t="n">
        <v>45646.61907407407</v>
      </c>
      <c r="C456" s="1" t="n">
        <v>45892</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57665-2024</t>
        </is>
      </c>
      <c r="B457" s="1" t="n">
        <v>45630.62005787037</v>
      </c>
      <c r="C457" s="1" t="n">
        <v>45892</v>
      </c>
      <c r="D457" t="inlineStr">
        <is>
          <t>DALARNAS LÄN</t>
        </is>
      </c>
      <c r="E457" t="inlineStr">
        <is>
          <t>ÄLVDALEN</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28838-2025</t>
        </is>
      </c>
      <c r="B458" s="1" t="n">
        <v>45820.56359953704</v>
      </c>
      <c r="C458" s="1" t="n">
        <v>45892</v>
      </c>
      <c r="D458" t="inlineStr">
        <is>
          <t>DALARNAS LÄN</t>
        </is>
      </c>
      <c r="E458" t="inlineStr">
        <is>
          <t>ÄLVDALEN</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28844-2025</t>
        </is>
      </c>
      <c r="B459" s="1" t="n">
        <v>45820.57053240741</v>
      </c>
      <c r="C459" s="1" t="n">
        <v>45892</v>
      </c>
      <c r="D459" t="inlineStr">
        <is>
          <t>DALARNAS LÄN</t>
        </is>
      </c>
      <c r="E459" t="inlineStr">
        <is>
          <t>ÄLVDALEN</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6001-2024</t>
        </is>
      </c>
      <c r="B460" s="1" t="n">
        <v>45336</v>
      </c>
      <c r="C460" s="1" t="n">
        <v>45892</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505-2024</t>
        </is>
      </c>
      <c r="B461" s="1" t="n">
        <v>45299</v>
      </c>
      <c r="C461" s="1" t="n">
        <v>45892</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54493-2023</t>
        </is>
      </c>
      <c r="B462" s="1" t="n">
        <v>45233.50606481481</v>
      </c>
      <c r="C462" s="1" t="n">
        <v>45892</v>
      </c>
      <c r="D462" t="inlineStr">
        <is>
          <t>DALARNAS LÄN</t>
        </is>
      </c>
      <c r="E462" t="inlineStr">
        <is>
          <t>ÄLVDALEN</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30985-2023</t>
        </is>
      </c>
      <c r="B463" s="1" t="n">
        <v>45113</v>
      </c>
      <c r="C463" s="1" t="n">
        <v>45892</v>
      </c>
      <c r="D463" t="inlineStr">
        <is>
          <t>DALARNAS LÄN</t>
        </is>
      </c>
      <c r="E463" t="inlineStr">
        <is>
          <t>ÄLVDALEN</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2375-2024</t>
        </is>
      </c>
      <c r="B464" s="1" t="n">
        <v>45310</v>
      </c>
      <c r="C464" s="1" t="n">
        <v>45892</v>
      </c>
      <c r="D464" t="inlineStr">
        <is>
          <t>DALARNAS LÄN</t>
        </is>
      </c>
      <c r="E464" t="inlineStr">
        <is>
          <t>ÄLVDALEN</t>
        </is>
      </c>
      <c r="G464" t="n">
        <v>5.4</v>
      </c>
      <c r="H464" t="n">
        <v>0</v>
      </c>
      <c r="I464" t="n">
        <v>0</v>
      </c>
      <c r="J464" t="n">
        <v>0</v>
      </c>
      <c r="K464" t="n">
        <v>0</v>
      </c>
      <c r="L464" t="n">
        <v>0</v>
      </c>
      <c r="M464" t="n">
        <v>0</v>
      </c>
      <c r="N464" t="n">
        <v>0</v>
      </c>
      <c r="O464" t="n">
        <v>0</v>
      </c>
      <c r="P464" t="n">
        <v>0</v>
      </c>
      <c r="Q464" t="n">
        <v>0</v>
      </c>
      <c r="R464" s="2" t="inlineStr"/>
    </row>
    <row r="465" ht="15" customHeight="1">
      <c r="A465" t="inlineStr">
        <is>
          <t>A 35993-2025</t>
        </is>
      </c>
      <c r="B465" s="1" t="n">
        <v>45863.48056712963</v>
      </c>
      <c r="C465" s="1" t="n">
        <v>45892</v>
      </c>
      <c r="D465" t="inlineStr">
        <is>
          <t>DALARNAS LÄN</t>
        </is>
      </c>
      <c r="E465" t="inlineStr">
        <is>
          <t>ÄLVDALEN</t>
        </is>
      </c>
      <c r="F465" t="inlineStr">
        <is>
          <t>Bergvik skog öst AB</t>
        </is>
      </c>
      <c r="G465" t="n">
        <v>6.1</v>
      </c>
      <c r="H465" t="n">
        <v>0</v>
      </c>
      <c r="I465" t="n">
        <v>0</v>
      </c>
      <c r="J465" t="n">
        <v>0</v>
      </c>
      <c r="K465" t="n">
        <v>0</v>
      </c>
      <c r="L465" t="n">
        <v>0</v>
      </c>
      <c r="M465" t="n">
        <v>0</v>
      </c>
      <c r="N465" t="n">
        <v>0</v>
      </c>
      <c r="O465" t="n">
        <v>0</v>
      </c>
      <c r="P465" t="n">
        <v>0</v>
      </c>
      <c r="Q465" t="n">
        <v>0</v>
      </c>
      <c r="R465" s="2" t="inlineStr"/>
    </row>
    <row r="466" ht="15" customHeight="1">
      <c r="A466" t="inlineStr">
        <is>
          <t>A 33100-2023</t>
        </is>
      </c>
      <c r="B466" s="1" t="n">
        <v>45114</v>
      </c>
      <c r="C466" s="1" t="n">
        <v>45892</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28842-2025</t>
        </is>
      </c>
      <c r="B467" s="1" t="n">
        <v>45820.56780092593</v>
      </c>
      <c r="C467" s="1" t="n">
        <v>45892</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61072-2024</t>
        </is>
      </c>
      <c r="B468" s="1" t="n">
        <v>45645.50583333334</v>
      </c>
      <c r="C468" s="1" t="n">
        <v>45892</v>
      </c>
      <c r="D468" t="inlineStr">
        <is>
          <t>DALARNAS LÄN</t>
        </is>
      </c>
      <c r="E468" t="inlineStr">
        <is>
          <t>ÄLVDALEN</t>
        </is>
      </c>
      <c r="G468" t="n">
        <v>3.9</v>
      </c>
      <c r="H468" t="n">
        <v>0</v>
      </c>
      <c r="I468" t="n">
        <v>0</v>
      </c>
      <c r="J468" t="n">
        <v>0</v>
      </c>
      <c r="K468" t="n">
        <v>0</v>
      </c>
      <c r="L468" t="n">
        <v>0</v>
      </c>
      <c r="M468" t="n">
        <v>0</v>
      </c>
      <c r="N468" t="n">
        <v>0</v>
      </c>
      <c r="O468" t="n">
        <v>0</v>
      </c>
      <c r="P468" t="n">
        <v>0</v>
      </c>
      <c r="Q468" t="n">
        <v>0</v>
      </c>
      <c r="R468" s="2" t="inlineStr"/>
    </row>
    <row r="469" ht="15" customHeight="1">
      <c r="A469" t="inlineStr">
        <is>
          <t>A 37438-2024</t>
        </is>
      </c>
      <c r="B469" s="1" t="n">
        <v>45540</v>
      </c>
      <c r="C469" s="1" t="n">
        <v>45892</v>
      </c>
      <c r="D469" t="inlineStr">
        <is>
          <t>DALARNAS LÄN</t>
        </is>
      </c>
      <c r="E469" t="inlineStr">
        <is>
          <t>ÄLVDALEN</t>
        </is>
      </c>
      <c r="G469" t="n">
        <v>3.9</v>
      </c>
      <c r="H469" t="n">
        <v>0</v>
      </c>
      <c r="I469" t="n">
        <v>0</v>
      </c>
      <c r="J469" t="n">
        <v>0</v>
      </c>
      <c r="K469" t="n">
        <v>0</v>
      </c>
      <c r="L469" t="n">
        <v>0</v>
      </c>
      <c r="M469" t="n">
        <v>0</v>
      </c>
      <c r="N469" t="n">
        <v>0</v>
      </c>
      <c r="O469" t="n">
        <v>0</v>
      </c>
      <c r="P469" t="n">
        <v>0</v>
      </c>
      <c r="Q469" t="n">
        <v>0</v>
      </c>
      <c r="R469" s="2" t="inlineStr"/>
    </row>
    <row r="470" ht="15" customHeight="1">
      <c r="A470" t="inlineStr">
        <is>
          <t>A 15759-2024</t>
        </is>
      </c>
      <c r="B470" s="1" t="n">
        <v>45404</v>
      </c>
      <c r="C470" s="1" t="n">
        <v>45892</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31047-2024</t>
        </is>
      </c>
      <c r="B471" s="1" t="n">
        <v>45502.33021990741</v>
      </c>
      <c r="C471" s="1" t="n">
        <v>45892</v>
      </c>
      <c r="D471" t="inlineStr">
        <is>
          <t>DALARNAS LÄN</t>
        </is>
      </c>
      <c r="E471" t="inlineStr">
        <is>
          <t>ÄLVDALEN</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47080-2024</t>
        </is>
      </c>
      <c r="B472" s="1" t="n">
        <v>45586.50578703704</v>
      </c>
      <c r="C472" s="1" t="n">
        <v>45892</v>
      </c>
      <c r="D472" t="inlineStr">
        <is>
          <t>DALARNAS LÄN</t>
        </is>
      </c>
      <c r="E472" t="inlineStr">
        <is>
          <t>ÄLVDALEN</t>
        </is>
      </c>
      <c r="G472" t="n">
        <v>0.9</v>
      </c>
      <c r="H472" t="n">
        <v>0</v>
      </c>
      <c r="I472" t="n">
        <v>0</v>
      </c>
      <c r="J472" t="n">
        <v>0</v>
      </c>
      <c r="K472" t="n">
        <v>0</v>
      </c>
      <c r="L472" t="n">
        <v>0</v>
      </c>
      <c r="M472" t="n">
        <v>0</v>
      </c>
      <c r="N472" t="n">
        <v>0</v>
      </c>
      <c r="O472" t="n">
        <v>0</v>
      </c>
      <c r="P472" t="n">
        <v>0</v>
      </c>
      <c r="Q472" t="n">
        <v>0</v>
      </c>
      <c r="R472" s="2" t="inlineStr"/>
    </row>
    <row r="473" ht="15" customHeight="1">
      <c r="A473" t="inlineStr">
        <is>
          <t>A 32009-2021</t>
        </is>
      </c>
      <c r="B473" s="1" t="n">
        <v>44370.63354166667</v>
      </c>
      <c r="C473" s="1" t="n">
        <v>45892</v>
      </c>
      <c r="D473" t="inlineStr">
        <is>
          <t>DALARNAS LÄN</t>
        </is>
      </c>
      <c r="E473" t="inlineStr">
        <is>
          <t>ÄLVDALEN</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36257-2025</t>
        </is>
      </c>
      <c r="B474" s="1" t="n">
        <v>45867.591875</v>
      </c>
      <c r="C474" s="1" t="n">
        <v>45892</v>
      </c>
      <c r="D474" t="inlineStr">
        <is>
          <t>DALARNAS LÄN</t>
        </is>
      </c>
      <c r="E474" t="inlineStr">
        <is>
          <t>ÄLVDALEN</t>
        </is>
      </c>
      <c r="F474" t="inlineStr">
        <is>
          <t>Allmännings- och besparingsskogar</t>
        </is>
      </c>
      <c r="G474" t="n">
        <v>1.9</v>
      </c>
      <c r="H474" t="n">
        <v>0</v>
      </c>
      <c r="I474" t="n">
        <v>0</v>
      </c>
      <c r="J474" t="n">
        <v>0</v>
      </c>
      <c r="K474" t="n">
        <v>0</v>
      </c>
      <c r="L474" t="n">
        <v>0</v>
      </c>
      <c r="M474" t="n">
        <v>0</v>
      </c>
      <c r="N474" t="n">
        <v>0</v>
      </c>
      <c r="O474" t="n">
        <v>0</v>
      </c>
      <c r="P474" t="n">
        <v>0</v>
      </c>
      <c r="Q474" t="n">
        <v>0</v>
      </c>
      <c r="R474" s="2" t="inlineStr"/>
    </row>
    <row r="475" ht="15" customHeight="1">
      <c r="A475" t="inlineStr">
        <is>
          <t>A 627-2025</t>
        </is>
      </c>
      <c r="B475" s="1" t="n">
        <v>45660</v>
      </c>
      <c r="C475" s="1" t="n">
        <v>45892</v>
      </c>
      <c r="D475" t="inlineStr">
        <is>
          <t>DALARNAS LÄN</t>
        </is>
      </c>
      <c r="E475" t="inlineStr">
        <is>
          <t>ÄLVDALEN</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41137-2024</t>
        </is>
      </c>
      <c r="B476" s="1" t="n">
        <v>45559.46734953704</v>
      </c>
      <c r="C476" s="1" t="n">
        <v>45892</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30025-2025</t>
        </is>
      </c>
      <c r="B477" s="1" t="n">
        <v>45826.56265046296</v>
      </c>
      <c r="C477" s="1" t="n">
        <v>45892</v>
      </c>
      <c r="D477" t="inlineStr">
        <is>
          <t>DALARNAS LÄN</t>
        </is>
      </c>
      <c r="E477" t="inlineStr">
        <is>
          <t>ÄLVDALEN</t>
        </is>
      </c>
      <c r="G477" t="n">
        <v>9</v>
      </c>
      <c r="H477" t="n">
        <v>0</v>
      </c>
      <c r="I477" t="n">
        <v>0</v>
      </c>
      <c r="J477" t="n">
        <v>0</v>
      </c>
      <c r="K477" t="n">
        <v>0</v>
      </c>
      <c r="L477" t="n">
        <v>0</v>
      </c>
      <c r="M477" t="n">
        <v>0</v>
      </c>
      <c r="N477" t="n">
        <v>0</v>
      </c>
      <c r="O477" t="n">
        <v>0</v>
      </c>
      <c r="P477" t="n">
        <v>0</v>
      </c>
      <c r="Q477" t="n">
        <v>0</v>
      </c>
      <c r="R477" s="2" t="inlineStr"/>
    </row>
    <row r="478" ht="15" customHeight="1">
      <c r="A478" t="inlineStr">
        <is>
          <t>A 52483-2023</t>
        </is>
      </c>
      <c r="B478" s="1" t="n">
        <v>45225</v>
      </c>
      <c r="C478" s="1" t="n">
        <v>45892</v>
      </c>
      <c r="D478" t="inlineStr">
        <is>
          <t>DALARNAS LÄN</t>
        </is>
      </c>
      <c r="E478" t="inlineStr">
        <is>
          <t>ÄLVDALEN</t>
        </is>
      </c>
      <c r="F478" t="inlineStr">
        <is>
          <t>Allmännings- och besparingsskogar</t>
        </is>
      </c>
      <c r="G478" t="n">
        <v>30.9</v>
      </c>
      <c r="H478" t="n">
        <v>0</v>
      </c>
      <c r="I478" t="n">
        <v>0</v>
      </c>
      <c r="J478" t="n">
        <v>0</v>
      </c>
      <c r="K478" t="n">
        <v>0</v>
      </c>
      <c r="L478" t="n">
        <v>0</v>
      </c>
      <c r="M478" t="n">
        <v>0</v>
      </c>
      <c r="N478" t="n">
        <v>0</v>
      </c>
      <c r="O478" t="n">
        <v>0</v>
      </c>
      <c r="P478" t="n">
        <v>0</v>
      </c>
      <c r="Q478" t="n">
        <v>0</v>
      </c>
      <c r="R478" s="2" t="inlineStr"/>
      <c r="U478">
        <f>HYPERLINK("https://klasma.github.io/Logging_2039/knärot/A 52483-2023 karta knärot.png", "A 52483-2023")</f>
        <v/>
      </c>
      <c r="V478">
        <f>HYPERLINK("https://klasma.github.io/Logging_2039/klagomål/A 52483-2023 FSC-klagomål.docx", "A 52483-2023")</f>
        <v/>
      </c>
      <c r="W478">
        <f>HYPERLINK("https://klasma.github.io/Logging_2039/klagomålsmail/A 52483-2023 FSC-klagomål mail.docx", "A 52483-2023")</f>
        <v/>
      </c>
      <c r="X478">
        <f>HYPERLINK("https://klasma.github.io/Logging_2039/tillsyn/A 52483-2023 tillsynsbegäran.docx", "A 52483-2023")</f>
        <v/>
      </c>
      <c r="Y478">
        <f>HYPERLINK("https://klasma.github.io/Logging_2039/tillsynsmail/A 52483-2023 tillsynsbegäran mail.docx", "A 52483-2023")</f>
        <v/>
      </c>
    </row>
    <row r="479" ht="15" customHeight="1">
      <c r="A479" t="inlineStr">
        <is>
          <t>A 30032-2025</t>
        </is>
      </c>
      <c r="B479" s="1" t="n">
        <v>45826.56873842593</v>
      </c>
      <c r="C479" s="1" t="n">
        <v>45892</v>
      </c>
      <c r="D479" t="inlineStr">
        <is>
          <t>DALARNAS LÄN</t>
        </is>
      </c>
      <c r="E479" t="inlineStr">
        <is>
          <t>ÄLVDALEN</t>
        </is>
      </c>
      <c r="G479" t="n">
        <v>5.5</v>
      </c>
      <c r="H479" t="n">
        <v>0</v>
      </c>
      <c r="I479" t="n">
        <v>0</v>
      </c>
      <c r="J479" t="n">
        <v>0</v>
      </c>
      <c r="K479" t="n">
        <v>0</v>
      </c>
      <c r="L479" t="n">
        <v>0</v>
      </c>
      <c r="M479" t="n">
        <v>0</v>
      </c>
      <c r="N479" t="n">
        <v>0</v>
      </c>
      <c r="O479" t="n">
        <v>0</v>
      </c>
      <c r="P479" t="n">
        <v>0</v>
      </c>
      <c r="Q479" t="n">
        <v>0</v>
      </c>
      <c r="R479" s="2" t="inlineStr"/>
    </row>
    <row r="480" ht="15" customHeight="1">
      <c r="A480" t="inlineStr">
        <is>
          <t>A 6675-2025</t>
        </is>
      </c>
      <c r="B480" s="1" t="n">
        <v>45700.47643518518</v>
      </c>
      <c r="C480" s="1" t="n">
        <v>45892</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10817-2025</t>
        </is>
      </c>
      <c r="B481" s="1" t="n">
        <v>45722.54625</v>
      </c>
      <c r="C481" s="1" t="n">
        <v>45892</v>
      </c>
      <c r="D481" t="inlineStr">
        <is>
          <t>DALARNAS LÄN</t>
        </is>
      </c>
      <c r="E481" t="inlineStr">
        <is>
          <t>ÄLVDALEN</t>
        </is>
      </c>
      <c r="F481" t="inlineStr">
        <is>
          <t>Kommuner</t>
        </is>
      </c>
      <c r="G481" t="n">
        <v>0.7</v>
      </c>
      <c r="H481" t="n">
        <v>0</v>
      </c>
      <c r="I481" t="n">
        <v>0</v>
      </c>
      <c r="J481" t="n">
        <v>0</v>
      </c>
      <c r="K481" t="n">
        <v>0</v>
      </c>
      <c r="L481" t="n">
        <v>0</v>
      </c>
      <c r="M481" t="n">
        <v>0</v>
      </c>
      <c r="N481" t="n">
        <v>0</v>
      </c>
      <c r="O481" t="n">
        <v>0</v>
      </c>
      <c r="P481" t="n">
        <v>0</v>
      </c>
      <c r="Q481" t="n">
        <v>0</v>
      </c>
      <c r="R481" s="2" t="inlineStr"/>
    </row>
    <row r="482" ht="15" customHeight="1">
      <c r="A482" t="inlineStr">
        <is>
          <t>A 10831-2025</t>
        </is>
      </c>
      <c r="B482" s="1" t="n">
        <v>45722.56425925926</v>
      </c>
      <c r="C482" s="1" t="n">
        <v>45892</v>
      </c>
      <c r="D482" t="inlineStr">
        <is>
          <t>DALARNAS LÄN</t>
        </is>
      </c>
      <c r="E482" t="inlineStr">
        <is>
          <t>ÄLVDALEN</t>
        </is>
      </c>
      <c r="F482" t="inlineStr">
        <is>
          <t>Kommuner</t>
        </is>
      </c>
      <c r="G482" t="n">
        <v>0.5</v>
      </c>
      <c r="H482" t="n">
        <v>0</v>
      </c>
      <c r="I482" t="n">
        <v>0</v>
      </c>
      <c r="J482" t="n">
        <v>0</v>
      </c>
      <c r="K482" t="n">
        <v>0</v>
      </c>
      <c r="L482" t="n">
        <v>0</v>
      </c>
      <c r="M482" t="n">
        <v>0</v>
      </c>
      <c r="N482" t="n">
        <v>0</v>
      </c>
      <c r="O482" t="n">
        <v>0</v>
      </c>
      <c r="P482" t="n">
        <v>0</v>
      </c>
      <c r="Q482" t="n">
        <v>0</v>
      </c>
      <c r="R482" s="2" t="inlineStr"/>
    </row>
    <row r="483" ht="15" customHeight="1">
      <c r="A483" t="inlineStr">
        <is>
          <t>A 30502-2025</t>
        </is>
      </c>
      <c r="B483" s="1" t="n">
        <v>45830.82903935185</v>
      </c>
      <c r="C483" s="1" t="n">
        <v>45892</v>
      </c>
      <c r="D483" t="inlineStr">
        <is>
          <t>DALARNAS LÄN</t>
        </is>
      </c>
      <c r="E483" t="inlineStr">
        <is>
          <t>ÄLVDALEN</t>
        </is>
      </c>
      <c r="G483" t="n">
        <v>2.3</v>
      </c>
      <c r="H483" t="n">
        <v>0</v>
      </c>
      <c r="I483" t="n">
        <v>0</v>
      </c>
      <c r="J483" t="n">
        <v>0</v>
      </c>
      <c r="K483" t="n">
        <v>0</v>
      </c>
      <c r="L483" t="n">
        <v>0</v>
      </c>
      <c r="M483" t="n">
        <v>0</v>
      </c>
      <c r="N483" t="n">
        <v>0</v>
      </c>
      <c r="O483" t="n">
        <v>0</v>
      </c>
      <c r="P483" t="n">
        <v>0</v>
      </c>
      <c r="Q483" t="n">
        <v>0</v>
      </c>
      <c r="R483" s="2" t="inlineStr"/>
    </row>
    <row r="484" ht="15" customHeight="1">
      <c r="A484" t="inlineStr">
        <is>
          <t>A 32352-2023</t>
        </is>
      </c>
      <c r="B484" s="1" t="n">
        <v>45120</v>
      </c>
      <c r="C484" s="1" t="n">
        <v>45892</v>
      </c>
      <c r="D484" t="inlineStr">
        <is>
          <t>DALARNAS LÄN</t>
        </is>
      </c>
      <c r="E484" t="inlineStr">
        <is>
          <t>ÄLVDALEN</t>
        </is>
      </c>
      <c r="G484" t="n">
        <v>2</v>
      </c>
      <c r="H484" t="n">
        <v>0</v>
      </c>
      <c r="I484" t="n">
        <v>0</v>
      </c>
      <c r="J484" t="n">
        <v>0</v>
      </c>
      <c r="K484" t="n">
        <v>0</v>
      </c>
      <c r="L484" t="n">
        <v>0</v>
      </c>
      <c r="M484" t="n">
        <v>0</v>
      </c>
      <c r="N484" t="n">
        <v>0</v>
      </c>
      <c r="O484" t="n">
        <v>0</v>
      </c>
      <c r="P484" t="n">
        <v>0</v>
      </c>
      <c r="Q484" t="n">
        <v>0</v>
      </c>
      <c r="R484" s="2" t="inlineStr"/>
    </row>
    <row r="485" ht="15" customHeight="1">
      <c r="A485" t="inlineStr">
        <is>
          <t>A 45155-2023</t>
        </is>
      </c>
      <c r="B485" s="1" t="n">
        <v>45187</v>
      </c>
      <c r="C485" s="1" t="n">
        <v>45892</v>
      </c>
      <c r="D485" t="inlineStr">
        <is>
          <t>DALARNAS LÄN</t>
        </is>
      </c>
      <c r="E485" t="inlineStr">
        <is>
          <t>ÄLVDALEN</t>
        </is>
      </c>
      <c r="G485" t="n">
        <v>40.1</v>
      </c>
      <c r="H485" t="n">
        <v>0</v>
      </c>
      <c r="I485" t="n">
        <v>0</v>
      </c>
      <c r="J485" t="n">
        <v>0</v>
      </c>
      <c r="K485" t="n">
        <v>0</v>
      </c>
      <c r="L485" t="n">
        <v>0</v>
      </c>
      <c r="M485" t="n">
        <v>0</v>
      </c>
      <c r="N485" t="n">
        <v>0</v>
      </c>
      <c r="O485" t="n">
        <v>0</v>
      </c>
      <c r="P485" t="n">
        <v>0</v>
      </c>
      <c r="Q485" t="n">
        <v>0</v>
      </c>
      <c r="R485" s="2" t="inlineStr"/>
    </row>
    <row r="486" ht="15" customHeight="1">
      <c r="A486" t="inlineStr">
        <is>
          <t>A 36830-2025</t>
        </is>
      </c>
      <c r="B486" s="1" t="n">
        <v>45874.34365740741</v>
      </c>
      <c r="C486" s="1" t="n">
        <v>45892</v>
      </c>
      <c r="D486" t="inlineStr">
        <is>
          <t>DALARNAS LÄN</t>
        </is>
      </c>
      <c r="E486" t="inlineStr">
        <is>
          <t>ÄLVDALEN</t>
        </is>
      </c>
      <c r="F486" t="inlineStr">
        <is>
          <t>Bergvik skog väst AB</t>
        </is>
      </c>
      <c r="G486" t="n">
        <v>5</v>
      </c>
      <c r="H486" t="n">
        <v>0</v>
      </c>
      <c r="I486" t="n">
        <v>0</v>
      </c>
      <c r="J486" t="n">
        <v>0</v>
      </c>
      <c r="K486" t="n">
        <v>0</v>
      </c>
      <c r="L486" t="n">
        <v>0</v>
      </c>
      <c r="M486" t="n">
        <v>0</v>
      </c>
      <c r="N486" t="n">
        <v>0</v>
      </c>
      <c r="O486" t="n">
        <v>0</v>
      </c>
      <c r="P486" t="n">
        <v>0</v>
      </c>
      <c r="Q486" t="n">
        <v>0</v>
      </c>
      <c r="R486" s="2" t="inlineStr"/>
    </row>
    <row r="487" ht="15" customHeight="1">
      <c r="A487" t="inlineStr">
        <is>
          <t>A 41446-2024</t>
        </is>
      </c>
      <c r="B487" s="1" t="n">
        <v>45560.39483796297</v>
      </c>
      <c r="C487" s="1" t="n">
        <v>45892</v>
      </c>
      <c r="D487" t="inlineStr">
        <is>
          <t>DALARNAS LÄN</t>
        </is>
      </c>
      <c r="E487" t="inlineStr">
        <is>
          <t>ÄLVDALEN</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60793-2022</t>
        </is>
      </c>
      <c r="B488" s="1" t="n">
        <v>44911</v>
      </c>
      <c r="C488" s="1" t="n">
        <v>45892</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47081-2023</t>
        </is>
      </c>
      <c r="B489" s="1" t="n">
        <v>45201.61148148148</v>
      </c>
      <c r="C489" s="1" t="n">
        <v>45892</v>
      </c>
      <c r="D489" t="inlineStr">
        <is>
          <t>DALARNAS LÄN</t>
        </is>
      </c>
      <c r="E489" t="inlineStr">
        <is>
          <t>ÄLVDALEN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45892</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32361-2024</t>
        </is>
      </c>
      <c r="B491" s="1" t="n">
        <v>45512.56725694444</v>
      </c>
      <c r="C491" s="1" t="n">
        <v>45892</v>
      </c>
      <c r="D491" t="inlineStr">
        <is>
          <t>DALARNAS LÄN</t>
        </is>
      </c>
      <c r="E491" t="inlineStr">
        <is>
          <t>ÄLVDALEN</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32363-2024</t>
        </is>
      </c>
      <c r="B492" s="1" t="n">
        <v>45512</v>
      </c>
      <c r="C492" s="1" t="n">
        <v>45892</v>
      </c>
      <c r="D492" t="inlineStr">
        <is>
          <t>DALARNAS LÄN</t>
        </is>
      </c>
      <c r="E492" t="inlineStr">
        <is>
          <t>ÄLVDALEN</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32063-2025</t>
        </is>
      </c>
      <c r="B493" s="1" t="n">
        <v>45835.44703703704</v>
      </c>
      <c r="C493" s="1" t="n">
        <v>45892</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59209-2022</t>
        </is>
      </c>
      <c r="B494" s="1" t="n">
        <v>44904</v>
      </c>
      <c r="C494" s="1" t="n">
        <v>45892</v>
      </c>
      <c r="D494" t="inlineStr">
        <is>
          <t>DALARNAS LÄN</t>
        </is>
      </c>
      <c r="E494" t="inlineStr">
        <is>
          <t>ÄLVDALEN</t>
        </is>
      </c>
      <c r="G494" t="n">
        <v>2.6</v>
      </c>
      <c r="H494" t="n">
        <v>0</v>
      </c>
      <c r="I494" t="n">
        <v>0</v>
      </c>
      <c r="J494" t="n">
        <v>0</v>
      </c>
      <c r="K494" t="n">
        <v>0</v>
      </c>
      <c r="L494" t="n">
        <v>0</v>
      </c>
      <c r="M494" t="n">
        <v>0</v>
      </c>
      <c r="N494" t="n">
        <v>0</v>
      </c>
      <c r="O494" t="n">
        <v>0</v>
      </c>
      <c r="P494" t="n">
        <v>0</v>
      </c>
      <c r="Q494" t="n">
        <v>0</v>
      </c>
      <c r="R494" s="2" t="inlineStr"/>
    </row>
    <row r="495" ht="15" customHeight="1">
      <c r="A495" t="inlineStr">
        <is>
          <t>A 37665-2023</t>
        </is>
      </c>
      <c r="B495" s="1" t="n">
        <v>45159.5371875</v>
      </c>
      <c r="C495" s="1" t="n">
        <v>45892</v>
      </c>
      <c r="D495" t="inlineStr">
        <is>
          <t>DALARNAS LÄN</t>
        </is>
      </c>
      <c r="E495" t="inlineStr">
        <is>
          <t>ÄLVDALEN</t>
        </is>
      </c>
      <c r="F495" t="inlineStr">
        <is>
          <t>Allmännings- och besparingsskogar</t>
        </is>
      </c>
      <c r="G495" t="n">
        <v>0.5</v>
      </c>
      <c r="H495" t="n">
        <v>0</v>
      </c>
      <c r="I495" t="n">
        <v>0</v>
      </c>
      <c r="J495" t="n">
        <v>0</v>
      </c>
      <c r="K495" t="n">
        <v>0</v>
      </c>
      <c r="L495" t="n">
        <v>0</v>
      </c>
      <c r="M495" t="n">
        <v>0</v>
      </c>
      <c r="N495" t="n">
        <v>0</v>
      </c>
      <c r="O495" t="n">
        <v>0</v>
      </c>
      <c r="P495" t="n">
        <v>0</v>
      </c>
      <c r="Q495" t="n">
        <v>0</v>
      </c>
      <c r="R495" s="2" t="inlineStr"/>
    </row>
    <row r="496" ht="15" customHeight="1">
      <c r="A496" t="inlineStr">
        <is>
          <t>A 7937-2025</t>
        </is>
      </c>
      <c r="B496" s="1" t="n">
        <v>45707.3953125</v>
      </c>
      <c r="C496" s="1" t="n">
        <v>45892</v>
      </c>
      <c r="D496" t="inlineStr">
        <is>
          <t>DALARNAS LÄN</t>
        </is>
      </c>
      <c r="E496" t="inlineStr">
        <is>
          <t>ÄLVDALEN</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59138-2023</t>
        </is>
      </c>
      <c r="B497" s="1" t="n">
        <v>45253</v>
      </c>
      <c r="C497" s="1" t="n">
        <v>45892</v>
      </c>
      <c r="D497" t="inlineStr">
        <is>
          <t>DALARNAS LÄN</t>
        </is>
      </c>
      <c r="E497" t="inlineStr">
        <is>
          <t>ÄLVDALEN</t>
        </is>
      </c>
      <c r="G497" t="n">
        <v>0.4</v>
      </c>
      <c r="H497" t="n">
        <v>0</v>
      </c>
      <c r="I497" t="n">
        <v>0</v>
      </c>
      <c r="J497" t="n">
        <v>0</v>
      </c>
      <c r="K497" t="n">
        <v>0</v>
      </c>
      <c r="L497" t="n">
        <v>0</v>
      </c>
      <c r="M497" t="n">
        <v>0</v>
      </c>
      <c r="N497" t="n">
        <v>0</v>
      </c>
      <c r="O497" t="n">
        <v>0</v>
      </c>
      <c r="P497" t="n">
        <v>0</v>
      </c>
      <c r="Q497" t="n">
        <v>0</v>
      </c>
      <c r="R497" s="2" t="inlineStr"/>
    </row>
    <row r="498" ht="15" customHeight="1">
      <c r="A498" t="inlineStr">
        <is>
          <t>A 15738-2025</t>
        </is>
      </c>
      <c r="B498" s="1" t="n">
        <v>45748.54524305555</v>
      </c>
      <c r="C498" s="1" t="n">
        <v>45892</v>
      </c>
      <c r="D498" t="inlineStr">
        <is>
          <t>DALARNAS LÄN</t>
        </is>
      </c>
      <c r="E498" t="inlineStr">
        <is>
          <t>ÄLVDALEN</t>
        </is>
      </c>
      <c r="G498" t="n">
        <v>4.5</v>
      </c>
      <c r="H498" t="n">
        <v>0</v>
      </c>
      <c r="I498" t="n">
        <v>0</v>
      </c>
      <c r="J498" t="n">
        <v>0</v>
      </c>
      <c r="K498" t="n">
        <v>0</v>
      </c>
      <c r="L498" t="n">
        <v>0</v>
      </c>
      <c r="M498" t="n">
        <v>0</v>
      </c>
      <c r="N498" t="n">
        <v>0</v>
      </c>
      <c r="O498" t="n">
        <v>0</v>
      </c>
      <c r="P498" t="n">
        <v>0</v>
      </c>
      <c r="Q498" t="n">
        <v>0</v>
      </c>
      <c r="R498" s="2" t="inlineStr"/>
    </row>
    <row r="499" ht="15" customHeight="1">
      <c r="A499" t="inlineStr">
        <is>
          <t>A 19588-2025</t>
        </is>
      </c>
      <c r="B499" s="1" t="n">
        <v>45770</v>
      </c>
      <c r="C499" s="1" t="n">
        <v>45892</v>
      </c>
      <c r="D499" t="inlineStr">
        <is>
          <t>DALARNAS LÄN</t>
        </is>
      </c>
      <c r="E499" t="inlineStr">
        <is>
          <t>ÄLVDALEN</t>
        </is>
      </c>
      <c r="F499" t="inlineStr">
        <is>
          <t>Sveaskog</t>
        </is>
      </c>
      <c r="G499" t="n">
        <v>5.1</v>
      </c>
      <c r="H499" t="n">
        <v>0</v>
      </c>
      <c r="I499" t="n">
        <v>0</v>
      </c>
      <c r="J499" t="n">
        <v>0</v>
      </c>
      <c r="K499" t="n">
        <v>0</v>
      </c>
      <c r="L499" t="n">
        <v>0</v>
      </c>
      <c r="M499" t="n">
        <v>0</v>
      </c>
      <c r="N499" t="n">
        <v>0</v>
      </c>
      <c r="O499" t="n">
        <v>0</v>
      </c>
      <c r="P499" t="n">
        <v>0</v>
      </c>
      <c r="Q499" t="n">
        <v>0</v>
      </c>
      <c r="R499" s="2" t="inlineStr"/>
    </row>
    <row r="500" ht="15" customHeight="1">
      <c r="A500" t="inlineStr">
        <is>
          <t>A 31796-2025</t>
        </is>
      </c>
      <c r="B500" s="1" t="n">
        <v>45834.54943287037</v>
      </c>
      <c r="C500" s="1" t="n">
        <v>45892</v>
      </c>
      <c r="D500" t="inlineStr">
        <is>
          <t>DALARNAS LÄN</t>
        </is>
      </c>
      <c r="E500" t="inlineStr">
        <is>
          <t>ÄLVDALEN</t>
        </is>
      </c>
      <c r="G500" t="n">
        <v>65.5</v>
      </c>
      <c r="H500" t="n">
        <v>0</v>
      </c>
      <c r="I500" t="n">
        <v>0</v>
      </c>
      <c r="J500" t="n">
        <v>0</v>
      </c>
      <c r="K500" t="n">
        <v>0</v>
      </c>
      <c r="L500" t="n">
        <v>0</v>
      </c>
      <c r="M500" t="n">
        <v>0</v>
      </c>
      <c r="N500" t="n">
        <v>0</v>
      </c>
      <c r="O500" t="n">
        <v>0</v>
      </c>
      <c r="P500" t="n">
        <v>0</v>
      </c>
      <c r="Q500" t="n">
        <v>0</v>
      </c>
      <c r="R500" s="2" t="inlineStr"/>
    </row>
    <row r="501" ht="15" customHeight="1">
      <c r="A501" t="inlineStr">
        <is>
          <t>A 63329-2023</t>
        </is>
      </c>
      <c r="B501" s="1" t="n">
        <v>45274.38255787037</v>
      </c>
      <c r="C501" s="1" t="n">
        <v>45892</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29610-2024</t>
        </is>
      </c>
      <c r="B502" s="1" t="n">
        <v>45484</v>
      </c>
      <c r="C502" s="1" t="n">
        <v>45892</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28467-2024</t>
        </is>
      </c>
      <c r="B503" s="1" t="n">
        <v>45477.71173611111</v>
      </c>
      <c r="C503" s="1" t="n">
        <v>45892</v>
      </c>
      <c r="D503" t="inlineStr">
        <is>
          <t>DALARNAS LÄN</t>
        </is>
      </c>
      <c r="E503" t="inlineStr">
        <is>
          <t>ÄLVDALEN</t>
        </is>
      </c>
      <c r="G503" t="n">
        <v>4</v>
      </c>
      <c r="H503" t="n">
        <v>0</v>
      </c>
      <c r="I503" t="n">
        <v>0</v>
      </c>
      <c r="J503" t="n">
        <v>0</v>
      </c>
      <c r="K503" t="n">
        <v>0</v>
      </c>
      <c r="L503" t="n">
        <v>0</v>
      </c>
      <c r="M503" t="n">
        <v>0</v>
      </c>
      <c r="N503" t="n">
        <v>0</v>
      </c>
      <c r="O503" t="n">
        <v>0</v>
      </c>
      <c r="P503" t="n">
        <v>0</v>
      </c>
      <c r="Q503" t="n">
        <v>0</v>
      </c>
      <c r="R503" s="2" t="inlineStr"/>
    </row>
    <row r="504" ht="15" customHeight="1">
      <c r="A504" t="inlineStr">
        <is>
          <t>A 32668-2025</t>
        </is>
      </c>
      <c r="B504" s="1" t="n">
        <v>45838.69678240741</v>
      </c>
      <c r="C504" s="1" t="n">
        <v>45892</v>
      </c>
      <c r="D504" t="inlineStr">
        <is>
          <t>DALARNAS LÄN</t>
        </is>
      </c>
      <c r="E504" t="inlineStr">
        <is>
          <t>ÄLVDALEN</t>
        </is>
      </c>
      <c r="F504" t="inlineStr">
        <is>
          <t>Övriga Aktiebolag</t>
        </is>
      </c>
      <c r="G504" t="n">
        <v>29.5</v>
      </c>
      <c r="H504" t="n">
        <v>0</v>
      </c>
      <c r="I504" t="n">
        <v>0</v>
      </c>
      <c r="J504" t="n">
        <v>0</v>
      </c>
      <c r="K504" t="n">
        <v>0</v>
      </c>
      <c r="L504" t="n">
        <v>0</v>
      </c>
      <c r="M504" t="n">
        <v>0</v>
      </c>
      <c r="N504" t="n">
        <v>0</v>
      </c>
      <c r="O504" t="n">
        <v>0</v>
      </c>
      <c r="P504" t="n">
        <v>0</v>
      </c>
      <c r="Q504" t="n">
        <v>0</v>
      </c>
      <c r="R504" s="2" t="inlineStr"/>
    </row>
    <row r="505" ht="15" customHeight="1">
      <c r="A505" t="inlineStr">
        <is>
          <t>A 37873-2025</t>
        </is>
      </c>
      <c r="B505" s="1" t="n">
        <v>45881</v>
      </c>
      <c r="C505" s="1" t="n">
        <v>45892</v>
      </c>
      <c r="D505" t="inlineStr">
        <is>
          <t>DALARNAS LÄN</t>
        </is>
      </c>
      <c r="E505" t="inlineStr">
        <is>
          <t>ÄLVDALEN</t>
        </is>
      </c>
      <c r="F505" t="inlineStr">
        <is>
          <t>Övriga Aktiebolag</t>
        </is>
      </c>
      <c r="G505" t="n">
        <v>40.7</v>
      </c>
      <c r="H505" t="n">
        <v>0</v>
      </c>
      <c r="I505" t="n">
        <v>0</v>
      </c>
      <c r="J505" t="n">
        <v>0</v>
      </c>
      <c r="K505" t="n">
        <v>0</v>
      </c>
      <c r="L505" t="n">
        <v>0</v>
      </c>
      <c r="M505" t="n">
        <v>0</v>
      </c>
      <c r="N505" t="n">
        <v>0</v>
      </c>
      <c r="O505" t="n">
        <v>0</v>
      </c>
      <c r="P505" t="n">
        <v>0</v>
      </c>
      <c r="Q505" t="n">
        <v>0</v>
      </c>
      <c r="R505" s="2" t="inlineStr"/>
    </row>
    <row r="506" ht="15" customHeight="1">
      <c r="A506" t="inlineStr">
        <is>
          <t>A 37874-2025</t>
        </is>
      </c>
      <c r="B506" s="1" t="n">
        <v>45881</v>
      </c>
      <c r="C506" s="1" t="n">
        <v>45892</v>
      </c>
      <c r="D506" t="inlineStr">
        <is>
          <t>DALARNAS LÄN</t>
        </is>
      </c>
      <c r="E506" t="inlineStr">
        <is>
          <t>ÄLVDALEN</t>
        </is>
      </c>
      <c r="F506" t="inlineStr">
        <is>
          <t>Övriga Aktiebolag</t>
        </is>
      </c>
      <c r="G506" t="n">
        <v>33.5</v>
      </c>
      <c r="H506" t="n">
        <v>0</v>
      </c>
      <c r="I506" t="n">
        <v>0</v>
      </c>
      <c r="J506" t="n">
        <v>0</v>
      </c>
      <c r="K506" t="n">
        <v>0</v>
      </c>
      <c r="L506" t="n">
        <v>0</v>
      </c>
      <c r="M506" t="n">
        <v>0</v>
      </c>
      <c r="N506" t="n">
        <v>0</v>
      </c>
      <c r="O506" t="n">
        <v>0</v>
      </c>
      <c r="P506" t="n">
        <v>0</v>
      </c>
      <c r="Q506" t="n">
        <v>0</v>
      </c>
      <c r="R506" s="2" t="inlineStr"/>
    </row>
    <row r="507" ht="15" customHeight="1">
      <c r="A507" t="inlineStr">
        <is>
          <t>A 33102-2023</t>
        </is>
      </c>
      <c r="B507" s="1" t="n">
        <v>45114</v>
      </c>
      <c r="C507" s="1" t="n">
        <v>45892</v>
      </c>
      <c r="D507" t="inlineStr">
        <is>
          <t>DALARNAS LÄN</t>
        </is>
      </c>
      <c r="E507" t="inlineStr">
        <is>
          <t>ÄLVDALEN</t>
        </is>
      </c>
      <c r="G507" t="n">
        <v>1.6</v>
      </c>
      <c r="H507" t="n">
        <v>0</v>
      </c>
      <c r="I507" t="n">
        <v>0</v>
      </c>
      <c r="J507" t="n">
        <v>0</v>
      </c>
      <c r="K507" t="n">
        <v>0</v>
      </c>
      <c r="L507" t="n">
        <v>0</v>
      </c>
      <c r="M507" t="n">
        <v>0</v>
      </c>
      <c r="N507" t="n">
        <v>0</v>
      </c>
      <c r="O507" t="n">
        <v>0</v>
      </c>
      <c r="P507" t="n">
        <v>0</v>
      </c>
      <c r="Q507" t="n">
        <v>0</v>
      </c>
      <c r="R507" s="2" t="inlineStr"/>
    </row>
    <row r="508" ht="15" customHeight="1">
      <c r="A508" t="inlineStr">
        <is>
          <t>A 62315-2022</t>
        </is>
      </c>
      <c r="B508" s="1" t="n">
        <v>44916</v>
      </c>
      <c r="C508" s="1" t="n">
        <v>45892</v>
      </c>
      <c r="D508" t="inlineStr">
        <is>
          <t>DALARNAS LÄN</t>
        </is>
      </c>
      <c r="E508" t="inlineStr">
        <is>
          <t>ÄLVDALEN</t>
        </is>
      </c>
      <c r="G508" t="n">
        <v>2.1</v>
      </c>
      <c r="H508" t="n">
        <v>0</v>
      </c>
      <c r="I508" t="n">
        <v>0</v>
      </c>
      <c r="J508" t="n">
        <v>0</v>
      </c>
      <c r="K508" t="n">
        <v>0</v>
      </c>
      <c r="L508" t="n">
        <v>0</v>
      </c>
      <c r="M508" t="n">
        <v>0</v>
      </c>
      <c r="N508" t="n">
        <v>0</v>
      </c>
      <c r="O508" t="n">
        <v>0</v>
      </c>
      <c r="P508" t="n">
        <v>0</v>
      </c>
      <c r="Q508" t="n">
        <v>0</v>
      </c>
      <c r="R508" s="2" t="inlineStr"/>
    </row>
    <row r="509" ht="15" customHeight="1">
      <c r="A509" t="inlineStr">
        <is>
          <t>A 53168-2024</t>
        </is>
      </c>
      <c r="B509" s="1" t="n">
        <v>45611.65569444445</v>
      </c>
      <c r="C509" s="1" t="n">
        <v>45892</v>
      </c>
      <c r="D509" t="inlineStr">
        <is>
          <t>DALARNAS LÄN</t>
        </is>
      </c>
      <c r="E509" t="inlineStr">
        <is>
          <t>ÄLVDALEN</t>
        </is>
      </c>
      <c r="G509" t="n">
        <v>3.4</v>
      </c>
      <c r="H509" t="n">
        <v>0</v>
      </c>
      <c r="I509" t="n">
        <v>0</v>
      </c>
      <c r="J509" t="n">
        <v>0</v>
      </c>
      <c r="K509" t="n">
        <v>0</v>
      </c>
      <c r="L509" t="n">
        <v>0</v>
      </c>
      <c r="M509" t="n">
        <v>0</v>
      </c>
      <c r="N509" t="n">
        <v>0</v>
      </c>
      <c r="O509" t="n">
        <v>0</v>
      </c>
      <c r="P509" t="n">
        <v>0</v>
      </c>
      <c r="Q509" t="n">
        <v>0</v>
      </c>
      <c r="R509" s="2" t="inlineStr"/>
    </row>
    <row r="510" ht="15" customHeight="1">
      <c r="A510" t="inlineStr">
        <is>
          <t>A 37186-2025</t>
        </is>
      </c>
      <c r="B510" s="1" t="n">
        <v>45875.63905092593</v>
      </c>
      <c r="C510" s="1" t="n">
        <v>45892</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39283-2024</t>
        </is>
      </c>
      <c r="B511" s="1" t="n">
        <v>45551.36314814815</v>
      </c>
      <c r="C511" s="1" t="n">
        <v>45892</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33099-2023</t>
        </is>
      </c>
      <c r="B512" s="1" t="n">
        <v>45114</v>
      </c>
      <c r="C512" s="1" t="n">
        <v>45892</v>
      </c>
      <c r="D512" t="inlineStr">
        <is>
          <t>DALARNAS LÄN</t>
        </is>
      </c>
      <c r="E512" t="inlineStr">
        <is>
          <t>ÄLVDALEN</t>
        </is>
      </c>
      <c r="G512" t="n">
        <v>3.5</v>
      </c>
      <c r="H512" t="n">
        <v>0</v>
      </c>
      <c r="I512" t="n">
        <v>0</v>
      </c>
      <c r="J512" t="n">
        <v>0</v>
      </c>
      <c r="K512" t="n">
        <v>0</v>
      </c>
      <c r="L512" t="n">
        <v>0</v>
      </c>
      <c r="M512" t="n">
        <v>0</v>
      </c>
      <c r="N512" t="n">
        <v>0</v>
      </c>
      <c r="O512" t="n">
        <v>0</v>
      </c>
      <c r="P512" t="n">
        <v>0</v>
      </c>
      <c r="Q512" t="n">
        <v>0</v>
      </c>
      <c r="R512" s="2" t="inlineStr"/>
    </row>
    <row r="513" ht="15" customHeight="1">
      <c r="A513" t="inlineStr">
        <is>
          <t>A 3893-2024</t>
        </is>
      </c>
      <c r="B513" s="1" t="n">
        <v>45322</v>
      </c>
      <c r="C513" s="1" t="n">
        <v>45892</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24762-2023</t>
        </is>
      </c>
      <c r="B514" s="1" t="n">
        <v>45084.6283912037</v>
      </c>
      <c r="C514" s="1" t="n">
        <v>45892</v>
      </c>
      <c r="D514" t="inlineStr">
        <is>
          <t>DALARNAS LÄN</t>
        </is>
      </c>
      <c r="E514" t="inlineStr">
        <is>
          <t>ÄLVDALEN</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45892</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6230-2024</t>
        </is>
      </c>
      <c r="B516" s="1" t="n">
        <v>45337</v>
      </c>
      <c r="C516" s="1" t="n">
        <v>45892</v>
      </c>
      <c r="D516" t="inlineStr">
        <is>
          <t>DALARNAS LÄN</t>
        </is>
      </c>
      <c r="E516" t="inlineStr">
        <is>
          <t>ÄLVDALEN</t>
        </is>
      </c>
      <c r="G516" t="n">
        <v>6.2</v>
      </c>
      <c r="H516" t="n">
        <v>0</v>
      </c>
      <c r="I516" t="n">
        <v>0</v>
      </c>
      <c r="J516" t="n">
        <v>0</v>
      </c>
      <c r="K516" t="n">
        <v>0</v>
      </c>
      <c r="L516" t="n">
        <v>0</v>
      </c>
      <c r="M516" t="n">
        <v>0</v>
      </c>
      <c r="N516" t="n">
        <v>0</v>
      </c>
      <c r="O516" t="n">
        <v>0</v>
      </c>
      <c r="P516" t="n">
        <v>0</v>
      </c>
      <c r="Q516" t="n">
        <v>0</v>
      </c>
      <c r="R516" s="2" t="inlineStr"/>
    </row>
    <row r="517" ht="15" customHeight="1">
      <c r="A517" t="inlineStr">
        <is>
          <t>A 56882-2022</t>
        </is>
      </c>
      <c r="B517" s="1" t="n">
        <v>44894</v>
      </c>
      <c r="C517" s="1" t="n">
        <v>45892</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47877-2023</t>
        </is>
      </c>
      <c r="B518" s="1" t="n">
        <v>45204</v>
      </c>
      <c r="C518" s="1" t="n">
        <v>45892</v>
      </c>
      <c r="D518" t="inlineStr">
        <is>
          <t>DALARNAS LÄN</t>
        </is>
      </c>
      <c r="E518" t="inlineStr">
        <is>
          <t>ÄLVDALEN</t>
        </is>
      </c>
      <c r="G518" t="n">
        <v>4.8</v>
      </c>
      <c r="H518" t="n">
        <v>0</v>
      </c>
      <c r="I518" t="n">
        <v>0</v>
      </c>
      <c r="J518" t="n">
        <v>0</v>
      </c>
      <c r="K518" t="n">
        <v>0</v>
      </c>
      <c r="L518" t="n">
        <v>0</v>
      </c>
      <c r="M518" t="n">
        <v>0</v>
      </c>
      <c r="N518" t="n">
        <v>0</v>
      </c>
      <c r="O518" t="n">
        <v>0</v>
      </c>
      <c r="P518" t="n">
        <v>0</v>
      </c>
      <c r="Q518" t="n">
        <v>0</v>
      </c>
      <c r="R518" s="2" t="inlineStr"/>
    </row>
    <row r="519" ht="15" customHeight="1">
      <c r="A519" t="inlineStr">
        <is>
          <t>A 52401-2020</t>
        </is>
      </c>
      <c r="B519" s="1" t="n">
        <v>44113</v>
      </c>
      <c r="C519" s="1" t="n">
        <v>45892</v>
      </c>
      <c r="D519" t="inlineStr">
        <is>
          <t>DALARNAS LÄN</t>
        </is>
      </c>
      <c r="E519" t="inlineStr">
        <is>
          <t>ÄLVDALEN</t>
        </is>
      </c>
      <c r="G519" t="n">
        <v>4.4</v>
      </c>
      <c r="H519" t="n">
        <v>0</v>
      </c>
      <c r="I519" t="n">
        <v>0</v>
      </c>
      <c r="J519" t="n">
        <v>0</v>
      </c>
      <c r="K519" t="n">
        <v>0</v>
      </c>
      <c r="L519" t="n">
        <v>0</v>
      </c>
      <c r="M519" t="n">
        <v>0</v>
      </c>
      <c r="N519" t="n">
        <v>0</v>
      </c>
      <c r="O519" t="n">
        <v>0</v>
      </c>
      <c r="P519" t="n">
        <v>0</v>
      </c>
      <c r="Q519" t="n">
        <v>0</v>
      </c>
      <c r="R519" s="2" t="inlineStr"/>
    </row>
    <row r="520" ht="15" customHeight="1">
      <c r="A520" t="inlineStr">
        <is>
          <t>A 59545-2024</t>
        </is>
      </c>
      <c r="B520" s="1" t="n">
        <v>45638.62018518519</v>
      </c>
      <c r="C520" s="1" t="n">
        <v>45892</v>
      </c>
      <c r="D520" t="inlineStr">
        <is>
          <t>DALARNAS LÄN</t>
        </is>
      </c>
      <c r="E520" t="inlineStr">
        <is>
          <t>ÄLVDALEN</t>
        </is>
      </c>
      <c r="G520" t="n">
        <v>7.9</v>
      </c>
      <c r="H520" t="n">
        <v>0</v>
      </c>
      <c r="I520" t="n">
        <v>0</v>
      </c>
      <c r="J520" t="n">
        <v>0</v>
      </c>
      <c r="K520" t="n">
        <v>0</v>
      </c>
      <c r="L520" t="n">
        <v>0</v>
      </c>
      <c r="M520" t="n">
        <v>0</v>
      </c>
      <c r="N520" t="n">
        <v>0</v>
      </c>
      <c r="O520" t="n">
        <v>0</v>
      </c>
      <c r="P520" t="n">
        <v>0</v>
      </c>
      <c r="Q520" t="n">
        <v>0</v>
      </c>
      <c r="R520" s="2" t="inlineStr"/>
    </row>
    <row r="521" ht="15" customHeight="1">
      <c r="A521" t="inlineStr">
        <is>
          <t>A 5826-2023</t>
        </is>
      </c>
      <c r="B521" s="1" t="n">
        <v>44963.52038194444</v>
      </c>
      <c r="C521" s="1" t="n">
        <v>45892</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5063-2025</t>
        </is>
      </c>
      <c r="B522" s="1" t="n">
        <v>45691.47466435185</v>
      </c>
      <c r="C522" s="1" t="n">
        <v>45892</v>
      </c>
      <c r="D522" t="inlineStr">
        <is>
          <t>DALARNAS LÄN</t>
        </is>
      </c>
      <c r="E522" t="inlineStr">
        <is>
          <t>ÄLVDALEN</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777-2025</t>
        </is>
      </c>
      <c r="B523" s="1" t="n">
        <v>45665.47403935185</v>
      </c>
      <c r="C523" s="1" t="n">
        <v>45892</v>
      </c>
      <c r="D523" t="inlineStr">
        <is>
          <t>DALARNAS LÄN</t>
        </is>
      </c>
      <c r="E523" t="inlineStr">
        <is>
          <t>ÄLVDALEN</t>
        </is>
      </c>
      <c r="G523" t="n">
        <v>2.4</v>
      </c>
      <c r="H523" t="n">
        <v>0</v>
      </c>
      <c r="I523" t="n">
        <v>0</v>
      </c>
      <c r="J523" t="n">
        <v>0</v>
      </c>
      <c r="K523" t="n">
        <v>0</v>
      </c>
      <c r="L523" t="n">
        <v>0</v>
      </c>
      <c r="M523" t="n">
        <v>0</v>
      </c>
      <c r="N523" t="n">
        <v>0</v>
      </c>
      <c r="O523" t="n">
        <v>0</v>
      </c>
      <c r="P523" t="n">
        <v>0</v>
      </c>
      <c r="Q523" t="n">
        <v>0</v>
      </c>
      <c r="R523" s="2" t="inlineStr"/>
    </row>
    <row r="524" ht="15" customHeight="1">
      <c r="A524" t="inlineStr">
        <is>
          <t>A 38754-2025</t>
        </is>
      </c>
      <c r="B524" s="1" t="n">
        <v>45887.39354166666</v>
      </c>
      <c r="C524" s="1" t="n">
        <v>45892</v>
      </c>
      <c r="D524" t="inlineStr">
        <is>
          <t>DALARNAS LÄN</t>
        </is>
      </c>
      <c r="E524" t="inlineStr">
        <is>
          <t>ÄLVDALEN</t>
        </is>
      </c>
      <c r="F524" t="inlineStr">
        <is>
          <t>Bergvik skog väst AB</t>
        </is>
      </c>
      <c r="G524" t="n">
        <v>7.1</v>
      </c>
      <c r="H524" t="n">
        <v>0</v>
      </c>
      <c r="I524" t="n">
        <v>0</v>
      </c>
      <c r="J524" t="n">
        <v>0</v>
      </c>
      <c r="K524" t="n">
        <v>0</v>
      </c>
      <c r="L524" t="n">
        <v>0</v>
      </c>
      <c r="M524" t="n">
        <v>0</v>
      </c>
      <c r="N524" t="n">
        <v>0</v>
      </c>
      <c r="O524" t="n">
        <v>0</v>
      </c>
      <c r="P524" t="n">
        <v>0</v>
      </c>
      <c r="Q524" t="n">
        <v>0</v>
      </c>
      <c r="R524" s="2" t="inlineStr"/>
    </row>
    <row r="525" ht="15" customHeight="1">
      <c r="A525" t="inlineStr">
        <is>
          <t>A 12318-2025</t>
        </is>
      </c>
      <c r="B525" s="1" t="n">
        <v>45729.87777777778</v>
      </c>
      <c r="C525" s="1" t="n">
        <v>45892</v>
      </c>
      <c r="D525" t="inlineStr">
        <is>
          <t>DALARNAS LÄN</t>
        </is>
      </c>
      <c r="E525" t="inlineStr">
        <is>
          <t>ÄLVDALEN</t>
        </is>
      </c>
      <c r="G525" t="n">
        <v>3.3</v>
      </c>
      <c r="H525" t="n">
        <v>0</v>
      </c>
      <c r="I525" t="n">
        <v>0</v>
      </c>
      <c r="J525" t="n">
        <v>0</v>
      </c>
      <c r="K525" t="n">
        <v>0</v>
      </c>
      <c r="L525" t="n">
        <v>0</v>
      </c>
      <c r="M525" t="n">
        <v>0</v>
      </c>
      <c r="N525" t="n">
        <v>0</v>
      </c>
      <c r="O525" t="n">
        <v>0</v>
      </c>
      <c r="P525" t="n">
        <v>0</v>
      </c>
      <c r="Q525" t="n">
        <v>0</v>
      </c>
      <c r="R525" s="2" t="inlineStr"/>
    </row>
    <row r="526" ht="15" customHeight="1">
      <c r="A526" t="inlineStr">
        <is>
          <t>A 34314-2025</t>
        </is>
      </c>
      <c r="B526" s="1" t="n">
        <v>45846</v>
      </c>
      <c r="C526" s="1" t="n">
        <v>45892</v>
      </c>
      <c r="D526" t="inlineStr">
        <is>
          <t>DALARNAS LÄN</t>
        </is>
      </c>
      <c r="E526" t="inlineStr">
        <is>
          <t>ÄLVDALEN</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39041-2025</t>
        </is>
      </c>
      <c r="B527" s="1" t="n">
        <v>45888</v>
      </c>
      <c r="C527" s="1" t="n">
        <v>45892</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747-2025</t>
        </is>
      </c>
      <c r="B528" s="1" t="n">
        <v>45665.43965277778</v>
      </c>
      <c r="C528" s="1" t="n">
        <v>45892</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7917-2025</t>
        </is>
      </c>
      <c r="B529" s="1" t="n">
        <v>45707.35225694445</v>
      </c>
      <c r="C529" s="1" t="n">
        <v>45892</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34526-2025</t>
        </is>
      </c>
      <c r="B530" s="1" t="n">
        <v>45847.47820601852</v>
      </c>
      <c r="C530" s="1" t="n">
        <v>45892</v>
      </c>
      <c r="D530" t="inlineStr">
        <is>
          <t>DALARNAS LÄN</t>
        </is>
      </c>
      <c r="E530" t="inlineStr">
        <is>
          <t>ÄLVDALEN</t>
        </is>
      </c>
      <c r="F530" t="inlineStr">
        <is>
          <t>Allmännings- och besparingsskogar</t>
        </is>
      </c>
      <c r="G530" t="n">
        <v>3.9</v>
      </c>
      <c r="H530" t="n">
        <v>0</v>
      </c>
      <c r="I530" t="n">
        <v>0</v>
      </c>
      <c r="J530" t="n">
        <v>0</v>
      </c>
      <c r="K530" t="n">
        <v>0</v>
      </c>
      <c r="L530" t="n">
        <v>0</v>
      </c>
      <c r="M530" t="n">
        <v>0</v>
      </c>
      <c r="N530" t="n">
        <v>0</v>
      </c>
      <c r="O530" t="n">
        <v>0</v>
      </c>
      <c r="P530" t="n">
        <v>0</v>
      </c>
      <c r="Q530" t="n">
        <v>0</v>
      </c>
      <c r="R530" s="2" t="inlineStr"/>
    </row>
    <row r="531" ht="15" customHeight="1">
      <c r="A531" t="inlineStr">
        <is>
          <t>A 54338-2020</t>
        </is>
      </c>
      <c r="B531" s="1" t="n">
        <v>44126</v>
      </c>
      <c r="C531" s="1" t="n">
        <v>45892</v>
      </c>
      <c r="D531" t="inlineStr">
        <is>
          <t>DALARNAS LÄN</t>
        </is>
      </c>
      <c r="E531" t="inlineStr">
        <is>
          <t>ÄLVDALEN</t>
        </is>
      </c>
      <c r="G531" t="n">
        <v>3.4</v>
      </c>
      <c r="H531" t="n">
        <v>0</v>
      </c>
      <c r="I531" t="n">
        <v>0</v>
      </c>
      <c r="J531" t="n">
        <v>0</v>
      </c>
      <c r="K531" t="n">
        <v>0</v>
      </c>
      <c r="L531" t="n">
        <v>0</v>
      </c>
      <c r="M531" t="n">
        <v>0</v>
      </c>
      <c r="N531" t="n">
        <v>0</v>
      </c>
      <c r="O531" t="n">
        <v>0</v>
      </c>
      <c r="P531" t="n">
        <v>0</v>
      </c>
      <c r="Q531" t="n">
        <v>0</v>
      </c>
      <c r="R531" s="2" t="inlineStr"/>
    </row>
    <row r="532" ht="15" customHeight="1">
      <c r="A532" t="inlineStr">
        <is>
          <t>A 19527-2025</t>
        </is>
      </c>
      <c r="B532" s="1" t="n">
        <v>45770.46546296297</v>
      </c>
      <c r="C532" s="1" t="n">
        <v>45892</v>
      </c>
      <c r="D532" t="inlineStr">
        <is>
          <t>DALARNAS LÄN</t>
        </is>
      </c>
      <c r="E532" t="inlineStr">
        <is>
          <t>ÄLVDALEN</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19578-2025</t>
        </is>
      </c>
      <c r="B533" s="1" t="n">
        <v>45770</v>
      </c>
      <c r="C533" s="1" t="n">
        <v>45892</v>
      </c>
      <c r="D533" t="inlineStr">
        <is>
          <t>DALARNAS LÄN</t>
        </is>
      </c>
      <c r="E533" t="inlineStr">
        <is>
          <t>ÄLVDALEN</t>
        </is>
      </c>
      <c r="F533" t="inlineStr">
        <is>
          <t>Sveaskog</t>
        </is>
      </c>
      <c r="G533" t="n">
        <v>15.2</v>
      </c>
      <c r="H533" t="n">
        <v>0</v>
      </c>
      <c r="I533" t="n">
        <v>0</v>
      </c>
      <c r="J533" t="n">
        <v>0</v>
      </c>
      <c r="K533" t="n">
        <v>0</v>
      </c>
      <c r="L533" t="n">
        <v>0</v>
      </c>
      <c r="M533" t="n">
        <v>0</v>
      </c>
      <c r="N533" t="n">
        <v>0</v>
      </c>
      <c r="O533" t="n">
        <v>0</v>
      </c>
      <c r="P533" t="n">
        <v>0</v>
      </c>
      <c r="Q533" t="n">
        <v>0</v>
      </c>
      <c r="R533" s="2" t="inlineStr"/>
    </row>
    <row r="534" ht="15" customHeight="1">
      <c r="A534" t="inlineStr">
        <is>
          <t>A 34914-2025</t>
        </is>
      </c>
      <c r="B534" s="1" t="n">
        <v>45849.54108796296</v>
      </c>
      <c r="C534" s="1" t="n">
        <v>45892</v>
      </c>
      <c r="D534" t="inlineStr">
        <is>
          <t>DALARNAS LÄN</t>
        </is>
      </c>
      <c r="E534" t="inlineStr">
        <is>
          <t>ÄLVDALEN</t>
        </is>
      </c>
      <c r="F534" t="inlineStr">
        <is>
          <t>Allmännings- och besparingsskogar</t>
        </is>
      </c>
      <c r="G534" t="n">
        <v>19.2</v>
      </c>
      <c r="H534" t="n">
        <v>0</v>
      </c>
      <c r="I534" t="n">
        <v>0</v>
      </c>
      <c r="J534" t="n">
        <v>0</v>
      </c>
      <c r="K534" t="n">
        <v>0</v>
      </c>
      <c r="L534" t="n">
        <v>0</v>
      </c>
      <c r="M534" t="n">
        <v>0</v>
      </c>
      <c r="N534" t="n">
        <v>0</v>
      </c>
      <c r="O534" t="n">
        <v>0</v>
      </c>
      <c r="P534" t="n">
        <v>0</v>
      </c>
      <c r="Q534" t="n">
        <v>0</v>
      </c>
      <c r="R534" s="2" t="inlineStr"/>
    </row>
    <row r="535" ht="15" customHeight="1">
      <c r="A535" t="inlineStr">
        <is>
          <t>A 39755-2025</t>
        </is>
      </c>
      <c r="B535" s="1" t="n">
        <v>45891</v>
      </c>
      <c r="C535" s="1" t="n">
        <v>45892</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59676-2024</t>
        </is>
      </c>
      <c r="B536" s="1" t="n">
        <v>45639.39060185185</v>
      </c>
      <c r="C536" s="1" t="n">
        <v>45892</v>
      </c>
      <c r="D536" t="inlineStr">
        <is>
          <t>DALARNAS LÄN</t>
        </is>
      </c>
      <c r="E536" t="inlineStr">
        <is>
          <t>ÄLVDALEN</t>
        </is>
      </c>
      <c r="G536" t="n">
        <v>2.7</v>
      </c>
      <c r="H536" t="n">
        <v>0</v>
      </c>
      <c r="I536" t="n">
        <v>0</v>
      </c>
      <c r="J536" t="n">
        <v>0</v>
      </c>
      <c r="K536" t="n">
        <v>0</v>
      </c>
      <c r="L536" t="n">
        <v>0</v>
      </c>
      <c r="M536" t="n">
        <v>0</v>
      </c>
      <c r="N536" t="n">
        <v>0</v>
      </c>
      <c r="O536" t="n">
        <v>0</v>
      </c>
      <c r="P536" t="n">
        <v>0</v>
      </c>
      <c r="Q536" t="n">
        <v>0</v>
      </c>
      <c r="R536" s="2" t="inlineStr"/>
    </row>
    <row r="537" ht="15" customHeight="1">
      <c r="A537" t="inlineStr">
        <is>
          <t>A 39893-2025</t>
        </is>
      </c>
      <c r="B537" s="1" t="n">
        <v>45891.63013888889</v>
      </c>
      <c r="C537" s="1" t="n">
        <v>45892</v>
      </c>
      <c r="D537" t="inlineStr">
        <is>
          <t>DALARNAS LÄN</t>
        </is>
      </c>
      <c r="E537" t="inlineStr">
        <is>
          <t>ÄLVDALEN</t>
        </is>
      </c>
      <c r="F537" t="inlineStr">
        <is>
          <t>Kommuner</t>
        </is>
      </c>
      <c r="G537" t="n">
        <v>5.8</v>
      </c>
      <c r="H537" t="n">
        <v>0</v>
      </c>
      <c r="I537" t="n">
        <v>0</v>
      </c>
      <c r="J537" t="n">
        <v>0</v>
      </c>
      <c r="K537" t="n">
        <v>0</v>
      </c>
      <c r="L537" t="n">
        <v>0</v>
      </c>
      <c r="M537" t="n">
        <v>0</v>
      </c>
      <c r="N537" t="n">
        <v>0</v>
      </c>
      <c r="O537" t="n">
        <v>0</v>
      </c>
      <c r="P537" t="n">
        <v>0</v>
      </c>
      <c r="Q537" t="n">
        <v>0</v>
      </c>
      <c r="R537" s="2" t="inlineStr"/>
    </row>
    <row r="538" ht="15" customHeight="1">
      <c r="A538" t="inlineStr">
        <is>
          <t>A 39759-2025</t>
        </is>
      </c>
      <c r="B538" s="1" t="n">
        <v>45891.43167824074</v>
      </c>
      <c r="C538" s="1" t="n">
        <v>45892</v>
      </c>
      <c r="D538" t="inlineStr">
        <is>
          <t>DALARNAS LÄN</t>
        </is>
      </c>
      <c r="E538" t="inlineStr">
        <is>
          <t>ÄLVDALEN</t>
        </is>
      </c>
      <c r="G538" t="n">
        <v>6.6</v>
      </c>
      <c r="H538" t="n">
        <v>0</v>
      </c>
      <c r="I538" t="n">
        <v>0</v>
      </c>
      <c r="J538" t="n">
        <v>0</v>
      </c>
      <c r="K538" t="n">
        <v>0</v>
      </c>
      <c r="L538" t="n">
        <v>0</v>
      </c>
      <c r="M538" t="n">
        <v>0</v>
      </c>
      <c r="N538" t="n">
        <v>0</v>
      </c>
      <c r="O538" t="n">
        <v>0</v>
      </c>
      <c r="P538" t="n">
        <v>0</v>
      </c>
      <c r="Q538" t="n">
        <v>0</v>
      </c>
      <c r="R538" s="2" t="inlineStr"/>
    </row>
    <row r="539" ht="15" customHeight="1">
      <c r="A539" t="inlineStr">
        <is>
          <t>A 34778-2025</t>
        </is>
      </c>
      <c r="B539" s="1" t="n">
        <v>45848.66840277778</v>
      </c>
      <c r="C539" s="1" t="n">
        <v>45892</v>
      </c>
      <c r="D539" t="inlineStr">
        <is>
          <t>DALARNAS LÄN</t>
        </is>
      </c>
      <c r="E539" t="inlineStr">
        <is>
          <t>ÄLVDALEN</t>
        </is>
      </c>
      <c r="G539" t="n">
        <v>2.2</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45892</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63296-2020</t>
        </is>
      </c>
      <c r="B541" s="1" t="n">
        <v>44165</v>
      </c>
      <c r="C541" s="1" t="n">
        <v>45892</v>
      </c>
      <c r="D541" t="inlineStr">
        <is>
          <t>DALARNAS LÄN</t>
        </is>
      </c>
      <c r="E541" t="inlineStr">
        <is>
          <t>ÄLVDALEN</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34645-2025</t>
        </is>
      </c>
      <c r="B542" s="1" t="n">
        <v>45848.33440972222</v>
      </c>
      <c r="C542" s="1" t="n">
        <v>45892</v>
      </c>
      <c r="D542" t="inlineStr">
        <is>
          <t>DALARNAS LÄN</t>
        </is>
      </c>
      <c r="E542" t="inlineStr">
        <is>
          <t>ÄLVDALEN</t>
        </is>
      </c>
      <c r="G542" t="n">
        <v>7.1</v>
      </c>
      <c r="H542" t="n">
        <v>0</v>
      </c>
      <c r="I542" t="n">
        <v>0</v>
      </c>
      <c r="J542" t="n">
        <v>0</v>
      </c>
      <c r="K542" t="n">
        <v>0</v>
      </c>
      <c r="L542" t="n">
        <v>0</v>
      </c>
      <c r="M542" t="n">
        <v>0</v>
      </c>
      <c r="N542" t="n">
        <v>0</v>
      </c>
      <c r="O542" t="n">
        <v>0</v>
      </c>
      <c r="P542" t="n">
        <v>0</v>
      </c>
      <c r="Q542" t="n">
        <v>0</v>
      </c>
      <c r="R542" s="2" t="inlineStr"/>
    </row>
    <row r="543" ht="15" customHeight="1">
      <c r="A543" t="inlineStr">
        <is>
          <t>A 39789-2025</t>
        </is>
      </c>
      <c r="B543" s="1" t="n">
        <v>45891.48471064815</v>
      </c>
      <c r="C543" s="1" t="n">
        <v>45892</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34697-2025</t>
        </is>
      </c>
      <c r="B544" s="1" t="n">
        <v>45848.46181712963</v>
      </c>
      <c r="C544" s="1" t="n">
        <v>45892</v>
      </c>
      <c r="D544" t="inlineStr">
        <is>
          <t>DALARNAS LÄN</t>
        </is>
      </c>
      <c r="E544" t="inlineStr">
        <is>
          <t>ÄLVDALEN</t>
        </is>
      </c>
      <c r="F544" t="inlineStr">
        <is>
          <t>Allmännings- och besparingsskogar</t>
        </is>
      </c>
      <c r="G544" t="n">
        <v>7.8</v>
      </c>
      <c r="H544" t="n">
        <v>0</v>
      </c>
      <c r="I544" t="n">
        <v>0</v>
      </c>
      <c r="J544" t="n">
        <v>0</v>
      </c>
      <c r="K544" t="n">
        <v>0</v>
      </c>
      <c r="L544" t="n">
        <v>0</v>
      </c>
      <c r="M544" t="n">
        <v>0</v>
      </c>
      <c r="N544" t="n">
        <v>0</v>
      </c>
      <c r="O544" t="n">
        <v>0</v>
      </c>
      <c r="P544" t="n">
        <v>0</v>
      </c>
      <c r="Q544" t="n">
        <v>0</v>
      </c>
      <c r="R544" s="2" t="inlineStr"/>
    </row>
    <row r="545" ht="15" customHeight="1">
      <c r="A545" t="inlineStr">
        <is>
          <t>A 34705-2025</t>
        </is>
      </c>
      <c r="B545" s="1" t="n">
        <v>45848.49012731481</v>
      </c>
      <c r="C545" s="1" t="n">
        <v>45892</v>
      </c>
      <c r="D545" t="inlineStr">
        <is>
          <t>DALARNAS LÄN</t>
        </is>
      </c>
      <c r="E545" t="inlineStr">
        <is>
          <t>ÄLVDALEN</t>
        </is>
      </c>
      <c r="F545" t="inlineStr">
        <is>
          <t>Allmännings- och besparingsskogar</t>
        </is>
      </c>
      <c r="G545" t="n">
        <v>1.1</v>
      </c>
      <c r="H545" t="n">
        <v>0</v>
      </c>
      <c r="I545" t="n">
        <v>0</v>
      </c>
      <c r="J545" t="n">
        <v>0</v>
      </c>
      <c r="K545" t="n">
        <v>0</v>
      </c>
      <c r="L545" t="n">
        <v>0</v>
      </c>
      <c r="M545" t="n">
        <v>0</v>
      </c>
      <c r="N545" t="n">
        <v>0</v>
      </c>
      <c r="O545" t="n">
        <v>0</v>
      </c>
      <c r="P545" t="n">
        <v>0</v>
      </c>
      <c r="Q545" t="n">
        <v>0</v>
      </c>
      <c r="R545" s="2" t="inlineStr"/>
    </row>
    <row r="546" ht="15" customHeight="1">
      <c r="A546" t="inlineStr">
        <is>
          <t>A 30355-2021</t>
        </is>
      </c>
      <c r="B546" s="1" t="n">
        <v>44364</v>
      </c>
      <c r="C546" s="1" t="n">
        <v>45892</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39762-2025</t>
        </is>
      </c>
      <c r="B547" s="1" t="n">
        <v>45891.44045138889</v>
      </c>
      <c r="C547" s="1" t="n">
        <v>45892</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34850-2025</t>
        </is>
      </c>
      <c r="B548" s="1" t="n">
        <v>45849.42398148148</v>
      </c>
      <c r="C548" s="1" t="n">
        <v>45892</v>
      </c>
      <c r="D548" t="inlineStr">
        <is>
          <t>DALARNAS LÄN</t>
        </is>
      </c>
      <c r="E548" t="inlineStr">
        <is>
          <t>ÄLVDALEN</t>
        </is>
      </c>
      <c r="F548" t="inlineStr">
        <is>
          <t>Allmännings- och besparingsskogar</t>
        </is>
      </c>
      <c r="G548" t="n">
        <v>12.1</v>
      </c>
      <c r="H548" t="n">
        <v>0</v>
      </c>
      <c r="I548" t="n">
        <v>0</v>
      </c>
      <c r="J548" t="n">
        <v>0</v>
      </c>
      <c r="K548" t="n">
        <v>0</v>
      </c>
      <c r="L548" t="n">
        <v>0</v>
      </c>
      <c r="M548" t="n">
        <v>0</v>
      </c>
      <c r="N548" t="n">
        <v>0</v>
      </c>
      <c r="O548" t="n">
        <v>0</v>
      </c>
      <c r="P548" t="n">
        <v>0</v>
      </c>
      <c r="Q548" t="n">
        <v>0</v>
      </c>
      <c r="R548" s="2" t="inlineStr"/>
    </row>
    <row r="549" ht="15" customHeight="1">
      <c r="A549" t="inlineStr">
        <is>
          <t>A 18075-2024</t>
        </is>
      </c>
      <c r="B549" s="1" t="n">
        <v>45420.43453703704</v>
      </c>
      <c r="C549" s="1" t="n">
        <v>45892</v>
      </c>
      <c r="D549" t="inlineStr">
        <is>
          <t>DALARNAS LÄN</t>
        </is>
      </c>
      <c r="E549" t="inlineStr">
        <is>
          <t>ÄLVDALEN</t>
        </is>
      </c>
      <c r="F549" t="inlineStr">
        <is>
          <t>Bergvik skog väst AB</t>
        </is>
      </c>
      <c r="G549" t="n">
        <v>8.6</v>
      </c>
      <c r="H549" t="n">
        <v>0</v>
      </c>
      <c r="I549" t="n">
        <v>0</v>
      </c>
      <c r="J549" t="n">
        <v>0</v>
      </c>
      <c r="K549" t="n">
        <v>0</v>
      </c>
      <c r="L549" t="n">
        <v>0</v>
      </c>
      <c r="M549" t="n">
        <v>0</v>
      </c>
      <c r="N549" t="n">
        <v>0</v>
      </c>
      <c r="O549" t="n">
        <v>0</v>
      </c>
      <c r="P549" t="n">
        <v>0</v>
      </c>
      <c r="Q549" t="n">
        <v>0</v>
      </c>
      <c r="R549" s="2" t="inlineStr"/>
    </row>
    <row r="550" ht="15" customHeight="1">
      <c r="A550" t="inlineStr">
        <is>
          <t>A 34739-2025</t>
        </is>
      </c>
      <c r="B550" s="1" t="n">
        <v>45848.60682870371</v>
      </c>
      <c r="C550" s="1" t="n">
        <v>45892</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47743-2024</t>
        </is>
      </c>
      <c r="B551" s="1" t="n">
        <v>45588.52550925926</v>
      </c>
      <c r="C551" s="1" t="n">
        <v>45892</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59692-2024</t>
        </is>
      </c>
      <c r="B552" s="1" t="n">
        <v>45639.40686342592</v>
      </c>
      <c r="C552" s="1" t="n">
        <v>45892</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49968-2020</t>
        </is>
      </c>
      <c r="B553" s="1" t="n">
        <v>44109</v>
      </c>
      <c r="C553" s="1" t="n">
        <v>45892</v>
      </c>
      <c r="D553" t="inlineStr">
        <is>
          <t>DALARNAS LÄN</t>
        </is>
      </c>
      <c r="E553" t="inlineStr">
        <is>
          <t>ÄLVDALEN</t>
        </is>
      </c>
      <c r="F553" t="inlineStr">
        <is>
          <t>Övriga Aktiebolag</t>
        </is>
      </c>
      <c r="G553" t="n">
        <v>11.8</v>
      </c>
      <c r="H553" t="n">
        <v>0</v>
      </c>
      <c r="I553" t="n">
        <v>0</v>
      </c>
      <c r="J553" t="n">
        <v>0</v>
      </c>
      <c r="K553" t="n">
        <v>0</v>
      </c>
      <c r="L553" t="n">
        <v>0</v>
      </c>
      <c r="M553" t="n">
        <v>0</v>
      </c>
      <c r="N553" t="n">
        <v>0</v>
      </c>
      <c r="O553" t="n">
        <v>0</v>
      </c>
      <c r="P553" t="n">
        <v>0</v>
      </c>
      <c r="Q553" t="n">
        <v>0</v>
      </c>
      <c r="R553" s="2" t="inlineStr"/>
    </row>
    <row r="554" ht="15" customHeight="1">
      <c r="A554" t="inlineStr">
        <is>
          <t>A 53408-2023</t>
        </is>
      </c>
      <c r="B554" s="1" t="n">
        <v>45229</v>
      </c>
      <c r="C554" s="1" t="n">
        <v>45892</v>
      </c>
      <c r="D554" t="inlineStr">
        <is>
          <t>DALARNAS LÄN</t>
        </is>
      </c>
      <c r="E554" t="inlineStr">
        <is>
          <t>ÄLVDALEN</t>
        </is>
      </c>
      <c r="G554" t="n">
        <v>2</v>
      </c>
      <c r="H554" t="n">
        <v>0</v>
      </c>
      <c r="I554" t="n">
        <v>0</v>
      </c>
      <c r="J554" t="n">
        <v>0</v>
      </c>
      <c r="K554" t="n">
        <v>0</v>
      </c>
      <c r="L554" t="n">
        <v>0</v>
      </c>
      <c r="M554" t="n">
        <v>0</v>
      </c>
      <c r="N554" t="n">
        <v>0</v>
      </c>
      <c r="O554" t="n">
        <v>0</v>
      </c>
      <c r="P554" t="n">
        <v>0</v>
      </c>
      <c r="Q554" t="n">
        <v>0</v>
      </c>
      <c r="R554" s="2" t="inlineStr"/>
    </row>
    <row r="555" ht="15" customHeight="1">
      <c r="A555" t="inlineStr">
        <is>
          <t>A 70140-2021</t>
        </is>
      </c>
      <c r="B555" s="1" t="n">
        <v>44533</v>
      </c>
      <c r="C555" s="1" t="n">
        <v>45892</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31332-2023</t>
        </is>
      </c>
      <c r="B556" s="1" t="n">
        <v>45114</v>
      </c>
      <c r="C556" s="1" t="n">
        <v>45892</v>
      </c>
      <c r="D556" t="inlineStr">
        <is>
          <t>DALARNAS LÄN</t>
        </is>
      </c>
      <c r="E556" t="inlineStr">
        <is>
          <t>ÄLVDALEN</t>
        </is>
      </c>
      <c r="F556" t="inlineStr">
        <is>
          <t>Övriga statliga verk och myndigheter</t>
        </is>
      </c>
      <c r="G556" t="n">
        <v>0.5</v>
      </c>
      <c r="H556" t="n">
        <v>0</v>
      </c>
      <c r="I556" t="n">
        <v>0</v>
      </c>
      <c r="J556" t="n">
        <v>0</v>
      </c>
      <c r="K556" t="n">
        <v>0</v>
      </c>
      <c r="L556" t="n">
        <v>0</v>
      </c>
      <c r="M556" t="n">
        <v>0</v>
      </c>
      <c r="N556" t="n">
        <v>0</v>
      </c>
      <c r="O556" t="n">
        <v>0</v>
      </c>
      <c r="P556" t="n">
        <v>0</v>
      </c>
      <c r="Q556" t="n">
        <v>0</v>
      </c>
      <c r="R556" s="2" t="inlineStr"/>
    </row>
    <row r="557" ht="15" customHeight="1">
      <c r="A557" t="inlineStr">
        <is>
          <t>A 1698-2025</t>
        </is>
      </c>
      <c r="B557" s="1" t="n">
        <v>45670</v>
      </c>
      <c r="C557" s="1" t="n">
        <v>45892</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37439-2024</t>
        </is>
      </c>
      <c r="B558" s="1" t="n">
        <v>45540</v>
      </c>
      <c r="C558" s="1" t="n">
        <v>45892</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49236-2023</t>
        </is>
      </c>
      <c r="B559" s="1" t="n">
        <v>45210.63995370371</v>
      </c>
      <c r="C559" s="1" t="n">
        <v>45892</v>
      </c>
      <c r="D559" t="inlineStr">
        <is>
          <t>DALARNAS LÄN</t>
        </is>
      </c>
      <c r="E559" t="inlineStr">
        <is>
          <t>ÄLVDALEN</t>
        </is>
      </c>
      <c r="F559" t="inlineStr">
        <is>
          <t>Bergvik skog väst AB</t>
        </is>
      </c>
      <c r="G559" t="n">
        <v>4.4</v>
      </c>
      <c r="H559" t="n">
        <v>0</v>
      </c>
      <c r="I559" t="n">
        <v>0</v>
      </c>
      <c r="J559" t="n">
        <v>0</v>
      </c>
      <c r="K559" t="n">
        <v>0</v>
      </c>
      <c r="L559" t="n">
        <v>0</v>
      </c>
      <c r="M559" t="n">
        <v>0</v>
      </c>
      <c r="N559" t="n">
        <v>0</v>
      </c>
      <c r="O559" t="n">
        <v>0</v>
      </c>
      <c r="P559" t="n">
        <v>0</v>
      </c>
      <c r="Q559" t="n">
        <v>0</v>
      </c>
      <c r="R559" s="2" t="inlineStr"/>
    </row>
    <row r="560" ht="15" customHeight="1">
      <c r="A560" t="inlineStr">
        <is>
          <t>A 32622-2023</t>
        </is>
      </c>
      <c r="B560" s="1" t="n">
        <v>45121</v>
      </c>
      <c r="C560" s="1" t="n">
        <v>45892</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32362-2021</t>
        </is>
      </c>
      <c r="B561" s="1" t="n">
        <v>44371</v>
      </c>
      <c r="C561" s="1" t="n">
        <v>45892</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59483-2024</t>
        </is>
      </c>
      <c r="B562" s="1" t="n">
        <v>45638.52847222222</v>
      </c>
      <c r="C562" s="1" t="n">
        <v>45892</v>
      </c>
      <c r="D562" t="inlineStr">
        <is>
          <t>DALARNAS LÄN</t>
        </is>
      </c>
      <c r="E562" t="inlineStr">
        <is>
          <t>ÄLVDALEN</t>
        </is>
      </c>
      <c r="F562" t="inlineStr">
        <is>
          <t>Allmännings- och besparingsskogar</t>
        </is>
      </c>
      <c r="G562" t="n">
        <v>6.9</v>
      </c>
      <c r="H562" t="n">
        <v>0</v>
      </c>
      <c r="I562" t="n">
        <v>0</v>
      </c>
      <c r="J562" t="n">
        <v>0</v>
      </c>
      <c r="K562" t="n">
        <v>0</v>
      </c>
      <c r="L562" t="n">
        <v>0</v>
      </c>
      <c r="M562" t="n">
        <v>0</v>
      </c>
      <c r="N562" t="n">
        <v>0</v>
      </c>
      <c r="O562" t="n">
        <v>0</v>
      </c>
      <c r="P562" t="n">
        <v>0</v>
      </c>
      <c r="Q562" t="n">
        <v>0</v>
      </c>
      <c r="R562" s="2" t="inlineStr"/>
    </row>
    <row r="563" ht="15" customHeight="1">
      <c r="A563" t="inlineStr">
        <is>
          <t>A 26080-2021</t>
        </is>
      </c>
      <c r="B563" s="1" t="n">
        <v>44344</v>
      </c>
      <c r="C563" s="1" t="n">
        <v>45892</v>
      </c>
      <c r="D563" t="inlineStr">
        <is>
          <t>DALARNAS LÄN</t>
        </is>
      </c>
      <c r="E563" t="inlineStr">
        <is>
          <t>ÄLVDALEN</t>
        </is>
      </c>
      <c r="G563" t="n">
        <v>2.3</v>
      </c>
      <c r="H563" t="n">
        <v>0</v>
      </c>
      <c r="I563" t="n">
        <v>0</v>
      </c>
      <c r="J563" t="n">
        <v>0</v>
      </c>
      <c r="K563" t="n">
        <v>0</v>
      </c>
      <c r="L563" t="n">
        <v>0</v>
      </c>
      <c r="M563" t="n">
        <v>0</v>
      </c>
      <c r="N563" t="n">
        <v>0</v>
      </c>
      <c r="O563" t="n">
        <v>0</v>
      </c>
      <c r="P563" t="n">
        <v>0</v>
      </c>
      <c r="Q563" t="n">
        <v>0</v>
      </c>
      <c r="R563" s="2" t="inlineStr"/>
    </row>
    <row r="564">
      <c r="A564" t="inlineStr">
        <is>
          <t>A 59547-2023</t>
        </is>
      </c>
      <c r="B564" s="1" t="n">
        <v>45254.55645833333</v>
      </c>
      <c r="C564" s="1" t="n">
        <v>45892</v>
      </c>
      <c r="D564" t="inlineStr">
        <is>
          <t>DALARNAS LÄN</t>
        </is>
      </c>
      <c r="E564" t="inlineStr">
        <is>
          <t>ÄLVDALEN</t>
        </is>
      </c>
      <c r="G564" t="n">
        <v>2.5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2025-08-23T08:36:27Z</dcterms:created>
  <dcterms:modified xmlns:dcterms="http://purl.org/dc/terms/" xmlns:xsi="http://www.w3.org/2001/XMLSchema-instance" xsi:type="dcterms:W3CDTF">2025-08-23T08:36:27Z</dcterms:modified>
</cp:coreProperties>
</file>