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45887</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45887</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45887</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45887</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45887</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45887</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26140-2025</t>
        </is>
      </c>
      <c r="B8" s="1" t="n">
        <v>45805.42238425926</v>
      </c>
      <c r="C8" s="1" t="n">
        <v>45887</v>
      </c>
      <c r="D8" t="inlineStr">
        <is>
          <t>DALARNAS LÄN</t>
        </is>
      </c>
      <c r="E8" t="inlineStr">
        <is>
          <t>ÄLVDALEN</t>
        </is>
      </c>
      <c r="F8" t="inlineStr">
        <is>
          <t>Allmännings- och besparingsskogar</t>
        </is>
      </c>
      <c r="G8" t="n">
        <v>36</v>
      </c>
      <c r="H8" t="n">
        <v>8</v>
      </c>
      <c r="I8" t="n">
        <v>3</v>
      </c>
      <c r="J8" t="n">
        <v>15</v>
      </c>
      <c r="K8" t="n">
        <v>1</v>
      </c>
      <c r="L8" t="n">
        <v>0</v>
      </c>
      <c r="M8" t="n">
        <v>0</v>
      </c>
      <c r="N8" t="n">
        <v>0</v>
      </c>
      <c r="O8" t="n">
        <v>16</v>
      </c>
      <c r="P8" t="n">
        <v>1</v>
      </c>
      <c r="Q8" t="n">
        <v>21</v>
      </c>
      <c r="R8"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8">
        <f>HYPERLINK("https://klasma.github.io/Logging_2039/artfynd/A 26140-2025 artfynd.xlsx", "A 26140-2025")</f>
        <v/>
      </c>
      <c r="T8">
        <f>HYPERLINK("https://klasma.github.io/Logging_2039/kartor/A 26140-2025 karta.png", "A 26140-2025")</f>
        <v/>
      </c>
      <c r="V8">
        <f>HYPERLINK("https://klasma.github.io/Logging_2039/klagomål/A 26140-2025 FSC-klagomål.docx", "A 26140-2025")</f>
        <v/>
      </c>
      <c r="W8">
        <f>HYPERLINK("https://klasma.github.io/Logging_2039/klagomålsmail/A 26140-2025 FSC-klagomål mail.docx", "A 26140-2025")</f>
        <v/>
      </c>
      <c r="X8">
        <f>HYPERLINK("https://klasma.github.io/Logging_2039/tillsyn/A 26140-2025 tillsynsbegäran.docx", "A 26140-2025")</f>
        <v/>
      </c>
      <c r="Y8">
        <f>HYPERLINK("https://klasma.github.io/Logging_2039/tillsynsmail/A 26140-2025 tillsynsbegäran mail.docx", "A 26140-2025")</f>
        <v/>
      </c>
      <c r="Z8">
        <f>HYPERLINK("https://klasma.github.io/Logging_2039/fåglar/A 26140-2025 prioriterade fågelarter.docx", "A 26140-2025")</f>
        <v/>
      </c>
    </row>
    <row r="9" ht="15" customHeight="1">
      <c r="A9" t="inlineStr">
        <is>
          <t>A 34215-2024</t>
        </is>
      </c>
      <c r="B9" s="1" t="n">
        <v>45524</v>
      </c>
      <c r="C9" s="1" t="n">
        <v>45887</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45887</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45887</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45887</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45887</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45887</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45887</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33285-2025</t>
        </is>
      </c>
      <c r="B16" s="1" t="n">
        <v>45840</v>
      </c>
      <c r="C16" s="1" t="n">
        <v>45887</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45887</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28823-2023</t>
        </is>
      </c>
      <c r="B18" s="1" t="n">
        <v>45104.38712962963</v>
      </c>
      <c r="C18" s="1" t="n">
        <v>45887</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31037-2023</t>
        </is>
      </c>
      <c r="B19" s="1" t="n">
        <v>45113</v>
      </c>
      <c r="C19" s="1" t="n">
        <v>45887</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33548-2023</t>
        </is>
      </c>
      <c r="B20" s="1" t="n">
        <v>45118</v>
      </c>
      <c r="C20" s="1" t="n">
        <v>45887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45887</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45887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45887</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45887</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45887</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45887</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34765-2025</t>
        </is>
      </c>
      <c r="B27" s="1" t="n">
        <v>45848</v>
      </c>
      <c r="C27" s="1" t="n">
        <v>45887</v>
      </c>
      <c r="D27" t="inlineStr">
        <is>
          <t>DALARNAS LÄN</t>
        </is>
      </c>
      <c r="E27" t="inlineStr">
        <is>
          <t>ÄLVDALEN</t>
        </is>
      </c>
      <c r="F27" t="inlineStr">
        <is>
          <t>Allmännings- och besparingsskogar</t>
        </is>
      </c>
      <c r="G27" t="n">
        <v>32.9</v>
      </c>
      <c r="H27" t="n">
        <v>3</v>
      </c>
      <c r="I27" t="n">
        <v>1</v>
      </c>
      <c r="J27" t="n">
        <v>8</v>
      </c>
      <c r="K27" t="n">
        <v>0</v>
      </c>
      <c r="L27" t="n">
        <v>0</v>
      </c>
      <c r="M27" t="n">
        <v>0</v>
      </c>
      <c r="N27" t="n">
        <v>0</v>
      </c>
      <c r="O27" t="n">
        <v>8</v>
      </c>
      <c r="P27" t="n">
        <v>0</v>
      </c>
      <c r="Q27" t="n">
        <v>10</v>
      </c>
      <c r="R27" s="2" t="inlineStr">
        <is>
          <t>Garnlav
Järpe
Kolflarnlav
Mörk kolflarnlav
Spillkråka
Tallticka
Vedflamlav
Vedskivlav
Mindre märgborre
Tjäder</t>
        </is>
      </c>
      <c r="S27">
        <f>HYPERLINK("https://klasma.github.io/Logging_2039/artfynd/A 34765-2025 artfynd.xlsx", "A 34765-2025")</f>
        <v/>
      </c>
      <c r="T27">
        <f>HYPERLINK("https://klasma.github.io/Logging_2039/kartor/A 34765-2025 karta.png", "A 34765-2025")</f>
        <v/>
      </c>
      <c r="V27">
        <f>HYPERLINK("https://klasma.github.io/Logging_2039/klagomål/A 34765-2025 FSC-klagomål.docx", "A 34765-2025")</f>
        <v/>
      </c>
      <c r="W27">
        <f>HYPERLINK("https://klasma.github.io/Logging_2039/klagomålsmail/A 34765-2025 FSC-klagomål mail.docx", "A 34765-2025")</f>
        <v/>
      </c>
      <c r="X27">
        <f>HYPERLINK("https://klasma.github.io/Logging_2039/tillsyn/A 34765-2025 tillsynsbegäran.docx", "A 34765-2025")</f>
        <v/>
      </c>
      <c r="Y27">
        <f>HYPERLINK("https://klasma.github.io/Logging_2039/tillsynsmail/A 34765-2025 tillsynsbegäran mail.docx", "A 34765-2025")</f>
        <v/>
      </c>
      <c r="Z27">
        <f>HYPERLINK("https://klasma.github.io/Logging_2039/fåglar/A 34765-2025 prioriterade fågelarter.docx", "A 34765-2025")</f>
        <v/>
      </c>
    </row>
    <row r="28" ht="15" customHeight="1">
      <c r="A28" t="inlineStr">
        <is>
          <t>A 30214-2023</t>
        </is>
      </c>
      <c r="B28" s="1" t="n">
        <v>45110</v>
      </c>
      <c r="C28" s="1" t="n">
        <v>45887</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45110.64706018518</v>
      </c>
      <c r="C29" s="1" t="n">
        <v>45887</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45887</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45887</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36371-2025</t>
        </is>
      </c>
      <c r="B33" s="1" t="n">
        <v>45868</v>
      </c>
      <c r="C33" s="1" t="n">
        <v>45887</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41913-2022</t>
        </is>
      </c>
      <c r="B34" s="1" t="n">
        <v>44830</v>
      </c>
      <c r="C34" s="1" t="n">
        <v>45887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33487-2025</t>
        </is>
      </c>
      <c r="B35" s="1" t="n">
        <v>45841.50515046297</v>
      </c>
      <c r="C35" s="1" t="n">
        <v>45887</v>
      </c>
      <c r="D35" t="inlineStr">
        <is>
          <t>DALARNAS LÄN</t>
        </is>
      </c>
      <c r="E35" t="inlineStr">
        <is>
          <t>ÄLVDALEN</t>
        </is>
      </c>
      <c r="F35" t="inlineStr">
        <is>
          <t>Sveaskog</t>
        </is>
      </c>
      <c r="G35" t="n">
        <v>15.2</v>
      </c>
      <c r="H35" t="n">
        <v>4</v>
      </c>
      <c r="I35" t="n">
        <v>2</v>
      </c>
      <c r="J35" t="n">
        <v>5</v>
      </c>
      <c r="K35" t="n">
        <v>0</v>
      </c>
      <c r="L35" t="n">
        <v>1</v>
      </c>
      <c r="M35" t="n">
        <v>0</v>
      </c>
      <c r="N35" t="n">
        <v>0</v>
      </c>
      <c r="O35" t="n">
        <v>6</v>
      </c>
      <c r="P35" t="n">
        <v>1</v>
      </c>
      <c r="Q35" t="n">
        <v>9</v>
      </c>
      <c r="R35" s="2" t="inlineStr">
        <is>
          <t>Mosippa
Dvärgbägarlav
Kolflarnlav
Mörk kolflarnlav
Talltita
Vedflamlav
Dropptaggsvamp
Plattlummer
Fläcknycklar</t>
        </is>
      </c>
      <c r="S35">
        <f>HYPERLINK("https://klasma.github.io/Logging_2039/artfynd/A 33487-2025 artfynd.xlsx", "A 33487-2025")</f>
        <v/>
      </c>
      <c r="T35">
        <f>HYPERLINK("https://klasma.github.io/Logging_2039/kartor/A 33487-2025 karta.png", "A 33487-2025")</f>
        <v/>
      </c>
      <c r="V35">
        <f>HYPERLINK("https://klasma.github.io/Logging_2039/klagomål/A 33487-2025 FSC-klagomål.docx", "A 33487-2025")</f>
        <v/>
      </c>
      <c r="W35">
        <f>HYPERLINK("https://klasma.github.io/Logging_2039/klagomålsmail/A 33487-2025 FSC-klagomål mail.docx", "A 33487-2025")</f>
        <v/>
      </c>
      <c r="X35">
        <f>HYPERLINK("https://klasma.github.io/Logging_2039/tillsyn/A 33487-2025 tillsynsbegäran.docx", "A 33487-2025")</f>
        <v/>
      </c>
      <c r="Y35">
        <f>HYPERLINK("https://klasma.github.io/Logging_2039/tillsynsmail/A 33487-2025 tillsynsbegäran mail.docx", "A 33487-2025")</f>
        <v/>
      </c>
      <c r="Z35">
        <f>HYPERLINK("https://klasma.github.io/Logging_2039/fåglar/A 33487-2025 prioriterade fågelarter.docx", "A 33487-2025")</f>
        <v/>
      </c>
    </row>
    <row r="36" ht="15" customHeight="1">
      <c r="A36" t="inlineStr">
        <is>
          <t>A 17715-2024</t>
        </is>
      </c>
      <c r="B36" s="1" t="n">
        <v>45415</v>
      </c>
      <c r="C36" s="1" t="n">
        <v>45887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33882-2024</t>
        </is>
      </c>
      <c r="B37" s="1" t="n">
        <v>45522</v>
      </c>
      <c r="C37" s="1" t="n">
        <v>45887</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45887</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9783-2024</t>
        </is>
      </c>
      <c r="B39" s="1" t="n">
        <v>45362</v>
      </c>
      <c r="C39" s="1" t="n">
        <v>45887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54314-2021</t>
        </is>
      </c>
      <c r="B40" s="1" t="n">
        <v>44472</v>
      </c>
      <c r="C40" s="1" t="n">
        <v>45887</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54671-2021</t>
        </is>
      </c>
      <c r="B41" s="1" t="n">
        <v>44473</v>
      </c>
      <c r="C41" s="1" t="n">
        <v>45887</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31821-2025</t>
        </is>
      </c>
      <c r="B42" s="1" t="n">
        <v>45834.57958333333</v>
      </c>
      <c r="C42" s="1" t="n">
        <v>45887</v>
      </c>
      <c r="D42" t="inlineStr">
        <is>
          <t>DALARNAS LÄN</t>
        </is>
      </c>
      <c r="E42" t="inlineStr">
        <is>
          <t>ÄLVDALEN</t>
        </is>
      </c>
      <c r="F42" t="inlineStr">
        <is>
          <t>Allmännings- och besparingsskogar</t>
        </is>
      </c>
      <c r="G42" t="n">
        <v>1.2</v>
      </c>
      <c r="H42" t="n">
        <v>1</v>
      </c>
      <c r="I42" t="n">
        <v>1</v>
      </c>
      <c r="J42" t="n">
        <v>4</v>
      </c>
      <c r="K42" t="n">
        <v>1</v>
      </c>
      <c r="L42" t="n">
        <v>0</v>
      </c>
      <c r="M42" t="n">
        <v>0</v>
      </c>
      <c r="N42" t="n">
        <v>0</v>
      </c>
      <c r="O42" t="n">
        <v>5</v>
      </c>
      <c r="P42" t="n">
        <v>1</v>
      </c>
      <c r="Q42" t="n">
        <v>6</v>
      </c>
      <c r="R42" s="2" t="inlineStr">
        <is>
          <t>Fläckporing
Blanksvart spiklav
Varglav
Vedflamlav
Vedskivlav
Mindre märgborre</t>
        </is>
      </c>
      <c r="S42">
        <f>HYPERLINK("https://klasma.github.io/Logging_2039/artfynd/A 31821-2025 artfynd.xlsx", "A 31821-2025")</f>
        <v/>
      </c>
      <c r="T42">
        <f>HYPERLINK("https://klasma.github.io/Logging_2039/kartor/A 31821-2025 karta.png", "A 31821-2025")</f>
        <v/>
      </c>
      <c r="V42">
        <f>HYPERLINK("https://klasma.github.io/Logging_2039/klagomål/A 31821-2025 FSC-klagomål.docx", "A 31821-2025")</f>
        <v/>
      </c>
      <c r="W42">
        <f>HYPERLINK("https://klasma.github.io/Logging_2039/klagomålsmail/A 31821-2025 FSC-klagomål mail.docx", "A 31821-2025")</f>
        <v/>
      </c>
      <c r="X42">
        <f>HYPERLINK("https://klasma.github.io/Logging_2039/tillsyn/A 31821-2025 tillsynsbegäran.docx", "A 31821-2025")</f>
        <v/>
      </c>
      <c r="Y42">
        <f>HYPERLINK("https://klasma.github.io/Logging_2039/tillsynsmail/A 31821-2025 tillsynsbegäran mail.docx", "A 31821-2025")</f>
        <v/>
      </c>
    </row>
    <row r="43" ht="15" customHeight="1">
      <c r="A43" t="inlineStr">
        <is>
          <t>A 31631-2025</t>
        </is>
      </c>
      <c r="B43" s="1" t="n">
        <v>45834</v>
      </c>
      <c r="C43" s="1" t="n">
        <v>45887</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33638-2025</t>
        </is>
      </c>
      <c r="B44" s="1" t="n">
        <v>45841.64807870371</v>
      </c>
      <c r="C44" s="1" t="n">
        <v>45887</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33822-2025</t>
        </is>
      </c>
      <c r="B45" s="1" t="n">
        <v>45842.46769675926</v>
      </c>
      <c r="C45" s="1" t="n">
        <v>45887</v>
      </c>
      <c r="D45" t="inlineStr">
        <is>
          <t>DALARNAS LÄN</t>
        </is>
      </c>
      <c r="E45" t="inlineStr">
        <is>
          <t>ÄLVDALEN</t>
        </is>
      </c>
      <c r="F45" t="inlineStr">
        <is>
          <t>Sveaskog</t>
        </is>
      </c>
      <c r="G45" t="n">
        <v>3.9</v>
      </c>
      <c r="H45" t="n">
        <v>0</v>
      </c>
      <c r="I45" t="n">
        <v>1</v>
      </c>
      <c r="J45" t="n">
        <v>5</v>
      </c>
      <c r="K45" t="n">
        <v>0</v>
      </c>
      <c r="L45" t="n">
        <v>0</v>
      </c>
      <c r="M45" t="n">
        <v>0</v>
      </c>
      <c r="N45" t="n">
        <v>0</v>
      </c>
      <c r="O45" t="n">
        <v>5</v>
      </c>
      <c r="P45" t="n">
        <v>0</v>
      </c>
      <c r="Q45" t="n">
        <v>6</v>
      </c>
      <c r="R45" s="2" t="inlineStr">
        <is>
          <t>Blå taggsvamp
Kolflarnlav
Motaggsvamp
Mörk kolflarnlav
Vedflamlav
Skarp dropptaggsvamp</t>
        </is>
      </c>
      <c r="S45">
        <f>HYPERLINK("https://klasma.github.io/Logging_2039/artfynd/A 33822-2025 artfynd.xlsx", "A 33822-2025")</f>
        <v/>
      </c>
      <c r="T45">
        <f>HYPERLINK("https://klasma.github.io/Logging_2039/kartor/A 33822-2025 karta.png", "A 33822-2025")</f>
        <v/>
      </c>
      <c r="V45">
        <f>HYPERLINK("https://klasma.github.io/Logging_2039/klagomål/A 33822-2025 FSC-klagomål.docx", "A 33822-2025")</f>
        <v/>
      </c>
      <c r="W45">
        <f>HYPERLINK("https://klasma.github.io/Logging_2039/klagomålsmail/A 33822-2025 FSC-klagomål mail.docx", "A 33822-2025")</f>
        <v/>
      </c>
      <c r="X45">
        <f>HYPERLINK("https://klasma.github.io/Logging_2039/tillsyn/A 33822-2025 tillsynsbegäran.docx", "A 33822-2025")</f>
        <v/>
      </c>
      <c r="Y45">
        <f>HYPERLINK("https://klasma.github.io/Logging_2039/tillsynsmail/A 33822-2025 tillsynsbegäran mail.docx", "A 33822-2025")</f>
        <v/>
      </c>
    </row>
    <row r="46" ht="15" customHeight="1">
      <c r="A46" t="inlineStr">
        <is>
          <t>A 22701-2024</t>
        </is>
      </c>
      <c r="B46" s="1" t="n">
        <v>45448</v>
      </c>
      <c r="C46" s="1" t="n">
        <v>45887</v>
      </c>
      <c r="D46" t="inlineStr">
        <is>
          <t>DALARNAS LÄN</t>
        </is>
      </c>
      <c r="E46" t="inlineStr">
        <is>
          <t>ÄLVDALEN</t>
        </is>
      </c>
      <c r="F46" t="inlineStr">
        <is>
          <t>Sveaskog</t>
        </is>
      </c>
      <c r="G46" t="n">
        <v>2.7</v>
      </c>
      <c r="H46" t="n">
        <v>0</v>
      </c>
      <c r="I46" t="n">
        <v>2</v>
      </c>
      <c r="J46" t="n">
        <v>1</v>
      </c>
      <c r="K46" t="n">
        <v>3</v>
      </c>
      <c r="L46" t="n">
        <v>0</v>
      </c>
      <c r="M46" t="n">
        <v>0</v>
      </c>
      <c r="N46" t="n">
        <v>0</v>
      </c>
      <c r="O46" t="n">
        <v>4</v>
      </c>
      <c r="P46" t="n">
        <v>3</v>
      </c>
      <c r="Q46" t="n">
        <v>6</v>
      </c>
      <c r="R46" s="2" t="inlineStr">
        <is>
          <t>Smalfotad taggsvamp
Tajgataggsvamp
Tallstocksticka
Dvärgbägarlav
Dropptaggsvamp
Skarp dropptaggsvamp</t>
        </is>
      </c>
      <c r="S46">
        <f>HYPERLINK("https://klasma.github.io/Logging_2039/artfynd/A 22701-2024 artfynd.xlsx", "A 22701-2024")</f>
        <v/>
      </c>
      <c r="T46">
        <f>HYPERLINK("https://klasma.github.io/Logging_2039/kartor/A 22701-2024 karta.png", "A 22701-2024")</f>
        <v/>
      </c>
      <c r="V46">
        <f>HYPERLINK("https://klasma.github.io/Logging_2039/klagomål/A 22701-2024 FSC-klagomål.docx", "A 22701-2024")</f>
        <v/>
      </c>
      <c r="W46">
        <f>HYPERLINK("https://klasma.github.io/Logging_2039/klagomålsmail/A 22701-2024 FSC-klagomål mail.docx", "A 22701-2024")</f>
        <v/>
      </c>
      <c r="X46">
        <f>HYPERLINK("https://klasma.github.io/Logging_2039/tillsyn/A 22701-2024 tillsynsbegäran.docx", "A 22701-2024")</f>
        <v/>
      </c>
      <c r="Y46">
        <f>HYPERLINK("https://klasma.github.io/Logging_2039/tillsynsmail/A 22701-2024 tillsynsbegäran mail.docx", "A 22701-2024")</f>
        <v/>
      </c>
    </row>
    <row r="47" ht="15" customHeight="1">
      <c r="A47" t="inlineStr">
        <is>
          <t>A 39278-2022</t>
        </is>
      </c>
      <c r="B47" s="1" t="n">
        <v>44817</v>
      </c>
      <c r="C47" s="1" t="n">
        <v>45887</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19534-2025</t>
        </is>
      </c>
      <c r="B48" s="1" t="n">
        <v>45770.47667824074</v>
      </c>
      <c r="C48" s="1" t="n">
        <v>45887</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38585-2023</t>
        </is>
      </c>
      <c r="B49" s="1" t="n">
        <v>45162</v>
      </c>
      <c r="C49" s="1" t="n">
        <v>45887</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45887</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45887</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49053-2023</t>
        </is>
      </c>
      <c r="B52" s="1" t="n">
        <v>45210</v>
      </c>
      <c r="C52" s="1" t="n">
        <v>45887</v>
      </c>
      <c r="D52" t="inlineStr">
        <is>
          <t>DALARNAS LÄN</t>
        </is>
      </c>
      <c r="E52" t="inlineStr">
        <is>
          <t>ÄLVDALEN</t>
        </is>
      </c>
      <c r="F52" t="inlineStr">
        <is>
          <t>Sveaskog</t>
        </is>
      </c>
      <c r="G52" t="n">
        <v>3.6</v>
      </c>
      <c r="H52" t="n">
        <v>0</v>
      </c>
      <c r="I52" t="n">
        <v>2</v>
      </c>
      <c r="J52" t="n">
        <v>3</v>
      </c>
      <c r="K52" t="n">
        <v>0</v>
      </c>
      <c r="L52" t="n">
        <v>0</v>
      </c>
      <c r="M52" t="n">
        <v>0</v>
      </c>
      <c r="N52" t="n">
        <v>0</v>
      </c>
      <c r="O52" t="n">
        <v>3</v>
      </c>
      <c r="P52" t="n">
        <v>0</v>
      </c>
      <c r="Q52" t="n">
        <v>5</v>
      </c>
      <c r="R52" s="2" t="inlineStr">
        <is>
          <t>Kolflarnlav
Nordtagging
Vedflamlav
Dropptaggsvamp
Skarp dropptaggsvamp</t>
        </is>
      </c>
      <c r="S52">
        <f>HYPERLINK("https://klasma.github.io/Logging_2039/artfynd/A 49053-2023 artfynd.xlsx", "A 49053-2023")</f>
        <v/>
      </c>
      <c r="T52">
        <f>HYPERLINK("https://klasma.github.io/Logging_2039/kartor/A 49053-2023 karta.png", "A 49053-2023")</f>
        <v/>
      </c>
      <c r="V52">
        <f>HYPERLINK("https://klasma.github.io/Logging_2039/klagomål/A 49053-2023 FSC-klagomål.docx", "A 49053-2023")</f>
        <v/>
      </c>
      <c r="W52">
        <f>HYPERLINK("https://klasma.github.io/Logging_2039/klagomålsmail/A 49053-2023 FSC-klagomål mail.docx", "A 49053-2023")</f>
        <v/>
      </c>
      <c r="X52">
        <f>HYPERLINK("https://klasma.github.io/Logging_2039/tillsyn/A 49053-2023 tillsynsbegäran.docx", "A 49053-2023")</f>
        <v/>
      </c>
      <c r="Y52">
        <f>HYPERLINK("https://klasma.github.io/Logging_2039/tillsynsmail/A 49053-2023 tillsynsbegäran mail.docx", "A 49053-2023")</f>
        <v/>
      </c>
    </row>
    <row r="53" ht="15" customHeight="1">
      <c r="A53" t="inlineStr">
        <is>
          <t>A 36327-2025</t>
        </is>
      </c>
      <c r="B53" s="1" t="n">
        <v>45868.42211805555</v>
      </c>
      <c r="C53" s="1" t="n">
        <v>45887</v>
      </c>
      <c r="D53" t="inlineStr">
        <is>
          <t>DALARNAS LÄN</t>
        </is>
      </c>
      <c r="E53" t="inlineStr">
        <is>
          <t>ÄLVDALEN</t>
        </is>
      </c>
      <c r="F53" t="inlineStr">
        <is>
          <t>Allmännings- och besparingsskogar</t>
        </is>
      </c>
      <c r="G53" t="n">
        <v>16.9</v>
      </c>
      <c r="H53" t="n">
        <v>2</v>
      </c>
      <c r="I53" t="n">
        <v>0</v>
      </c>
      <c r="J53" t="n">
        <v>3</v>
      </c>
      <c r="K53" t="n">
        <v>0</v>
      </c>
      <c r="L53" t="n">
        <v>0</v>
      </c>
      <c r="M53" t="n">
        <v>0</v>
      </c>
      <c r="N53" t="n">
        <v>0</v>
      </c>
      <c r="O53" t="n">
        <v>3</v>
      </c>
      <c r="P53" t="n">
        <v>0</v>
      </c>
      <c r="Q53" t="n">
        <v>5</v>
      </c>
      <c r="R53" s="2" t="inlineStr">
        <is>
          <t>Garnlav
Kolflarnlav
Vedskivlav
Kungsfågel
Tjäder</t>
        </is>
      </c>
      <c r="S53">
        <f>HYPERLINK("https://klasma.github.io/Logging_2039/artfynd/A 36327-2025 artfynd.xlsx", "A 36327-2025")</f>
        <v/>
      </c>
      <c r="T53">
        <f>HYPERLINK("https://klasma.github.io/Logging_2039/kartor/A 36327-2025 karta.png", "A 36327-2025")</f>
        <v/>
      </c>
      <c r="V53">
        <f>HYPERLINK("https://klasma.github.io/Logging_2039/klagomål/A 36327-2025 FSC-klagomål.docx", "A 36327-2025")</f>
        <v/>
      </c>
      <c r="W53">
        <f>HYPERLINK("https://klasma.github.io/Logging_2039/klagomålsmail/A 36327-2025 FSC-klagomål mail.docx", "A 36327-2025")</f>
        <v/>
      </c>
      <c r="X53">
        <f>HYPERLINK("https://klasma.github.io/Logging_2039/tillsyn/A 36327-2025 tillsynsbegäran.docx", "A 36327-2025")</f>
        <v/>
      </c>
      <c r="Y53">
        <f>HYPERLINK("https://klasma.github.io/Logging_2039/tillsynsmail/A 36327-2025 tillsynsbegäran mail.docx", "A 36327-2025")</f>
        <v/>
      </c>
      <c r="Z53">
        <f>HYPERLINK("https://klasma.github.io/Logging_2039/fåglar/A 36327-2025 prioriterade fågelarter.docx", "A 36327-2025")</f>
        <v/>
      </c>
    </row>
    <row r="54" ht="15" customHeight="1">
      <c r="A54" t="inlineStr">
        <is>
          <t>A 19616-2024</t>
        </is>
      </c>
      <c r="B54" s="1" t="n">
        <v>45432.31541666666</v>
      </c>
      <c r="C54" s="1" t="n">
        <v>45887</v>
      </c>
      <c r="D54" t="inlineStr">
        <is>
          <t>DALARNAS LÄN</t>
        </is>
      </c>
      <c r="E54" t="inlineStr">
        <is>
          <t>ÄLVDALEN</t>
        </is>
      </c>
      <c r="F54" t="inlineStr">
        <is>
          <t>Sveaskog</t>
        </is>
      </c>
      <c r="G54" t="n">
        <v>6.5</v>
      </c>
      <c r="H54" t="n">
        <v>1</v>
      </c>
      <c r="I54" t="n">
        <v>0</v>
      </c>
      <c r="J54" t="n">
        <v>5</v>
      </c>
      <c r="K54" t="n">
        <v>0</v>
      </c>
      <c r="L54" t="n">
        <v>0</v>
      </c>
      <c r="M54" t="n">
        <v>0</v>
      </c>
      <c r="N54" t="n">
        <v>0</v>
      </c>
      <c r="O54" t="n">
        <v>5</v>
      </c>
      <c r="P54" t="n">
        <v>0</v>
      </c>
      <c r="Q54" t="n">
        <v>5</v>
      </c>
      <c r="R54" s="2" t="inlineStr">
        <is>
          <t>Blanksvart spiklav
Kolflarnlav
Mörk kolflarnlav
Varglav
Vedflamlav</t>
        </is>
      </c>
      <c r="S54">
        <f>HYPERLINK("https://klasma.github.io/Logging_2039/artfynd/A 19616-2024 artfynd.xlsx", "A 19616-2024")</f>
        <v/>
      </c>
      <c r="T54">
        <f>HYPERLINK("https://klasma.github.io/Logging_2039/kartor/A 19616-2024 karta.png", "A 19616-2024")</f>
        <v/>
      </c>
      <c r="V54">
        <f>HYPERLINK("https://klasma.github.io/Logging_2039/klagomål/A 19616-2024 FSC-klagomål.docx", "A 19616-2024")</f>
        <v/>
      </c>
      <c r="W54">
        <f>HYPERLINK("https://klasma.github.io/Logging_2039/klagomålsmail/A 19616-2024 FSC-klagomål mail.docx", "A 19616-2024")</f>
        <v/>
      </c>
      <c r="X54">
        <f>HYPERLINK("https://klasma.github.io/Logging_2039/tillsyn/A 19616-2024 tillsynsbegäran.docx", "A 19616-2024")</f>
        <v/>
      </c>
      <c r="Y54">
        <f>HYPERLINK("https://klasma.github.io/Logging_2039/tillsynsmail/A 19616-2024 tillsynsbegäran mail.docx", "A 19616-2024")</f>
        <v/>
      </c>
    </row>
    <row r="55" ht="15" customHeight="1">
      <c r="A55" t="inlineStr">
        <is>
          <t>A 16894-2025</t>
        </is>
      </c>
      <c r="B55" s="1" t="n">
        <v>45755.33045138889</v>
      </c>
      <c r="C55" s="1" t="n">
        <v>45887</v>
      </c>
      <c r="D55" t="inlineStr">
        <is>
          <t>DALARNAS LÄN</t>
        </is>
      </c>
      <c r="E55" t="inlineStr">
        <is>
          <t>ÄLVDALEN</t>
        </is>
      </c>
      <c r="F55" t="inlineStr">
        <is>
          <t>Sveaskog</t>
        </is>
      </c>
      <c r="G55" t="n">
        <v>17.3</v>
      </c>
      <c r="H55" t="n">
        <v>0</v>
      </c>
      <c r="I55" t="n">
        <v>1</v>
      </c>
      <c r="J55" t="n">
        <v>4</v>
      </c>
      <c r="K55" t="n">
        <v>0</v>
      </c>
      <c r="L55" t="n">
        <v>0</v>
      </c>
      <c r="M55" t="n">
        <v>0</v>
      </c>
      <c r="N55" t="n">
        <v>0</v>
      </c>
      <c r="O55" t="n">
        <v>4</v>
      </c>
      <c r="P55" t="n">
        <v>0</v>
      </c>
      <c r="Q55" t="n">
        <v>5</v>
      </c>
      <c r="R55" s="2" t="inlineStr">
        <is>
          <t>Dvärgbägarlav
Kolflarnlav
Mörk kolflarnlav
Vedflamlav
Dropptaggsvamp</t>
        </is>
      </c>
      <c r="S55">
        <f>HYPERLINK("https://klasma.github.io/Logging_2039/artfynd/A 16894-2025 artfynd.xlsx", "A 16894-2025")</f>
        <v/>
      </c>
      <c r="T55">
        <f>HYPERLINK("https://klasma.github.io/Logging_2039/kartor/A 16894-2025 karta.png", "A 16894-2025")</f>
        <v/>
      </c>
      <c r="V55">
        <f>HYPERLINK("https://klasma.github.io/Logging_2039/klagomål/A 16894-2025 FSC-klagomål.docx", "A 16894-2025")</f>
        <v/>
      </c>
      <c r="W55">
        <f>HYPERLINK("https://klasma.github.io/Logging_2039/klagomålsmail/A 16894-2025 FSC-klagomål mail.docx", "A 16894-2025")</f>
        <v/>
      </c>
      <c r="X55">
        <f>HYPERLINK("https://klasma.github.io/Logging_2039/tillsyn/A 16894-2025 tillsynsbegäran.docx", "A 16894-2025")</f>
        <v/>
      </c>
      <c r="Y55">
        <f>HYPERLINK("https://klasma.github.io/Logging_2039/tillsynsmail/A 16894-2025 tillsynsbegäran mail.docx", "A 16894-2025")</f>
        <v/>
      </c>
    </row>
    <row r="56" ht="15" customHeight="1">
      <c r="A56" t="inlineStr">
        <is>
          <t>A 25089-2024</t>
        </is>
      </c>
      <c r="B56" s="1" t="n">
        <v>45462.39879629629</v>
      </c>
      <c r="C56" s="1" t="n">
        <v>45887</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32204-2024</t>
        </is>
      </c>
      <c r="B57" s="1" t="n">
        <v>45511.67277777778</v>
      </c>
      <c r="C57" s="1" t="n">
        <v>45887</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45887</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36580-2024</t>
        </is>
      </c>
      <c r="B59" s="1" t="n">
        <v>45537.50400462963</v>
      </c>
      <c r="C59" s="1" t="n">
        <v>45887</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26765-2025</t>
        </is>
      </c>
      <c r="B60" s="1" t="n">
        <v>45810</v>
      </c>
      <c r="C60" s="1" t="n">
        <v>45887</v>
      </c>
      <c r="D60" t="inlineStr">
        <is>
          <t>DALARNAS LÄN</t>
        </is>
      </c>
      <c r="E60" t="inlineStr">
        <is>
          <t>ÄLVDALEN</t>
        </is>
      </c>
      <c r="F60" t="inlineStr">
        <is>
          <t>Allmännings- och besparingsskogar</t>
        </is>
      </c>
      <c r="G60" t="n">
        <v>17.5</v>
      </c>
      <c r="H60" t="n">
        <v>1</v>
      </c>
      <c r="I60" t="n">
        <v>0</v>
      </c>
      <c r="J60" t="n">
        <v>3</v>
      </c>
      <c r="K60" t="n">
        <v>0</v>
      </c>
      <c r="L60" t="n">
        <v>0</v>
      </c>
      <c r="M60" t="n">
        <v>0</v>
      </c>
      <c r="N60" t="n">
        <v>0</v>
      </c>
      <c r="O60" t="n">
        <v>3</v>
      </c>
      <c r="P60" t="n">
        <v>0</v>
      </c>
      <c r="Q60" t="n">
        <v>4</v>
      </c>
      <c r="R60" s="2" t="inlineStr">
        <is>
          <t>Kolflarnlav
Vedflamlav
Vedskivlav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49052-2023</t>
        </is>
      </c>
      <c r="B61" s="1" t="n">
        <v>45210</v>
      </c>
      <c r="C61" s="1" t="n">
        <v>45887</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38819-2024</t>
        </is>
      </c>
      <c r="B62" s="1" t="n">
        <v>45547.5541087963</v>
      </c>
      <c r="C62" s="1" t="n">
        <v>45887</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38819-2024 artfynd.xlsx", "A 38819-2024")</f>
        <v/>
      </c>
      <c r="T62">
        <f>HYPERLINK("https://klasma.github.io/Logging_2039/kartor/A 38819-2024 karta.png", "A 38819-2024")</f>
        <v/>
      </c>
      <c r="V62">
        <f>HYPERLINK("https://klasma.github.io/Logging_2039/klagomål/A 38819-2024 FSC-klagomål.docx", "A 38819-2024")</f>
        <v/>
      </c>
      <c r="W62">
        <f>HYPERLINK("https://klasma.github.io/Logging_2039/klagomålsmail/A 38819-2024 FSC-klagomål mail.docx", "A 38819-2024")</f>
        <v/>
      </c>
      <c r="X62">
        <f>HYPERLINK("https://klasma.github.io/Logging_2039/tillsyn/A 38819-2024 tillsynsbegäran.docx", "A 38819-2024")</f>
        <v/>
      </c>
      <c r="Y62">
        <f>HYPERLINK("https://klasma.github.io/Logging_2039/tillsynsmail/A 38819-2024 tillsynsbegäran mail.docx", "A 38819-2024")</f>
        <v/>
      </c>
    </row>
    <row r="63" ht="15" customHeight="1">
      <c r="A63" t="inlineStr">
        <is>
          <t>A 57505-2024</t>
        </is>
      </c>
      <c r="B63" s="1" t="n">
        <v>45630</v>
      </c>
      <c r="C63" s="1" t="n">
        <v>45887</v>
      </c>
      <c r="D63" t="inlineStr">
        <is>
          <t>DALARNAS LÄN</t>
        </is>
      </c>
      <c r="E63" t="inlineStr">
        <is>
          <t>ÄLVDALEN</t>
        </is>
      </c>
      <c r="F63" t="inlineStr">
        <is>
          <t>Allmännings- och besparingsskogar</t>
        </is>
      </c>
      <c r="G63" t="n">
        <v>2.3</v>
      </c>
      <c r="H63" t="n">
        <v>0</v>
      </c>
      <c r="I63" t="n">
        <v>2</v>
      </c>
      <c r="J63" t="n">
        <v>2</v>
      </c>
      <c r="K63" t="n">
        <v>0</v>
      </c>
      <c r="L63" t="n">
        <v>0</v>
      </c>
      <c r="M63" t="n">
        <v>0</v>
      </c>
      <c r="N63" t="n">
        <v>0</v>
      </c>
      <c r="O63" t="n">
        <v>2</v>
      </c>
      <c r="P63" t="n">
        <v>0</v>
      </c>
      <c r="Q63" t="n">
        <v>4</v>
      </c>
      <c r="R63" s="2" t="inlineStr">
        <is>
          <t>Skrovellav
Vedskivlav
Bronshjon
Vågbandad barkbock</t>
        </is>
      </c>
      <c r="S63">
        <f>HYPERLINK("https://klasma.github.io/Logging_2039/artfynd/A 57505-2024 artfynd.xlsx", "A 57505-2024")</f>
        <v/>
      </c>
      <c r="T63">
        <f>HYPERLINK("https://klasma.github.io/Logging_2039/kartor/A 57505-2024 karta.png", "A 57505-2024")</f>
        <v/>
      </c>
      <c r="V63">
        <f>HYPERLINK("https://klasma.github.io/Logging_2039/klagomål/A 57505-2024 FSC-klagomål.docx", "A 57505-2024")</f>
        <v/>
      </c>
      <c r="W63">
        <f>HYPERLINK("https://klasma.github.io/Logging_2039/klagomålsmail/A 57505-2024 FSC-klagomål mail.docx", "A 57505-2024")</f>
        <v/>
      </c>
      <c r="X63">
        <f>HYPERLINK("https://klasma.github.io/Logging_2039/tillsyn/A 57505-2024 tillsynsbegäran.docx", "A 57505-2024")</f>
        <v/>
      </c>
      <c r="Y63">
        <f>HYPERLINK("https://klasma.github.io/Logging_2039/tillsynsmail/A 57505-2024 tillsynsbegäran mail.docx", "A 57505-2024")</f>
        <v/>
      </c>
    </row>
    <row r="64" ht="15" customHeight="1">
      <c r="A64" t="inlineStr">
        <is>
          <t>A 32207-2024</t>
        </is>
      </c>
      <c r="B64" s="1" t="n">
        <v>45511.67440972223</v>
      </c>
      <c r="C64" s="1" t="n">
        <v>45887</v>
      </c>
      <c r="D64" t="inlineStr">
        <is>
          <t>DALARNAS LÄN</t>
        </is>
      </c>
      <c r="E64" t="inlineStr">
        <is>
          <t>ÄLVDALEN</t>
        </is>
      </c>
      <c r="F64" t="inlineStr">
        <is>
          <t>Sveaskog</t>
        </is>
      </c>
      <c r="G64" t="n">
        <v>2.5</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32207-2024 artfynd.xlsx", "A 32207-2024")</f>
        <v/>
      </c>
      <c r="T64">
        <f>HYPERLINK("https://klasma.github.io/Logging_2039/kartor/A 32207-2024 karta.png", "A 32207-2024")</f>
        <v/>
      </c>
      <c r="V64">
        <f>HYPERLINK("https://klasma.github.io/Logging_2039/klagomål/A 32207-2024 FSC-klagomål.docx", "A 32207-2024")</f>
        <v/>
      </c>
      <c r="W64">
        <f>HYPERLINK("https://klasma.github.io/Logging_2039/klagomålsmail/A 32207-2024 FSC-klagomål mail.docx", "A 32207-2024")</f>
        <v/>
      </c>
      <c r="X64">
        <f>HYPERLINK("https://klasma.github.io/Logging_2039/tillsyn/A 32207-2024 tillsynsbegäran.docx", "A 32207-2024")</f>
        <v/>
      </c>
      <c r="Y64">
        <f>HYPERLINK("https://klasma.github.io/Logging_2039/tillsynsmail/A 32207-2024 tillsynsbegäran mail.docx", "A 32207-2024")</f>
        <v/>
      </c>
    </row>
    <row r="65" ht="15" customHeight="1">
      <c r="A65" t="inlineStr">
        <is>
          <t>A 29252-2023</t>
        </is>
      </c>
      <c r="B65" s="1" t="n">
        <v>45105</v>
      </c>
      <c r="C65" s="1" t="n">
        <v>45887</v>
      </c>
      <c r="D65" t="inlineStr">
        <is>
          <t>DALARNAS LÄN</t>
        </is>
      </c>
      <c r="E65" t="inlineStr">
        <is>
          <t>ÄLVDALEN</t>
        </is>
      </c>
      <c r="F65" t="inlineStr">
        <is>
          <t>Allmännings- och besparingsskogar</t>
        </is>
      </c>
      <c r="G65" t="n">
        <v>3.5</v>
      </c>
      <c r="H65" t="n">
        <v>1</v>
      </c>
      <c r="I65" t="n">
        <v>0</v>
      </c>
      <c r="J65" t="n">
        <v>4</v>
      </c>
      <c r="K65" t="n">
        <v>0</v>
      </c>
      <c r="L65" t="n">
        <v>0</v>
      </c>
      <c r="M65" t="n">
        <v>0</v>
      </c>
      <c r="N65" t="n">
        <v>0</v>
      </c>
      <c r="O65" t="n">
        <v>4</v>
      </c>
      <c r="P65" t="n">
        <v>0</v>
      </c>
      <c r="Q65" t="n">
        <v>4</v>
      </c>
      <c r="R65" s="2" t="inlineStr">
        <is>
          <t>Knottrig blåslav
Kolflarnlav
Varglav
Vedflamlav</t>
        </is>
      </c>
      <c r="S65">
        <f>HYPERLINK("https://klasma.github.io/Logging_2039/artfynd/A 29252-2023 artfynd.xlsx", "A 29252-2023")</f>
        <v/>
      </c>
      <c r="T65">
        <f>HYPERLINK("https://klasma.github.io/Logging_2039/kartor/A 29252-2023 karta.png", "A 29252-2023")</f>
        <v/>
      </c>
      <c r="V65">
        <f>HYPERLINK("https://klasma.github.io/Logging_2039/klagomål/A 29252-2023 FSC-klagomål.docx", "A 29252-2023")</f>
        <v/>
      </c>
      <c r="W65">
        <f>HYPERLINK("https://klasma.github.io/Logging_2039/klagomålsmail/A 29252-2023 FSC-klagomål mail.docx", "A 29252-2023")</f>
        <v/>
      </c>
      <c r="X65">
        <f>HYPERLINK("https://klasma.github.io/Logging_2039/tillsyn/A 29252-2023 tillsynsbegäran.docx", "A 29252-2023")</f>
        <v/>
      </c>
      <c r="Y65">
        <f>HYPERLINK("https://klasma.github.io/Logging_2039/tillsynsmail/A 29252-2023 tillsynsbegäran mail.docx", "A 29252-2023")</f>
        <v/>
      </c>
    </row>
    <row r="66" ht="15" customHeight="1">
      <c r="A66" t="inlineStr">
        <is>
          <t>A 58570-2020</t>
        </is>
      </c>
      <c r="B66" s="1" t="n">
        <v>44145</v>
      </c>
      <c r="C66" s="1" t="n">
        <v>45887</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41921-2022</t>
        </is>
      </c>
      <c r="B67" s="1" t="n">
        <v>44830</v>
      </c>
      <c r="C67" s="1" t="n">
        <v>45887</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45887</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45887</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22291-2025</t>
        </is>
      </c>
      <c r="B70" s="1" t="n">
        <v>45786.34568287037</v>
      </c>
      <c r="C70" s="1" t="n">
        <v>45887</v>
      </c>
      <c r="D70" t="inlineStr">
        <is>
          <t>DALARNAS LÄN</t>
        </is>
      </c>
      <c r="E70" t="inlineStr">
        <is>
          <t>ÄLVDALEN</t>
        </is>
      </c>
      <c r="F70" t="inlineStr">
        <is>
          <t>Sveaskog</t>
        </is>
      </c>
      <c r="G70" t="n">
        <v>3.7</v>
      </c>
      <c r="H70" t="n">
        <v>0</v>
      </c>
      <c r="I70" t="n">
        <v>0</v>
      </c>
      <c r="J70" t="n">
        <v>3</v>
      </c>
      <c r="K70" t="n">
        <v>0</v>
      </c>
      <c r="L70" t="n">
        <v>0</v>
      </c>
      <c r="M70" t="n">
        <v>0</v>
      </c>
      <c r="N70" t="n">
        <v>0</v>
      </c>
      <c r="O70" t="n">
        <v>3</v>
      </c>
      <c r="P70" t="n">
        <v>0</v>
      </c>
      <c r="Q70" t="n">
        <v>3</v>
      </c>
      <c r="R70" s="2" t="inlineStr">
        <is>
          <t>Kolflarnlav
Mörk kolflarnlav
Vedflamlav</t>
        </is>
      </c>
      <c r="S70">
        <f>HYPERLINK("https://klasma.github.io/Logging_2039/artfynd/A 22291-2025 artfynd.xlsx", "A 22291-2025")</f>
        <v/>
      </c>
      <c r="T70">
        <f>HYPERLINK("https://klasma.github.io/Logging_2039/kartor/A 22291-2025 karta.png", "A 22291-2025")</f>
        <v/>
      </c>
      <c r="V70">
        <f>HYPERLINK("https://klasma.github.io/Logging_2039/klagomål/A 22291-2025 FSC-klagomål.docx", "A 22291-2025")</f>
        <v/>
      </c>
      <c r="W70">
        <f>HYPERLINK("https://klasma.github.io/Logging_2039/klagomålsmail/A 22291-2025 FSC-klagomål mail.docx", "A 22291-2025")</f>
        <v/>
      </c>
      <c r="X70">
        <f>HYPERLINK("https://klasma.github.io/Logging_2039/tillsyn/A 22291-2025 tillsynsbegäran.docx", "A 22291-2025")</f>
        <v/>
      </c>
      <c r="Y70">
        <f>HYPERLINK("https://klasma.github.io/Logging_2039/tillsynsmail/A 22291-2025 tillsynsbegäran mail.docx", "A 22291-2025")</f>
        <v/>
      </c>
    </row>
    <row r="71" ht="15" customHeight="1">
      <c r="A71" t="inlineStr">
        <is>
          <t>A 7024-2024</t>
        </is>
      </c>
      <c r="B71" s="1" t="n">
        <v>45343.57924768519</v>
      </c>
      <c r="C71" s="1" t="n">
        <v>45887</v>
      </c>
      <c r="D71" t="inlineStr">
        <is>
          <t>DALARNAS LÄN</t>
        </is>
      </c>
      <c r="E71" t="inlineStr">
        <is>
          <t>ÄLVDALEN</t>
        </is>
      </c>
      <c r="F71" t="inlineStr">
        <is>
          <t>Sveaskog</t>
        </is>
      </c>
      <c r="G71" t="n">
        <v>30.1</v>
      </c>
      <c r="H71" t="n">
        <v>0</v>
      </c>
      <c r="I71" t="n">
        <v>0</v>
      </c>
      <c r="J71" t="n">
        <v>2</v>
      </c>
      <c r="K71" t="n">
        <v>1</v>
      </c>
      <c r="L71" t="n">
        <v>0</v>
      </c>
      <c r="M71" t="n">
        <v>0</v>
      </c>
      <c r="N71" t="n">
        <v>0</v>
      </c>
      <c r="O71" t="n">
        <v>3</v>
      </c>
      <c r="P71" t="n">
        <v>1</v>
      </c>
      <c r="Q71" t="n">
        <v>3</v>
      </c>
      <c r="R71" s="2" t="inlineStr">
        <is>
          <t>Gräddporing
Nordtagging
Vaddporing</t>
        </is>
      </c>
      <c r="S71">
        <f>HYPERLINK("https://klasma.github.io/Logging_2039/artfynd/A 7024-2024 artfynd.xlsx", "A 7024-2024")</f>
        <v/>
      </c>
      <c r="T71">
        <f>HYPERLINK("https://klasma.github.io/Logging_2039/kartor/A 7024-2024 karta.png", "A 7024-2024")</f>
        <v/>
      </c>
      <c r="V71">
        <f>HYPERLINK("https://klasma.github.io/Logging_2039/klagomål/A 7024-2024 FSC-klagomål.docx", "A 7024-2024")</f>
        <v/>
      </c>
      <c r="W71">
        <f>HYPERLINK("https://klasma.github.io/Logging_2039/klagomålsmail/A 7024-2024 FSC-klagomål mail.docx", "A 7024-2024")</f>
        <v/>
      </c>
      <c r="X71">
        <f>HYPERLINK("https://klasma.github.io/Logging_2039/tillsyn/A 7024-2024 tillsynsbegäran.docx", "A 7024-2024")</f>
        <v/>
      </c>
      <c r="Y71">
        <f>HYPERLINK("https://klasma.github.io/Logging_2039/tillsynsmail/A 7024-2024 tillsynsbegäran mail.docx", "A 7024-2024")</f>
        <v/>
      </c>
    </row>
    <row r="72" ht="15" customHeight="1">
      <c r="A72" t="inlineStr">
        <is>
          <t>A 26751-2025</t>
        </is>
      </c>
      <c r="B72" s="1" t="n">
        <v>45810.55134259259</v>
      </c>
      <c r="C72" s="1" t="n">
        <v>45887</v>
      </c>
      <c r="D72" t="inlineStr">
        <is>
          <t>DALARNAS LÄN</t>
        </is>
      </c>
      <c r="E72" t="inlineStr">
        <is>
          <t>ÄLVDALEN</t>
        </is>
      </c>
      <c r="F72" t="inlineStr">
        <is>
          <t>Allmännings- och besparingsskogar</t>
        </is>
      </c>
      <c r="G72" t="n">
        <v>3.6</v>
      </c>
      <c r="H72" t="n">
        <v>1</v>
      </c>
      <c r="I72" t="n">
        <v>1</v>
      </c>
      <c r="J72" t="n">
        <v>2</v>
      </c>
      <c r="K72" t="n">
        <v>0</v>
      </c>
      <c r="L72" t="n">
        <v>0</v>
      </c>
      <c r="M72" t="n">
        <v>0</v>
      </c>
      <c r="N72" t="n">
        <v>0</v>
      </c>
      <c r="O72" t="n">
        <v>2</v>
      </c>
      <c r="P72" t="n">
        <v>0</v>
      </c>
      <c r="Q72" t="n">
        <v>3</v>
      </c>
      <c r="R72" s="2" t="inlineStr">
        <is>
          <t>Garnlav
Skrovellav
Spindelblomster</t>
        </is>
      </c>
      <c r="S72">
        <f>HYPERLINK("https://klasma.github.io/Logging_2039/artfynd/A 26751-2025 artfynd.xlsx", "A 26751-2025")</f>
        <v/>
      </c>
      <c r="T72">
        <f>HYPERLINK("https://klasma.github.io/Logging_2039/kartor/A 26751-2025 karta.png", "A 26751-2025")</f>
        <v/>
      </c>
      <c r="V72">
        <f>HYPERLINK("https://klasma.github.io/Logging_2039/klagomål/A 26751-2025 FSC-klagomål.docx", "A 26751-2025")</f>
        <v/>
      </c>
      <c r="W72">
        <f>HYPERLINK("https://klasma.github.io/Logging_2039/klagomålsmail/A 26751-2025 FSC-klagomål mail.docx", "A 26751-2025")</f>
        <v/>
      </c>
      <c r="X72">
        <f>HYPERLINK("https://klasma.github.io/Logging_2039/tillsyn/A 26751-2025 tillsynsbegäran.docx", "A 26751-2025")</f>
        <v/>
      </c>
      <c r="Y72">
        <f>HYPERLINK("https://klasma.github.io/Logging_2039/tillsynsmail/A 26751-2025 tillsynsbegäran mail.docx", "A 26751-2025")</f>
        <v/>
      </c>
    </row>
    <row r="73" ht="15" customHeight="1">
      <c r="A73" t="inlineStr">
        <is>
          <t>A 19262-2025</t>
        </is>
      </c>
      <c r="B73" s="1" t="n">
        <v>45769.51054398148</v>
      </c>
      <c r="C73" s="1" t="n">
        <v>45887</v>
      </c>
      <c r="D73" t="inlineStr">
        <is>
          <t>DALARNAS LÄN</t>
        </is>
      </c>
      <c r="E73" t="inlineStr">
        <is>
          <t>ÄLVDALEN</t>
        </is>
      </c>
      <c r="F73" t="inlineStr">
        <is>
          <t>Allmännings- och besparingsskogar</t>
        </is>
      </c>
      <c r="G73" t="n">
        <v>8.800000000000001</v>
      </c>
      <c r="H73" t="n">
        <v>0</v>
      </c>
      <c r="I73" t="n">
        <v>0</v>
      </c>
      <c r="J73" t="n">
        <v>2</v>
      </c>
      <c r="K73" t="n">
        <v>1</v>
      </c>
      <c r="L73" t="n">
        <v>0</v>
      </c>
      <c r="M73" t="n">
        <v>0</v>
      </c>
      <c r="N73" t="n">
        <v>0</v>
      </c>
      <c r="O73" t="n">
        <v>3</v>
      </c>
      <c r="P73" t="n">
        <v>1</v>
      </c>
      <c r="Q73" t="n">
        <v>3</v>
      </c>
      <c r="R73" s="2" t="inlineStr">
        <is>
          <t>Gräddporing
Dvärgbägarlav
Nordtagging</t>
        </is>
      </c>
      <c r="S73">
        <f>HYPERLINK("https://klasma.github.io/Logging_2039/artfynd/A 19262-2025 artfynd.xlsx", "A 19262-2025")</f>
        <v/>
      </c>
      <c r="T73">
        <f>HYPERLINK("https://klasma.github.io/Logging_2039/kartor/A 19262-2025 karta.png", "A 19262-2025")</f>
        <v/>
      </c>
      <c r="V73">
        <f>HYPERLINK("https://klasma.github.io/Logging_2039/klagomål/A 19262-2025 FSC-klagomål.docx", "A 19262-2025")</f>
        <v/>
      </c>
      <c r="W73">
        <f>HYPERLINK("https://klasma.github.io/Logging_2039/klagomålsmail/A 19262-2025 FSC-klagomål mail.docx", "A 19262-2025")</f>
        <v/>
      </c>
      <c r="X73">
        <f>HYPERLINK("https://klasma.github.io/Logging_2039/tillsyn/A 19262-2025 tillsynsbegäran.docx", "A 19262-2025")</f>
        <v/>
      </c>
      <c r="Y73">
        <f>HYPERLINK("https://klasma.github.io/Logging_2039/tillsynsmail/A 19262-2025 tillsynsbegäran mail.docx", "A 19262-2025")</f>
        <v/>
      </c>
    </row>
    <row r="74" ht="15" customHeight="1">
      <c r="A74" t="inlineStr">
        <is>
          <t>A 27933-2025</t>
        </is>
      </c>
      <c r="B74" s="1" t="n">
        <v>45817.49630787037</v>
      </c>
      <c r="C74" s="1" t="n">
        <v>45887</v>
      </c>
      <c r="D74" t="inlineStr">
        <is>
          <t>DALARNAS LÄN</t>
        </is>
      </c>
      <c r="E74" t="inlineStr">
        <is>
          <t>ÄLVDALEN</t>
        </is>
      </c>
      <c r="F74" t="inlineStr">
        <is>
          <t>Sveaskog</t>
        </is>
      </c>
      <c r="G74" t="n">
        <v>2.5</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27933-2025 artfynd.xlsx", "A 27933-2025")</f>
        <v/>
      </c>
      <c r="T74">
        <f>HYPERLINK("https://klasma.github.io/Logging_2039/kartor/A 27933-2025 karta.png", "A 27933-2025")</f>
        <v/>
      </c>
      <c r="V74">
        <f>HYPERLINK("https://klasma.github.io/Logging_2039/klagomål/A 27933-2025 FSC-klagomål.docx", "A 27933-2025")</f>
        <v/>
      </c>
      <c r="W74">
        <f>HYPERLINK("https://klasma.github.io/Logging_2039/klagomålsmail/A 27933-2025 FSC-klagomål mail.docx", "A 27933-2025")</f>
        <v/>
      </c>
      <c r="X74">
        <f>HYPERLINK("https://klasma.github.io/Logging_2039/tillsyn/A 27933-2025 tillsynsbegäran.docx", "A 27933-2025")</f>
        <v/>
      </c>
      <c r="Y74">
        <f>HYPERLINK("https://klasma.github.io/Logging_2039/tillsynsmail/A 27933-2025 tillsynsbegäran mail.docx", "A 27933-2025")</f>
        <v/>
      </c>
    </row>
    <row r="75" ht="15" customHeight="1">
      <c r="A75" t="inlineStr">
        <is>
          <t>A 44128-2023</t>
        </is>
      </c>
      <c r="B75" s="1" t="n">
        <v>45188.45712962963</v>
      </c>
      <c r="C75" s="1" t="n">
        <v>45887</v>
      </c>
      <c r="D75" t="inlineStr">
        <is>
          <t>DALARNAS LÄN</t>
        </is>
      </c>
      <c r="E75" t="inlineStr">
        <is>
          <t>ÄLVDALEN</t>
        </is>
      </c>
      <c r="F75" t="inlineStr">
        <is>
          <t>Sveaskog</t>
        </is>
      </c>
      <c r="G75" t="n">
        <v>1.8</v>
      </c>
      <c r="H75" t="n">
        <v>0</v>
      </c>
      <c r="I75" t="n">
        <v>1</v>
      </c>
      <c r="J75" t="n">
        <v>2</v>
      </c>
      <c r="K75" t="n">
        <v>0</v>
      </c>
      <c r="L75" t="n">
        <v>0</v>
      </c>
      <c r="M75" t="n">
        <v>0</v>
      </c>
      <c r="N75" t="n">
        <v>0</v>
      </c>
      <c r="O75" t="n">
        <v>2</v>
      </c>
      <c r="P75" t="n">
        <v>0</v>
      </c>
      <c r="Q75" t="n">
        <v>3</v>
      </c>
      <c r="R75" s="2" t="inlineStr">
        <is>
          <t>Blanksvart spiklav
Talltaggsvamp
Skarp dropptaggsvamp</t>
        </is>
      </c>
      <c r="S75">
        <f>HYPERLINK("https://klasma.github.io/Logging_2039/artfynd/A 44128-2023 artfynd.xlsx", "A 44128-2023")</f>
        <v/>
      </c>
      <c r="T75">
        <f>HYPERLINK("https://klasma.github.io/Logging_2039/kartor/A 44128-2023 karta.png", "A 44128-2023")</f>
        <v/>
      </c>
      <c r="V75">
        <f>HYPERLINK("https://klasma.github.io/Logging_2039/klagomål/A 44128-2023 FSC-klagomål.docx", "A 44128-2023")</f>
        <v/>
      </c>
      <c r="W75">
        <f>HYPERLINK("https://klasma.github.io/Logging_2039/klagomålsmail/A 44128-2023 FSC-klagomål mail.docx", "A 44128-2023")</f>
        <v/>
      </c>
      <c r="X75">
        <f>HYPERLINK("https://klasma.github.io/Logging_2039/tillsyn/A 44128-2023 tillsynsbegäran.docx", "A 44128-2023")</f>
        <v/>
      </c>
      <c r="Y75">
        <f>HYPERLINK("https://klasma.github.io/Logging_2039/tillsynsmail/A 44128-2023 tillsynsbegäran mail.docx", "A 44128-2023")</f>
        <v/>
      </c>
    </row>
    <row r="76" ht="15" customHeight="1">
      <c r="A76" t="inlineStr">
        <is>
          <t>A 41909-2022</t>
        </is>
      </c>
      <c r="B76" s="1" t="n">
        <v>44830</v>
      </c>
      <c r="C76" s="1" t="n">
        <v>45887</v>
      </c>
      <c r="D76" t="inlineStr">
        <is>
          <t>DALARNAS LÄN</t>
        </is>
      </c>
      <c r="E76" t="inlineStr">
        <is>
          <t>ÄLVDALEN</t>
        </is>
      </c>
      <c r="F76" t="inlineStr">
        <is>
          <t>Sveaskog</t>
        </is>
      </c>
      <c r="G76" t="n">
        <v>3.5</v>
      </c>
      <c r="H76" t="n">
        <v>1</v>
      </c>
      <c r="I76" t="n">
        <v>0</v>
      </c>
      <c r="J76" t="n">
        <v>2</v>
      </c>
      <c r="K76" t="n">
        <v>1</v>
      </c>
      <c r="L76" t="n">
        <v>0</v>
      </c>
      <c r="M76" t="n">
        <v>0</v>
      </c>
      <c r="N76" t="n">
        <v>0</v>
      </c>
      <c r="O76" t="n">
        <v>3</v>
      </c>
      <c r="P76" t="n">
        <v>1</v>
      </c>
      <c r="Q76" t="n">
        <v>3</v>
      </c>
      <c r="R76" s="2" t="inlineStr">
        <is>
          <t>Tajgataggsvamp
Blanksvart spiklav
Talltita</t>
        </is>
      </c>
      <c r="S76">
        <f>HYPERLINK("https://klasma.github.io/Logging_2039/artfynd/A 41909-2022 artfynd.xlsx", "A 41909-2022")</f>
        <v/>
      </c>
      <c r="T76">
        <f>HYPERLINK("https://klasma.github.io/Logging_2039/kartor/A 41909-2022 karta.png", "A 41909-2022")</f>
        <v/>
      </c>
      <c r="V76">
        <f>HYPERLINK("https://klasma.github.io/Logging_2039/klagomål/A 41909-2022 FSC-klagomål.docx", "A 41909-2022")</f>
        <v/>
      </c>
      <c r="W76">
        <f>HYPERLINK("https://klasma.github.io/Logging_2039/klagomålsmail/A 41909-2022 FSC-klagomål mail.docx", "A 41909-2022")</f>
        <v/>
      </c>
      <c r="X76">
        <f>HYPERLINK("https://klasma.github.io/Logging_2039/tillsyn/A 41909-2022 tillsynsbegäran.docx", "A 41909-2022")</f>
        <v/>
      </c>
      <c r="Y76">
        <f>HYPERLINK("https://klasma.github.io/Logging_2039/tillsynsmail/A 41909-2022 tillsynsbegäran mail.docx", "A 41909-2022")</f>
        <v/>
      </c>
      <c r="Z76">
        <f>HYPERLINK("https://klasma.github.io/Logging_2039/fåglar/A 41909-2022 prioriterade fågelarter.docx", "A 41909-2022")</f>
        <v/>
      </c>
    </row>
    <row r="77" ht="15" customHeight="1">
      <c r="A77" t="inlineStr">
        <is>
          <t>A 31057-2024</t>
        </is>
      </c>
      <c r="B77" s="1" t="n">
        <v>45502.37813657407</v>
      </c>
      <c r="C77" s="1" t="n">
        <v>45887</v>
      </c>
      <c r="D77" t="inlineStr">
        <is>
          <t>DALARNAS LÄN</t>
        </is>
      </c>
      <c r="E77" t="inlineStr">
        <is>
          <t>ÄLVDALEN</t>
        </is>
      </c>
      <c r="F77" t="inlineStr">
        <is>
          <t>Sveaskog</t>
        </is>
      </c>
      <c r="G77" t="n">
        <v>2.4</v>
      </c>
      <c r="H77" t="n">
        <v>0</v>
      </c>
      <c r="I77" t="n">
        <v>1</v>
      </c>
      <c r="J77" t="n">
        <v>2</v>
      </c>
      <c r="K77" t="n">
        <v>0</v>
      </c>
      <c r="L77" t="n">
        <v>0</v>
      </c>
      <c r="M77" t="n">
        <v>0</v>
      </c>
      <c r="N77" t="n">
        <v>0</v>
      </c>
      <c r="O77" t="n">
        <v>2</v>
      </c>
      <c r="P77" t="n">
        <v>0</v>
      </c>
      <c r="Q77" t="n">
        <v>3</v>
      </c>
      <c r="R77" s="2" t="inlineStr">
        <is>
          <t>Blå taggsvamp
Kolflarnlav
Skarp dropptaggsvamp</t>
        </is>
      </c>
      <c r="S77">
        <f>HYPERLINK("https://klasma.github.io/Logging_2039/artfynd/A 31057-2024 artfynd.xlsx", "A 31057-2024")</f>
        <v/>
      </c>
      <c r="T77">
        <f>HYPERLINK("https://klasma.github.io/Logging_2039/kartor/A 31057-2024 karta.png", "A 31057-2024")</f>
        <v/>
      </c>
      <c r="V77">
        <f>HYPERLINK("https://klasma.github.io/Logging_2039/klagomål/A 31057-2024 FSC-klagomål.docx", "A 31057-2024")</f>
        <v/>
      </c>
      <c r="W77">
        <f>HYPERLINK("https://klasma.github.io/Logging_2039/klagomålsmail/A 31057-2024 FSC-klagomål mail.docx", "A 31057-2024")</f>
        <v/>
      </c>
      <c r="X77">
        <f>HYPERLINK("https://klasma.github.io/Logging_2039/tillsyn/A 31057-2024 tillsynsbegäran.docx", "A 31057-2024")</f>
        <v/>
      </c>
      <c r="Y77">
        <f>HYPERLINK("https://klasma.github.io/Logging_2039/tillsynsmail/A 31057-2024 tillsynsbegäran mail.docx", "A 31057-2024")</f>
        <v/>
      </c>
    </row>
    <row r="78" ht="15" customHeight="1">
      <c r="A78" t="inlineStr">
        <is>
          <t>A 33645-2025</t>
        </is>
      </c>
      <c r="B78" s="1" t="n">
        <v>45841.65282407407</v>
      </c>
      <c r="C78" s="1" t="n">
        <v>45887</v>
      </c>
      <c r="D78" t="inlineStr">
        <is>
          <t>DALARNAS LÄN</t>
        </is>
      </c>
      <c r="E78" t="inlineStr">
        <is>
          <t>ÄLVDALEN</t>
        </is>
      </c>
      <c r="F78" t="inlineStr">
        <is>
          <t>Sveaskog</t>
        </is>
      </c>
      <c r="G78" t="n">
        <v>1.6</v>
      </c>
      <c r="H78" t="n">
        <v>0</v>
      </c>
      <c r="I78" t="n">
        <v>0</v>
      </c>
      <c r="J78" t="n">
        <v>3</v>
      </c>
      <c r="K78" t="n">
        <v>0</v>
      </c>
      <c r="L78" t="n">
        <v>0</v>
      </c>
      <c r="M78" t="n">
        <v>0</v>
      </c>
      <c r="N78" t="n">
        <v>0</v>
      </c>
      <c r="O78" t="n">
        <v>3</v>
      </c>
      <c r="P78" t="n">
        <v>0</v>
      </c>
      <c r="Q78" t="n">
        <v>3</v>
      </c>
      <c r="R78" s="2" t="inlineStr">
        <is>
          <t>Dvärgbägarlav
Kolflarnlav
Vedflamlav</t>
        </is>
      </c>
      <c r="S78">
        <f>HYPERLINK("https://klasma.github.io/Logging_2039/artfynd/A 33645-2025 artfynd.xlsx", "A 33645-2025")</f>
        <v/>
      </c>
      <c r="T78">
        <f>HYPERLINK("https://klasma.github.io/Logging_2039/kartor/A 33645-2025 karta.png", "A 33645-2025")</f>
        <v/>
      </c>
      <c r="V78">
        <f>HYPERLINK("https://klasma.github.io/Logging_2039/klagomål/A 33645-2025 FSC-klagomål.docx", "A 33645-2025")</f>
        <v/>
      </c>
      <c r="W78">
        <f>HYPERLINK("https://klasma.github.io/Logging_2039/klagomålsmail/A 33645-2025 FSC-klagomål mail.docx", "A 33645-2025")</f>
        <v/>
      </c>
      <c r="X78">
        <f>HYPERLINK("https://klasma.github.io/Logging_2039/tillsyn/A 33645-2025 tillsynsbegäran.docx", "A 33645-2025")</f>
        <v/>
      </c>
      <c r="Y78">
        <f>HYPERLINK("https://klasma.github.io/Logging_2039/tillsynsmail/A 33645-2025 tillsynsbegäran mail.docx", "A 33645-2025")</f>
        <v/>
      </c>
    </row>
    <row r="79" ht="15" customHeight="1">
      <c r="A79" t="inlineStr">
        <is>
          <t>A 51732-2021</t>
        </is>
      </c>
      <c r="B79" s="1" t="n">
        <v>44461</v>
      </c>
      <c r="C79" s="1" t="n">
        <v>45887</v>
      </c>
      <c r="D79" t="inlineStr">
        <is>
          <t>DALARNAS LÄN</t>
        </is>
      </c>
      <c r="E79" t="inlineStr">
        <is>
          <t>ÄLVDALEN</t>
        </is>
      </c>
      <c r="F79" t="inlineStr">
        <is>
          <t>Övriga statliga verk och myndigheter</t>
        </is>
      </c>
      <c r="G79" t="n">
        <v>5</v>
      </c>
      <c r="H79" t="n">
        <v>0</v>
      </c>
      <c r="I79" t="n">
        <v>2</v>
      </c>
      <c r="J79" t="n">
        <v>1</v>
      </c>
      <c r="K79" t="n">
        <v>0</v>
      </c>
      <c r="L79" t="n">
        <v>0</v>
      </c>
      <c r="M79" t="n">
        <v>0</v>
      </c>
      <c r="N79" t="n">
        <v>0</v>
      </c>
      <c r="O79" t="n">
        <v>1</v>
      </c>
      <c r="P79" t="n">
        <v>0</v>
      </c>
      <c r="Q79" t="n">
        <v>3</v>
      </c>
      <c r="R79" s="2" t="inlineStr">
        <is>
          <t>Garnlav
Svavelriska
Vedticka</t>
        </is>
      </c>
      <c r="S79">
        <f>HYPERLINK("https://klasma.github.io/Logging_2039/artfynd/A 51732-2021 artfynd.xlsx", "A 51732-2021")</f>
        <v/>
      </c>
      <c r="T79">
        <f>HYPERLINK("https://klasma.github.io/Logging_2039/kartor/A 51732-2021 karta.png", "A 51732-2021")</f>
        <v/>
      </c>
      <c r="V79">
        <f>HYPERLINK("https://klasma.github.io/Logging_2039/klagomål/A 51732-2021 FSC-klagomål.docx", "A 51732-2021")</f>
        <v/>
      </c>
      <c r="W79">
        <f>HYPERLINK("https://klasma.github.io/Logging_2039/klagomålsmail/A 51732-2021 FSC-klagomål mail.docx", "A 51732-2021")</f>
        <v/>
      </c>
      <c r="X79">
        <f>HYPERLINK("https://klasma.github.io/Logging_2039/tillsyn/A 51732-2021 tillsynsbegäran.docx", "A 51732-2021")</f>
        <v/>
      </c>
      <c r="Y79">
        <f>HYPERLINK("https://klasma.github.io/Logging_2039/tillsynsmail/A 51732-2021 tillsynsbegäran mail.docx", "A 51732-2021")</f>
        <v/>
      </c>
    </row>
    <row r="80" ht="15" customHeight="1">
      <c r="A80" t="inlineStr">
        <is>
          <t>A 43740-2024</t>
        </is>
      </c>
      <c r="B80" s="1" t="n">
        <v>45569.65748842592</v>
      </c>
      <c r="C80" s="1" t="n">
        <v>45887</v>
      </c>
      <c r="D80" t="inlineStr">
        <is>
          <t>DALARNAS LÄN</t>
        </is>
      </c>
      <c r="E80" t="inlineStr">
        <is>
          <t>ÄLVDALEN</t>
        </is>
      </c>
      <c r="F80" t="inlineStr">
        <is>
          <t>Sveaskog</t>
        </is>
      </c>
      <c r="G80" t="n">
        <v>2.3</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43740-2024 artfynd.xlsx", "A 43740-2024")</f>
        <v/>
      </c>
      <c r="T80">
        <f>HYPERLINK("https://klasma.github.io/Logging_2039/kartor/A 43740-2024 karta.png", "A 43740-2024")</f>
        <v/>
      </c>
      <c r="V80">
        <f>HYPERLINK("https://klasma.github.io/Logging_2039/klagomål/A 43740-2024 FSC-klagomål.docx", "A 43740-2024")</f>
        <v/>
      </c>
      <c r="W80">
        <f>HYPERLINK("https://klasma.github.io/Logging_2039/klagomålsmail/A 43740-2024 FSC-klagomål mail.docx", "A 43740-2024")</f>
        <v/>
      </c>
      <c r="X80">
        <f>HYPERLINK("https://klasma.github.io/Logging_2039/tillsyn/A 43740-2024 tillsynsbegäran.docx", "A 43740-2024")</f>
        <v/>
      </c>
      <c r="Y80">
        <f>HYPERLINK("https://klasma.github.io/Logging_2039/tillsynsmail/A 43740-2024 tillsynsbegäran mail.docx", "A 43740-2024")</f>
        <v/>
      </c>
    </row>
    <row r="81" ht="15" customHeight="1">
      <c r="A81" t="inlineStr">
        <is>
          <t>A 32403-2023</t>
        </is>
      </c>
      <c r="B81" s="1" t="n">
        <v>45120</v>
      </c>
      <c r="C81" s="1" t="n">
        <v>45887</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18839-2024</t>
        </is>
      </c>
      <c r="B82" s="1" t="n">
        <v>45426</v>
      </c>
      <c r="C82" s="1" t="n">
        <v>45887</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67709-2021</t>
        </is>
      </c>
      <c r="B83" s="1" t="n">
        <v>44525</v>
      </c>
      <c r="C83" s="1" t="n">
        <v>45887</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45887</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69726-2021</t>
        </is>
      </c>
      <c r="B85" s="1" t="n">
        <v>44532</v>
      </c>
      <c r="C85" s="1" t="n">
        <v>45887</v>
      </c>
      <c r="D85" t="inlineStr">
        <is>
          <t>DALARNAS LÄN</t>
        </is>
      </c>
      <c r="E85" t="inlineStr">
        <is>
          <t>ÄLVDALEN</t>
        </is>
      </c>
      <c r="F85" t="inlineStr">
        <is>
          <t>Sveaskog</t>
        </is>
      </c>
      <c r="G85" t="n">
        <v>7.2</v>
      </c>
      <c r="H85" t="n">
        <v>0</v>
      </c>
      <c r="I85" t="n">
        <v>1</v>
      </c>
      <c r="J85" t="n">
        <v>1</v>
      </c>
      <c r="K85" t="n">
        <v>0</v>
      </c>
      <c r="L85" t="n">
        <v>0</v>
      </c>
      <c r="M85" t="n">
        <v>0</v>
      </c>
      <c r="N85" t="n">
        <v>0</v>
      </c>
      <c r="O85" t="n">
        <v>1</v>
      </c>
      <c r="P85" t="n">
        <v>0</v>
      </c>
      <c r="Q85" t="n">
        <v>2</v>
      </c>
      <c r="R85" s="2" t="inlineStr">
        <is>
          <t>Garnlav
Dropptaggsvamp</t>
        </is>
      </c>
      <c r="S85">
        <f>HYPERLINK("https://klasma.github.io/Logging_2039/artfynd/A 69726-2021 artfynd.xlsx", "A 69726-2021")</f>
        <v/>
      </c>
      <c r="T85">
        <f>HYPERLINK("https://klasma.github.io/Logging_2039/kartor/A 69726-2021 karta.png", "A 69726-2021")</f>
        <v/>
      </c>
      <c r="V85">
        <f>HYPERLINK("https://klasma.github.io/Logging_2039/klagomål/A 69726-2021 FSC-klagomål.docx", "A 69726-2021")</f>
        <v/>
      </c>
      <c r="W85">
        <f>HYPERLINK("https://klasma.github.io/Logging_2039/klagomålsmail/A 69726-2021 FSC-klagomål mail.docx", "A 69726-2021")</f>
        <v/>
      </c>
      <c r="X85">
        <f>HYPERLINK("https://klasma.github.io/Logging_2039/tillsyn/A 69726-2021 tillsynsbegäran.docx", "A 69726-2021")</f>
        <v/>
      </c>
      <c r="Y85">
        <f>HYPERLINK("https://klasma.github.io/Logging_2039/tillsynsmail/A 69726-2021 tillsynsbegäran mail.docx", "A 69726-2021")</f>
        <v/>
      </c>
    </row>
    <row r="86" ht="15" customHeight="1">
      <c r="A86" t="inlineStr">
        <is>
          <t>A 30615-2021</t>
        </is>
      </c>
      <c r="B86" s="1" t="n">
        <v>44365</v>
      </c>
      <c r="C86" s="1" t="n">
        <v>45887</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16638-2021</t>
        </is>
      </c>
      <c r="B87" s="1" t="n">
        <v>44284</v>
      </c>
      <c r="C87" s="1" t="n">
        <v>45887</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21629-2022</t>
        </is>
      </c>
      <c r="B88" s="1" t="n">
        <v>44706</v>
      </c>
      <c r="C88" s="1" t="n">
        <v>45887</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32206-2024</t>
        </is>
      </c>
      <c r="B89" s="1" t="n">
        <v>45511.67366898148</v>
      </c>
      <c r="C89" s="1" t="n">
        <v>45887</v>
      </c>
      <c r="D89" t="inlineStr">
        <is>
          <t>DALARNAS LÄN</t>
        </is>
      </c>
      <c r="E89" t="inlineStr">
        <is>
          <t>ÄLVDALEN</t>
        </is>
      </c>
      <c r="F89" t="inlineStr">
        <is>
          <t>Sveaskog</t>
        </is>
      </c>
      <c r="G89" t="n">
        <v>8.1</v>
      </c>
      <c r="H89" t="n">
        <v>0</v>
      </c>
      <c r="I89" t="n">
        <v>0</v>
      </c>
      <c r="J89" t="n">
        <v>2</v>
      </c>
      <c r="K89" t="n">
        <v>0</v>
      </c>
      <c r="L89" t="n">
        <v>0</v>
      </c>
      <c r="M89" t="n">
        <v>0</v>
      </c>
      <c r="N89" t="n">
        <v>0</v>
      </c>
      <c r="O89" t="n">
        <v>2</v>
      </c>
      <c r="P89" t="n">
        <v>0</v>
      </c>
      <c r="Q89" t="n">
        <v>2</v>
      </c>
      <c r="R89" s="2" t="inlineStr">
        <is>
          <t>Blanksvart spiklav
Dvärgbägarlav</t>
        </is>
      </c>
      <c r="S89">
        <f>HYPERLINK("https://klasma.github.io/Logging_2039/artfynd/A 32206-2024 artfynd.xlsx", "A 32206-2024")</f>
        <v/>
      </c>
      <c r="T89">
        <f>HYPERLINK("https://klasma.github.io/Logging_2039/kartor/A 32206-2024 karta.png", "A 32206-2024")</f>
        <v/>
      </c>
      <c r="V89">
        <f>HYPERLINK("https://klasma.github.io/Logging_2039/klagomål/A 32206-2024 FSC-klagomål.docx", "A 32206-2024")</f>
        <v/>
      </c>
      <c r="W89">
        <f>HYPERLINK("https://klasma.github.io/Logging_2039/klagomålsmail/A 32206-2024 FSC-klagomål mail.docx", "A 32206-2024")</f>
        <v/>
      </c>
      <c r="X89">
        <f>HYPERLINK("https://klasma.github.io/Logging_2039/tillsyn/A 32206-2024 tillsynsbegäran.docx", "A 32206-2024")</f>
        <v/>
      </c>
      <c r="Y89">
        <f>HYPERLINK("https://klasma.github.io/Logging_2039/tillsynsmail/A 32206-2024 tillsynsbegäran mail.docx", "A 32206-2024")</f>
        <v/>
      </c>
    </row>
    <row r="90" ht="15" customHeight="1">
      <c r="A90" t="inlineStr">
        <is>
          <t>A 52490-2022</t>
        </is>
      </c>
      <c r="B90" s="1" t="n">
        <v>44874</v>
      </c>
      <c r="C90" s="1" t="n">
        <v>45887</v>
      </c>
      <c r="D90" t="inlineStr">
        <is>
          <t>DALARNAS LÄN</t>
        </is>
      </c>
      <c r="E90" t="inlineStr">
        <is>
          <t>ÄLVDALEN</t>
        </is>
      </c>
      <c r="G90" t="n">
        <v>4.3</v>
      </c>
      <c r="H90" t="n">
        <v>0</v>
      </c>
      <c r="I90" t="n">
        <v>1</v>
      </c>
      <c r="J90" t="n">
        <v>1</v>
      </c>
      <c r="K90" t="n">
        <v>0</v>
      </c>
      <c r="L90" t="n">
        <v>0</v>
      </c>
      <c r="M90" t="n">
        <v>0</v>
      </c>
      <c r="N90" t="n">
        <v>0</v>
      </c>
      <c r="O90" t="n">
        <v>1</v>
      </c>
      <c r="P90" t="n">
        <v>0</v>
      </c>
      <c r="Q90" t="n">
        <v>2</v>
      </c>
      <c r="R90" s="2" t="inlineStr">
        <is>
          <t>Garnlav
Dropptaggsvamp</t>
        </is>
      </c>
      <c r="S90">
        <f>HYPERLINK("https://klasma.github.io/Logging_2039/artfynd/A 52490-2022 artfynd.xlsx", "A 52490-2022")</f>
        <v/>
      </c>
      <c r="T90">
        <f>HYPERLINK("https://klasma.github.io/Logging_2039/kartor/A 52490-2022 karta.png", "A 52490-2022")</f>
        <v/>
      </c>
      <c r="V90">
        <f>HYPERLINK("https://klasma.github.io/Logging_2039/klagomål/A 52490-2022 FSC-klagomål.docx", "A 52490-2022")</f>
        <v/>
      </c>
      <c r="W90">
        <f>HYPERLINK("https://klasma.github.io/Logging_2039/klagomålsmail/A 52490-2022 FSC-klagomål mail.docx", "A 52490-2022")</f>
        <v/>
      </c>
      <c r="X90">
        <f>HYPERLINK("https://klasma.github.io/Logging_2039/tillsyn/A 52490-2022 tillsynsbegäran.docx", "A 52490-2022")</f>
        <v/>
      </c>
      <c r="Y90">
        <f>HYPERLINK("https://klasma.github.io/Logging_2039/tillsynsmail/A 52490-2022 tillsynsbegäran mail.docx", "A 52490-2022")</f>
        <v/>
      </c>
    </row>
    <row r="91" ht="15" customHeight="1">
      <c r="A91" t="inlineStr">
        <is>
          <t>A 27937-2025</t>
        </is>
      </c>
      <c r="B91" s="1" t="n">
        <v>45817.50025462963</v>
      </c>
      <c r="C91" s="1" t="n">
        <v>45887</v>
      </c>
      <c r="D91" t="inlineStr">
        <is>
          <t>DALARNAS LÄN</t>
        </is>
      </c>
      <c r="E91" t="inlineStr">
        <is>
          <t>ÄLVDALEN</t>
        </is>
      </c>
      <c r="F91" t="inlineStr">
        <is>
          <t>Sveaskog</t>
        </is>
      </c>
      <c r="G91" t="n">
        <v>0.9</v>
      </c>
      <c r="H91" t="n">
        <v>0</v>
      </c>
      <c r="I91" t="n">
        <v>1</v>
      </c>
      <c r="J91" t="n">
        <v>1</v>
      </c>
      <c r="K91" t="n">
        <v>0</v>
      </c>
      <c r="L91" t="n">
        <v>0</v>
      </c>
      <c r="M91" t="n">
        <v>0</v>
      </c>
      <c r="N91" t="n">
        <v>0</v>
      </c>
      <c r="O91" t="n">
        <v>1</v>
      </c>
      <c r="P91" t="n">
        <v>0</v>
      </c>
      <c r="Q91" t="n">
        <v>2</v>
      </c>
      <c r="R91" s="2" t="inlineStr">
        <is>
          <t>Kolflarnlav
Dropptaggsvamp</t>
        </is>
      </c>
      <c r="S91">
        <f>HYPERLINK("https://klasma.github.io/Logging_2039/artfynd/A 27937-2025 artfynd.xlsx", "A 27937-2025")</f>
        <v/>
      </c>
      <c r="T91">
        <f>HYPERLINK("https://klasma.github.io/Logging_2039/kartor/A 27937-2025 karta.png", "A 27937-2025")</f>
        <v/>
      </c>
      <c r="V91">
        <f>HYPERLINK("https://klasma.github.io/Logging_2039/klagomål/A 27937-2025 FSC-klagomål.docx", "A 27937-2025")</f>
        <v/>
      </c>
      <c r="W91">
        <f>HYPERLINK("https://klasma.github.io/Logging_2039/klagomålsmail/A 27937-2025 FSC-klagomål mail.docx", "A 27937-2025")</f>
        <v/>
      </c>
      <c r="X91">
        <f>HYPERLINK("https://klasma.github.io/Logging_2039/tillsyn/A 27937-2025 tillsynsbegäran.docx", "A 27937-2025")</f>
        <v/>
      </c>
      <c r="Y91">
        <f>HYPERLINK("https://klasma.github.io/Logging_2039/tillsynsmail/A 27937-2025 tillsynsbegäran mail.docx", "A 27937-2025")</f>
        <v/>
      </c>
    </row>
    <row r="92" ht="15" customHeight="1">
      <c r="A92" t="inlineStr">
        <is>
          <t>A 31264-2025</t>
        </is>
      </c>
      <c r="B92" s="1" t="n">
        <v>45833.3283912037</v>
      </c>
      <c r="C92" s="1" t="n">
        <v>45887</v>
      </c>
      <c r="D92" t="inlineStr">
        <is>
          <t>DALARNAS LÄN</t>
        </is>
      </c>
      <c r="E92" t="inlineStr">
        <is>
          <t>ÄLVDALEN</t>
        </is>
      </c>
      <c r="F92" t="inlineStr">
        <is>
          <t>Sveaskog</t>
        </is>
      </c>
      <c r="G92" t="n">
        <v>1.3</v>
      </c>
      <c r="H92" t="n">
        <v>2</v>
      </c>
      <c r="I92" t="n">
        <v>0</v>
      </c>
      <c r="J92" t="n">
        <v>1</v>
      </c>
      <c r="K92" t="n">
        <v>0</v>
      </c>
      <c r="L92" t="n">
        <v>1</v>
      </c>
      <c r="M92" t="n">
        <v>0</v>
      </c>
      <c r="N92" t="n">
        <v>0</v>
      </c>
      <c r="O92" t="n">
        <v>2</v>
      </c>
      <c r="P92" t="n">
        <v>1</v>
      </c>
      <c r="Q92" t="n">
        <v>2</v>
      </c>
      <c r="R92" s="2" t="inlineStr">
        <is>
          <t>Mosippa
Drillsnäppa</t>
        </is>
      </c>
      <c r="S92">
        <f>HYPERLINK("https://klasma.github.io/Logging_2039/artfynd/A 31264-2025 artfynd.xlsx", "A 31264-2025")</f>
        <v/>
      </c>
      <c r="T92">
        <f>HYPERLINK("https://klasma.github.io/Logging_2039/kartor/A 31264-2025 karta.png", "A 31264-2025")</f>
        <v/>
      </c>
      <c r="V92">
        <f>HYPERLINK("https://klasma.github.io/Logging_2039/klagomål/A 31264-2025 FSC-klagomål.docx", "A 31264-2025")</f>
        <v/>
      </c>
      <c r="W92">
        <f>HYPERLINK("https://klasma.github.io/Logging_2039/klagomålsmail/A 31264-2025 FSC-klagomål mail.docx", "A 31264-2025")</f>
        <v/>
      </c>
      <c r="X92">
        <f>HYPERLINK("https://klasma.github.io/Logging_2039/tillsyn/A 31264-2025 tillsynsbegäran.docx", "A 31264-2025")</f>
        <v/>
      </c>
      <c r="Y92">
        <f>HYPERLINK("https://klasma.github.io/Logging_2039/tillsynsmail/A 31264-2025 tillsynsbegäran mail.docx", "A 31264-2025")</f>
        <v/>
      </c>
    </row>
    <row r="93" ht="15" customHeight="1">
      <c r="A93" t="inlineStr">
        <is>
          <t>A 59429-2024</t>
        </is>
      </c>
      <c r="B93" s="1" t="n">
        <v>45638.42091435185</v>
      </c>
      <c r="C93" s="1" t="n">
        <v>45887</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54632-2021</t>
        </is>
      </c>
      <c r="B94" s="1" t="n">
        <v>44473</v>
      </c>
      <c r="C94" s="1" t="n">
        <v>45887</v>
      </c>
      <c r="D94" t="inlineStr">
        <is>
          <t>DALARNAS LÄN</t>
        </is>
      </c>
      <c r="E94" t="inlineStr">
        <is>
          <t>ÄLVDALEN</t>
        </is>
      </c>
      <c r="G94" t="n">
        <v>4.3</v>
      </c>
      <c r="H94" t="n">
        <v>1</v>
      </c>
      <c r="I94" t="n">
        <v>0</v>
      </c>
      <c r="J94" t="n">
        <v>2</v>
      </c>
      <c r="K94" t="n">
        <v>0</v>
      </c>
      <c r="L94" t="n">
        <v>0</v>
      </c>
      <c r="M94" t="n">
        <v>0</v>
      </c>
      <c r="N94" t="n">
        <v>0</v>
      </c>
      <c r="O94" t="n">
        <v>2</v>
      </c>
      <c r="P94" t="n">
        <v>0</v>
      </c>
      <c r="Q94" t="n">
        <v>2</v>
      </c>
      <c r="R94" s="2" t="inlineStr">
        <is>
          <t>Varglav
Vedflamlav</t>
        </is>
      </c>
      <c r="S94">
        <f>HYPERLINK("https://klasma.github.io/Logging_2039/artfynd/A 54632-2021 artfynd.xlsx", "A 54632-2021")</f>
        <v/>
      </c>
      <c r="T94">
        <f>HYPERLINK("https://klasma.github.io/Logging_2039/kartor/A 54632-2021 karta.png", "A 54632-2021")</f>
        <v/>
      </c>
      <c r="V94">
        <f>HYPERLINK("https://klasma.github.io/Logging_2039/klagomål/A 54632-2021 FSC-klagomål.docx", "A 54632-2021")</f>
        <v/>
      </c>
      <c r="W94">
        <f>HYPERLINK("https://klasma.github.io/Logging_2039/klagomålsmail/A 54632-2021 FSC-klagomål mail.docx", "A 54632-2021")</f>
        <v/>
      </c>
      <c r="X94">
        <f>HYPERLINK("https://klasma.github.io/Logging_2039/tillsyn/A 54632-2021 tillsynsbegäran.docx", "A 54632-2021")</f>
        <v/>
      </c>
      <c r="Y94">
        <f>HYPERLINK("https://klasma.github.io/Logging_2039/tillsynsmail/A 54632-2021 tillsynsbegäran mail.docx", "A 54632-2021")</f>
        <v/>
      </c>
    </row>
    <row r="95" ht="15" customHeight="1">
      <c r="A95" t="inlineStr">
        <is>
          <t>A 27967-2023</t>
        </is>
      </c>
      <c r="B95" s="1" t="n">
        <v>45098.70354166667</v>
      </c>
      <c r="C95" s="1" t="n">
        <v>45887</v>
      </c>
      <c r="D95" t="inlineStr">
        <is>
          <t>DALARNAS LÄN</t>
        </is>
      </c>
      <c r="E95" t="inlineStr">
        <is>
          <t>ÄLVDALEN</t>
        </is>
      </c>
      <c r="F95" t="inlineStr">
        <is>
          <t>Sveaskog</t>
        </is>
      </c>
      <c r="G95" t="n">
        <v>1.9</v>
      </c>
      <c r="H95" t="n">
        <v>0</v>
      </c>
      <c r="I95" t="n">
        <v>0</v>
      </c>
      <c r="J95" t="n">
        <v>2</v>
      </c>
      <c r="K95" t="n">
        <v>0</v>
      </c>
      <c r="L95" t="n">
        <v>0</v>
      </c>
      <c r="M95" t="n">
        <v>0</v>
      </c>
      <c r="N95" t="n">
        <v>0</v>
      </c>
      <c r="O95" t="n">
        <v>2</v>
      </c>
      <c r="P95" t="n">
        <v>0</v>
      </c>
      <c r="Q95" t="n">
        <v>2</v>
      </c>
      <c r="R95" s="2" t="inlineStr">
        <is>
          <t>Kolflarnlav
Mörk kolflarnlav</t>
        </is>
      </c>
      <c r="S95">
        <f>HYPERLINK("https://klasma.github.io/Logging_2039/artfynd/A 27967-2023 artfynd.xlsx", "A 27967-2023")</f>
        <v/>
      </c>
      <c r="T95">
        <f>HYPERLINK("https://klasma.github.io/Logging_2039/kartor/A 27967-2023 karta.png", "A 27967-2023")</f>
        <v/>
      </c>
      <c r="V95">
        <f>HYPERLINK("https://klasma.github.io/Logging_2039/klagomål/A 27967-2023 FSC-klagomål.docx", "A 27967-2023")</f>
        <v/>
      </c>
      <c r="W95">
        <f>HYPERLINK("https://klasma.github.io/Logging_2039/klagomålsmail/A 27967-2023 FSC-klagomål mail.docx", "A 27967-2023")</f>
        <v/>
      </c>
      <c r="X95">
        <f>HYPERLINK("https://klasma.github.io/Logging_2039/tillsyn/A 27967-2023 tillsynsbegäran.docx", "A 27967-2023")</f>
        <v/>
      </c>
      <c r="Y95">
        <f>HYPERLINK("https://klasma.github.io/Logging_2039/tillsynsmail/A 27967-2023 tillsynsbegäran mail.docx", "A 27967-2023")</f>
        <v/>
      </c>
    </row>
    <row r="96" ht="15" customHeight="1">
      <c r="A96" t="inlineStr">
        <is>
          <t>A 40231-2021</t>
        </is>
      </c>
      <c r="B96" s="1" t="n">
        <v>44419.31553240741</v>
      </c>
      <c r="C96" s="1" t="n">
        <v>45887</v>
      </c>
      <c r="D96" t="inlineStr">
        <is>
          <t>DALARNAS LÄN</t>
        </is>
      </c>
      <c r="E96" t="inlineStr">
        <is>
          <t>ÄLVDALEN</t>
        </is>
      </c>
      <c r="F96" t="inlineStr">
        <is>
          <t>Sveaskog</t>
        </is>
      </c>
      <c r="G96" t="n">
        <v>4.1</v>
      </c>
      <c r="H96" t="n">
        <v>0</v>
      </c>
      <c r="I96" t="n">
        <v>1</v>
      </c>
      <c r="J96" t="n">
        <v>1</v>
      </c>
      <c r="K96" t="n">
        <v>0</v>
      </c>
      <c r="L96" t="n">
        <v>0</v>
      </c>
      <c r="M96" t="n">
        <v>0</v>
      </c>
      <c r="N96" t="n">
        <v>0</v>
      </c>
      <c r="O96" t="n">
        <v>1</v>
      </c>
      <c r="P96" t="n">
        <v>0</v>
      </c>
      <c r="Q96" t="n">
        <v>2</v>
      </c>
      <c r="R96" s="2" t="inlineStr">
        <is>
          <t>Garnlav
Dropptaggsvamp</t>
        </is>
      </c>
      <c r="S96">
        <f>HYPERLINK("https://klasma.github.io/Logging_2039/artfynd/A 40231-2021 artfynd.xlsx", "A 40231-2021")</f>
        <v/>
      </c>
      <c r="T96">
        <f>HYPERLINK("https://klasma.github.io/Logging_2039/kartor/A 40231-2021 karta.png", "A 40231-2021")</f>
        <v/>
      </c>
      <c r="V96">
        <f>HYPERLINK("https://klasma.github.io/Logging_2039/klagomål/A 40231-2021 FSC-klagomål.docx", "A 40231-2021")</f>
        <v/>
      </c>
      <c r="W96">
        <f>HYPERLINK("https://klasma.github.io/Logging_2039/klagomålsmail/A 40231-2021 FSC-klagomål mail.docx", "A 40231-2021")</f>
        <v/>
      </c>
      <c r="X96">
        <f>HYPERLINK("https://klasma.github.io/Logging_2039/tillsyn/A 40231-2021 tillsynsbegäran.docx", "A 40231-2021")</f>
        <v/>
      </c>
      <c r="Y96">
        <f>HYPERLINK("https://klasma.github.io/Logging_2039/tillsynsmail/A 40231-2021 tillsynsbegäran mail.docx", "A 40231-2021")</f>
        <v/>
      </c>
    </row>
    <row r="97" ht="15" customHeight="1">
      <c r="A97" t="inlineStr">
        <is>
          <t>A 42848-2023</t>
        </is>
      </c>
      <c r="B97" s="1" t="n">
        <v>45182</v>
      </c>
      <c r="C97" s="1" t="n">
        <v>45887</v>
      </c>
      <c r="D97" t="inlineStr">
        <is>
          <t>DALARNAS LÄN</t>
        </is>
      </c>
      <c r="E97" t="inlineStr">
        <is>
          <t>ÄLVDALEN</t>
        </is>
      </c>
      <c r="F97" t="inlineStr">
        <is>
          <t>Allmännings- och besparingsskogar</t>
        </is>
      </c>
      <c r="G97" t="n">
        <v>1.9</v>
      </c>
      <c r="H97" t="n">
        <v>0</v>
      </c>
      <c r="I97" t="n">
        <v>1</v>
      </c>
      <c r="J97" t="n">
        <v>1</v>
      </c>
      <c r="K97" t="n">
        <v>0</v>
      </c>
      <c r="L97" t="n">
        <v>0</v>
      </c>
      <c r="M97" t="n">
        <v>0</v>
      </c>
      <c r="N97" t="n">
        <v>0</v>
      </c>
      <c r="O97" t="n">
        <v>1</v>
      </c>
      <c r="P97" t="n">
        <v>0</v>
      </c>
      <c r="Q97" t="n">
        <v>2</v>
      </c>
      <c r="R97" s="2" t="inlineStr">
        <is>
          <t>Blå taggsvamp
Dropptaggsvamp</t>
        </is>
      </c>
      <c r="S97">
        <f>HYPERLINK("https://klasma.github.io/Logging_2039/artfynd/A 42848-2023 artfynd.xlsx", "A 42848-2023")</f>
        <v/>
      </c>
      <c r="T97">
        <f>HYPERLINK("https://klasma.github.io/Logging_2039/kartor/A 42848-2023 karta.png", "A 42848-2023")</f>
        <v/>
      </c>
      <c r="V97">
        <f>HYPERLINK("https://klasma.github.io/Logging_2039/klagomål/A 42848-2023 FSC-klagomål.docx", "A 42848-2023")</f>
        <v/>
      </c>
      <c r="W97">
        <f>HYPERLINK("https://klasma.github.io/Logging_2039/klagomålsmail/A 42848-2023 FSC-klagomål mail.docx", "A 42848-2023")</f>
        <v/>
      </c>
      <c r="X97">
        <f>HYPERLINK("https://klasma.github.io/Logging_2039/tillsyn/A 42848-2023 tillsynsbegäran.docx", "A 42848-2023")</f>
        <v/>
      </c>
      <c r="Y97">
        <f>HYPERLINK("https://klasma.github.io/Logging_2039/tillsynsmail/A 42848-2023 tillsynsbegäran mail.docx", "A 42848-2023")</f>
        <v/>
      </c>
    </row>
    <row r="98" ht="15" customHeight="1">
      <c r="A98" t="inlineStr">
        <is>
          <t>A 31761-2021</t>
        </is>
      </c>
      <c r="B98" s="1" t="n">
        <v>44370</v>
      </c>
      <c r="C98" s="1" t="n">
        <v>45887</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45887</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45887</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45887</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45887</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45887</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45887</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22407-2021</t>
        </is>
      </c>
      <c r="B105" s="1" t="n">
        <v>44326.61526620371</v>
      </c>
      <c r="C105" s="1" t="n">
        <v>45887</v>
      </c>
      <c r="D105" t="inlineStr">
        <is>
          <t>DALARNAS LÄN</t>
        </is>
      </c>
      <c r="E105" t="inlineStr">
        <is>
          <t>ÄLVDALEN</t>
        </is>
      </c>
      <c r="F105" t="inlineStr">
        <is>
          <t>Sveaskog</t>
        </is>
      </c>
      <c r="G105" t="n">
        <v>4.2</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22407-2021 artfynd.xlsx", "A 22407-2021")</f>
        <v/>
      </c>
      <c r="T105">
        <f>HYPERLINK("https://klasma.github.io/Logging_2039/kartor/A 22407-2021 karta.png", "A 22407-2021")</f>
        <v/>
      </c>
      <c r="V105">
        <f>HYPERLINK("https://klasma.github.io/Logging_2039/klagomål/A 22407-2021 FSC-klagomål.docx", "A 22407-2021")</f>
        <v/>
      </c>
      <c r="W105">
        <f>HYPERLINK("https://klasma.github.io/Logging_2039/klagomålsmail/A 22407-2021 FSC-klagomål mail.docx", "A 22407-2021")</f>
        <v/>
      </c>
      <c r="X105">
        <f>HYPERLINK("https://klasma.github.io/Logging_2039/tillsyn/A 22407-2021 tillsynsbegäran.docx", "A 22407-2021")</f>
        <v/>
      </c>
      <c r="Y105">
        <f>HYPERLINK("https://klasma.github.io/Logging_2039/tillsynsmail/A 22407-2021 tillsynsbegäran mail.docx", "A 22407-2021")</f>
        <v/>
      </c>
    </row>
    <row r="106" ht="15" customHeight="1">
      <c r="A106" t="inlineStr">
        <is>
          <t>A 24847-2021</t>
        </is>
      </c>
      <c r="B106" s="1" t="n">
        <v>44340</v>
      </c>
      <c r="C106" s="1" t="n">
        <v>45887</v>
      </c>
      <c r="D106" t="inlineStr">
        <is>
          <t>DALARNAS LÄN</t>
        </is>
      </c>
      <c r="E106" t="inlineStr">
        <is>
          <t>ÄLVDALEN</t>
        </is>
      </c>
      <c r="F106" t="inlineStr">
        <is>
          <t>Sveaskog</t>
        </is>
      </c>
      <c r="G106" t="n">
        <v>7.1</v>
      </c>
      <c r="H106" t="n">
        <v>1</v>
      </c>
      <c r="I106" t="n">
        <v>0</v>
      </c>
      <c r="J106" t="n">
        <v>1</v>
      </c>
      <c r="K106" t="n">
        <v>0</v>
      </c>
      <c r="L106" t="n">
        <v>0</v>
      </c>
      <c r="M106" t="n">
        <v>0</v>
      </c>
      <c r="N106" t="n">
        <v>0</v>
      </c>
      <c r="O106" t="n">
        <v>1</v>
      </c>
      <c r="P106" t="n">
        <v>0</v>
      </c>
      <c r="Q106" t="n">
        <v>1</v>
      </c>
      <c r="R106" s="2" t="inlineStr">
        <is>
          <t>Varglav</t>
        </is>
      </c>
      <c r="S106">
        <f>HYPERLINK("https://klasma.github.io/Logging_2039/artfynd/A 24847-2021 artfynd.xlsx", "A 24847-2021")</f>
        <v/>
      </c>
      <c r="T106">
        <f>HYPERLINK("https://klasma.github.io/Logging_2039/kartor/A 24847-2021 karta.png", "A 24847-2021")</f>
        <v/>
      </c>
      <c r="V106">
        <f>HYPERLINK("https://klasma.github.io/Logging_2039/klagomål/A 24847-2021 FSC-klagomål.docx", "A 24847-2021")</f>
        <v/>
      </c>
      <c r="W106">
        <f>HYPERLINK("https://klasma.github.io/Logging_2039/klagomålsmail/A 24847-2021 FSC-klagomål mail.docx", "A 24847-2021")</f>
        <v/>
      </c>
      <c r="X106">
        <f>HYPERLINK("https://klasma.github.io/Logging_2039/tillsyn/A 24847-2021 tillsynsbegäran.docx", "A 24847-2021")</f>
        <v/>
      </c>
      <c r="Y106">
        <f>HYPERLINK("https://klasma.github.io/Logging_2039/tillsynsmail/A 24847-2021 tillsynsbegäran mail.docx", "A 24847-2021")</f>
        <v/>
      </c>
    </row>
    <row r="107" ht="15" customHeight="1">
      <c r="A107" t="inlineStr">
        <is>
          <t>A 51477-2022</t>
        </is>
      </c>
      <c r="B107" s="1" t="n">
        <v>44869</v>
      </c>
      <c r="C107" s="1" t="n">
        <v>45887</v>
      </c>
      <c r="D107" t="inlineStr">
        <is>
          <t>DALARNAS LÄN</t>
        </is>
      </c>
      <c r="E107" t="inlineStr">
        <is>
          <t>ÄLVDALEN</t>
        </is>
      </c>
      <c r="F107" t="inlineStr">
        <is>
          <t>Sveaskog</t>
        </is>
      </c>
      <c r="G107" t="n">
        <v>3.8</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51477-2022 artfynd.xlsx", "A 51477-2022")</f>
        <v/>
      </c>
      <c r="T107">
        <f>HYPERLINK("https://klasma.github.io/Logging_2039/kartor/A 51477-2022 karta.png", "A 51477-2022")</f>
        <v/>
      </c>
      <c r="V107">
        <f>HYPERLINK("https://klasma.github.io/Logging_2039/klagomål/A 51477-2022 FSC-klagomål.docx", "A 51477-2022")</f>
        <v/>
      </c>
      <c r="W107">
        <f>HYPERLINK("https://klasma.github.io/Logging_2039/klagomålsmail/A 51477-2022 FSC-klagomål mail.docx", "A 51477-2022")</f>
        <v/>
      </c>
      <c r="X107">
        <f>HYPERLINK("https://klasma.github.io/Logging_2039/tillsyn/A 51477-2022 tillsynsbegäran.docx", "A 51477-2022")</f>
        <v/>
      </c>
      <c r="Y107">
        <f>HYPERLINK("https://klasma.github.io/Logging_2039/tillsynsmail/A 51477-2022 tillsynsbegäran mail.docx", "A 51477-2022")</f>
        <v/>
      </c>
    </row>
    <row r="108" ht="15" customHeight="1">
      <c r="A108" t="inlineStr">
        <is>
          <t>A 60419-2021</t>
        </is>
      </c>
      <c r="B108" s="1" t="n">
        <v>44496.40606481482</v>
      </c>
      <c r="C108" s="1" t="n">
        <v>45887</v>
      </c>
      <c r="D108" t="inlineStr">
        <is>
          <t>DALARNAS LÄN</t>
        </is>
      </c>
      <c r="E108" t="inlineStr">
        <is>
          <t>ÄLVDALEN</t>
        </is>
      </c>
      <c r="F108" t="inlineStr">
        <is>
          <t>Sveaskog</t>
        </is>
      </c>
      <c r="G108" t="n">
        <v>9.1</v>
      </c>
      <c r="H108" t="n">
        <v>0</v>
      </c>
      <c r="I108" t="n">
        <v>1</v>
      </c>
      <c r="J108" t="n">
        <v>0</v>
      </c>
      <c r="K108" t="n">
        <v>0</v>
      </c>
      <c r="L108" t="n">
        <v>0</v>
      </c>
      <c r="M108" t="n">
        <v>0</v>
      </c>
      <c r="N108" t="n">
        <v>0</v>
      </c>
      <c r="O108" t="n">
        <v>0</v>
      </c>
      <c r="P108" t="n">
        <v>0</v>
      </c>
      <c r="Q108" t="n">
        <v>1</v>
      </c>
      <c r="R108" s="2" t="inlineStr">
        <is>
          <t>Dropptaggsvamp</t>
        </is>
      </c>
      <c r="S108">
        <f>HYPERLINK("https://klasma.github.io/Logging_2039/artfynd/A 60419-2021 artfynd.xlsx", "A 60419-2021")</f>
        <v/>
      </c>
      <c r="T108">
        <f>HYPERLINK("https://klasma.github.io/Logging_2039/kartor/A 60419-2021 karta.png", "A 60419-2021")</f>
        <v/>
      </c>
      <c r="V108">
        <f>HYPERLINK("https://klasma.github.io/Logging_2039/klagomål/A 60419-2021 FSC-klagomål.docx", "A 60419-2021")</f>
        <v/>
      </c>
      <c r="W108">
        <f>HYPERLINK("https://klasma.github.io/Logging_2039/klagomålsmail/A 60419-2021 FSC-klagomål mail.docx", "A 60419-2021")</f>
        <v/>
      </c>
      <c r="X108">
        <f>HYPERLINK("https://klasma.github.io/Logging_2039/tillsyn/A 60419-2021 tillsynsbegäran.docx", "A 60419-2021")</f>
        <v/>
      </c>
      <c r="Y108">
        <f>HYPERLINK("https://klasma.github.io/Logging_2039/tillsynsmail/A 60419-2021 tillsynsbegäran mail.docx", "A 60419-2021")</f>
        <v/>
      </c>
    </row>
    <row r="109" ht="15" customHeight="1">
      <c r="A109" t="inlineStr">
        <is>
          <t>A 26736-2021</t>
        </is>
      </c>
      <c r="B109" s="1" t="n">
        <v>44349</v>
      </c>
      <c r="C109" s="1" t="n">
        <v>45887</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71652-2021</t>
        </is>
      </c>
      <c r="B110" s="1" t="n">
        <v>44543</v>
      </c>
      <c r="C110" s="1" t="n">
        <v>45887</v>
      </c>
      <c r="D110" t="inlineStr">
        <is>
          <t>DALARNAS LÄN</t>
        </is>
      </c>
      <c r="E110" t="inlineStr">
        <is>
          <t>ÄLVDALEN</t>
        </is>
      </c>
      <c r="G110" t="n">
        <v>4.3</v>
      </c>
      <c r="H110" t="n">
        <v>1</v>
      </c>
      <c r="I110" t="n">
        <v>0</v>
      </c>
      <c r="J110" t="n">
        <v>1</v>
      </c>
      <c r="K110" t="n">
        <v>0</v>
      </c>
      <c r="L110" t="n">
        <v>0</v>
      </c>
      <c r="M110" t="n">
        <v>0</v>
      </c>
      <c r="N110" t="n">
        <v>0</v>
      </c>
      <c r="O110" t="n">
        <v>1</v>
      </c>
      <c r="P110" t="n">
        <v>0</v>
      </c>
      <c r="Q110" t="n">
        <v>1</v>
      </c>
      <c r="R110" s="2" t="inlineStr">
        <is>
          <t>Tretåig hackspett</t>
        </is>
      </c>
      <c r="S110">
        <f>HYPERLINK("https://klasma.github.io/Logging_2039/artfynd/A 71652-2021 artfynd.xlsx", "A 71652-2021")</f>
        <v/>
      </c>
      <c r="T110">
        <f>HYPERLINK("https://klasma.github.io/Logging_2039/kartor/A 71652-2021 karta.png", "A 71652-2021")</f>
        <v/>
      </c>
      <c r="V110">
        <f>HYPERLINK("https://klasma.github.io/Logging_2039/klagomål/A 71652-2021 FSC-klagomål.docx", "A 71652-2021")</f>
        <v/>
      </c>
      <c r="W110">
        <f>HYPERLINK("https://klasma.github.io/Logging_2039/klagomålsmail/A 71652-2021 FSC-klagomål mail.docx", "A 71652-2021")</f>
        <v/>
      </c>
      <c r="X110">
        <f>HYPERLINK("https://klasma.github.io/Logging_2039/tillsyn/A 71652-2021 tillsynsbegäran.docx", "A 71652-2021")</f>
        <v/>
      </c>
      <c r="Y110">
        <f>HYPERLINK("https://klasma.github.io/Logging_2039/tillsynsmail/A 71652-2021 tillsynsbegäran mail.docx", "A 71652-2021")</f>
        <v/>
      </c>
      <c r="Z110">
        <f>HYPERLINK("https://klasma.github.io/Logging_2039/fåglar/A 71652-2021 prioriterade fågelarter.docx", "A 71652-2021")</f>
        <v/>
      </c>
    </row>
    <row r="111" ht="15" customHeight="1">
      <c r="A111" t="inlineStr">
        <is>
          <t>A 14277-2024</t>
        </is>
      </c>
      <c r="B111" s="1" t="n">
        <v>45393.60042824074</v>
      </c>
      <c r="C111" s="1" t="n">
        <v>45887</v>
      </c>
      <c r="D111" t="inlineStr">
        <is>
          <t>DALARNAS LÄN</t>
        </is>
      </c>
      <c r="E111" t="inlineStr">
        <is>
          <t>ÄLVDALEN</t>
        </is>
      </c>
      <c r="F111" t="inlineStr">
        <is>
          <t>Allmännings- och besparingsskogar</t>
        </is>
      </c>
      <c r="G111" t="n">
        <v>2.8</v>
      </c>
      <c r="H111" t="n">
        <v>1</v>
      </c>
      <c r="I111" t="n">
        <v>0</v>
      </c>
      <c r="J111" t="n">
        <v>1</v>
      </c>
      <c r="K111" t="n">
        <v>0</v>
      </c>
      <c r="L111" t="n">
        <v>0</v>
      </c>
      <c r="M111" t="n">
        <v>0</v>
      </c>
      <c r="N111" t="n">
        <v>0</v>
      </c>
      <c r="O111" t="n">
        <v>1</v>
      </c>
      <c r="P111" t="n">
        <v>0</v>
      </c>
      <c r="Q111" t="n">
        <v>1</v>
      </c>
      <c r="R111" s="2" t="inlineStr">
        <is>
          <t>Talltita</t>
        </is>
      </c>
      <c r="S111">
        <f>HYPERLINK("https://klasma.github.io/Logging_2039/artfynd/A 14277-2024 artfynd.xlsx", "A 14277-2024")</f>
        <v/>
      </c>
      <c r="T111">
        <f>HYPERLINK("https://klasma.github.io/Logging_2039/kartor/A 14277-2024 karta.png", "A 14277-2024")</f>
        <v/>
      </c>
      <c r="V111">
        <f>HYPERLINK("https://klasma.github.io/Logging_2039/klagomål/A 14277-2024 FSC-klagomål.docx", "A 14277-2024")</f>
        <v/>
      </c>
      <c r="W111">
        <f>HYPERLINK("https://klasma.github.io/Logging_2039/klagomålsmail/A 14277-2024 FSC-klagomål mail.docx", "A 14277-2024")</f>
        <v/>
      </c>
      <c r="X111">
        <f>HYPERLINK("https://klasma.github.io/Logging_2039/tillsyn/A 14277-2024 tillsynsbegäran.docx", "A 14277-2024")</f>
        <v/>
      </c>
      <c r="Y111">
        <f>HYPERLINK("https://klasma.github.io/Logging_2039/tillsynsmail/A 14277-2024 tillsynsbegäran mail.docx", "A 14277-2024")</f>
        <v/>
      </c>
      <c r="Z111">
        <f>HYPERLINK("https://klasma.github.io/Logging_2039/fåglar/A 14277-2024 prioriterade fågelarter.docx", "A 14277-2024")</f>
        <v/>
      </c>
    </row>
    <row r="112" ht="15" customHeight="1">
      <c r="A112" t="inlineStr">
        <is>
          <t>A 45202-2024</t>
        </is>
      </c>
      <c r="B112" s="1" t="n">
        <v>45575</v>
      </c>
      <c r="C112" s="1" t="n">
        <v>45887</v>
      </c>
      <c r="D112" t="inlineStr">
        <is>
          <t>DALARNAS LÄN</t>
        </is>
      </c>
      <c r="E112" t="inlineStr">
        <is>
          <t>ÄLVDALEN</t>
        </is>
      </c>
      <c r="G112" t="n">
        <v>184.5</v>
      </c>
      <c r="H112" t="n">
        <v>1</v>
      </c>
      <c r="I112" t="n">
        <v>0</v>
      </c>
      <c r="J112" t="n">
        <v>0</v>
      </c>
      <c r="K112" t="n">
        <v>0</v>
      </c>
      <c r="L112" t="n">
        <v>0</v>
      </c>
      <c r="M112" t="n">
        <v>0</v>
      </c>
      <c r="N112" t="n">
        <v>0</v>
      </c>
      <c r="O112" t="n">
        <v>0</v>
      </c>
      <c r="P112" t="n">
        <v>0</v>
      </c>
      <c r="Q112" t="n">
        <v>1</v>
      </c>
      <c r="R112" s="2" t="inlineStr">
        <is>
          <t>Lavskrika</t>
        </is>
      </c>
      <c r="S112">
        <f>HYPERLINK("https://klasma.github.io/Logging_2039/artfynd/A 45202-2024 artfynd.xlsx", "A 45202-2024")</f>
        <v/>
      </c>
      <c r="T112">
        <f>HYPERLINK("https://klasma.github.io/Logging_2039/kartor/A 45202-2024 karta.png", "A 45202-2024")</f>
        <v/>
      </c>
      <c r="V112">
        <f>HYPERLINK("https://klasma.github.io/Logging_2039/klagomål/A 45202-2024 FSC-klagomål.docx", "A 45202-2024")</f>
        <v/>
      </c>
      <c r="W112">
        <f>HYPERLINK("https://klasma.github.io/Logging_2039/klagomålsmail/A 45202-2024 FSC-klagomål mail.docx", "A 45202-2024")</f>
        <v/>
      </c>
      <c r="X112">
        <f>HYPERLINK("https://klasma.github.io/Logging_2039/tillsyn/A 45202-2024 tillsynsbegäran.docx", "A 45202-2024")</f>
        <v/>
      </c>
      <c r="Y112">
        <f>HYPERLINK("https://klasma.github.io/Logging_2039/tillsynsmail/A 45202-2024 tillsynsbegäran mail.docx", "A 45202-2024")</f>
        <v/>
      </c>
      <c r="Z112">
        <f>HYPERLINK("https://klasma.github.io/Logging_2039/fåglar/A 45202-2024 prioriterade fågelarter.docx", "A 45202-2024")</f>
        <v/>
      </c>
    </row>
    <row r="113" ht="15" customHeight="1">
      <c r="A113" t="inlineStr">
        <is>
          <t>A 22286-2025</t>
        </is>
      </c>
      <c r="B113" s="1" t="n">
        <v>45786.34402777778</v>
      </c>
      <c r="C113" s="1" t="n">
        <v>45887</v>
      </c>
      <c r="D113" t="inlineStr">
        <is>
          <t>DALARNAS LÄN</t>
        </is>
      </c>
      <c r="E113" t="inlineStr">
        <is>
          <t>ÄLVDALEN</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HYPERLINK("https://klasma.github.io/Logging_2039/artfynd/A 22286-2025 artfynd.xlsx", "A 22286-2025")</f>
        <v/>
      </c>
      <c r="T113">
        <f>HYPERLINK("https://klasma.github.io/Logging_2039/kartor/A 22286-2025 karta.png", "A 22286-2025")</f>
        <v/>
      </c>
      <c r="V113">
        <f>HYPERLINK("https://klasma.github.io/Logging_2039/klagomål/A 22286-2025 FSC-klagomål.docx", "A 22286-2025")</f>
        <v/>
      </c>
      <c r="W113">
        <f>HYPERLINK("https://klasma.github.io/Logging_2039/klagomålsmail/A 22286-2025 FSC-klagomål mail.docx", "A 22286-2025")</f>
        <v/>
      </c>
      <c r="X113">
        <f>HYPERLINK("https://klasma.github.io/Logging_2039/tillsyn/A 22286-2025 tillsynsbegäran.docx", "A 22286-2025")</f>
        <v/>
      </c>
      <c r="Y113">
        <f>HYPERLINK("https://klasma.github.io/Logging_2039/tillsynsmail/A 22286-2025 tillsynsbegäran mail.docx", "A 22286-2025")</f>
        <v/>
      </c>
    </row>
    <row r="114" ht="15" customHeight="1">
      <c r="A114" t="inlineStr">
        <is>
          <t>A 50981-2024</t>
        </is>
      </c>
      <c r="B114" s="1" t="n">
        <v>45603.36233796296</v>
      </c>
      <c r="C114" s="1" t="n">
        <v>45887</v>
      </c>
      <c r="D114" t="inlineStr">
        <is>
          <t>DALARNAS LÄN</t>
        </is>
      </c>
      <c r="E114" t="inlineStr">
        <is>
          <t>ÄLVDALEN</t>
        </is>
      </c>
      <c r="G114" t="n">
        <v>5.1</v>
      </c>
      <c r="H114" t="n">
        <v>0</v>
      </c>
      <c r="I114" t="n">
        <v>0</v>
      </c>
      <c r="J114" t="n">
        <v>1</v>
      </c>
      <c r="K114" t="n">
        <v>0</v>
      </c>
      <c r="L114" t="n">
        <v>0</v>
      </c>
      <c r="M114" t="n">
        <v>0</v>
      </c>
      <c r="N114" t="n">
        <v>0</v>
      </c>
      <c r="O114" t="n">
        <v>1</v>
      </c>
      <c r="P114" t="n">
        <v>0</v>
      </c>
      <c r="Q114" t="n">
        <v>1</v>
      </c>
      <c r="R114" s="2" t="inlineStr">
        <is>
          <t>Vedskivlav</t>
        </is>
      </c>
      <c r="S114">
        <f>HYPERLINK("https://klasma.github.io/Logging_2039/artfynd/A 50981-2024 artfynd.xlsx", "A 50981-2024")</f>
        <v/>
      </c>
      <c r="T114">
        <f>HYPERLINK("https://klasma.github.io/Logging_2039/kartor/A 50981-2024 karta.png", "A 50981-2024")</f>
        <v/>
      </c>
      <c r="V114">
        <f>HYPERLINK("https://klasma.github.io/Logging_2039/klagomål/A 50981-2024 FSC-klagomål.docx", "A 50981-2024")</f>
        <v/>
      </c>
      <c r="W114">
        <f>HYPERLINK("https://klasma.github.io/Logging_2039/klagomålsmail/A 50981-2024 FSC-klagomål mail.docx", "A 50981-2024")</f>
        <v/>
      </c>
      <c r="X114">
        <f>HYPERLINK("https://klasma.github.io/Logging_2039/tillsyn/A 50981-2024 tillsynsbegäran.docx", "A 50981-2024")</f>
        <v/>
      </c>
      <c r="Y114">
        <f>HYPERLINK("https://klasma.github.io/Logging_2039/tillsynsmail/A 50981-2024 tillsynsbegäran mail.docx", "A 50981-2024")</f>
        <v/>
      </c>
    </row>
    <row r="115" ht="15" customHeight="1">
      <c r="A115" t="inlineStr">
        <is>
          <t>A 19614-2024</t>
        </is>
      </c>
      <c r="B115" s="1" t="n">
        <v>45432.30798611111</v>
      </c>
      <c r="C115" s="1" t="n">
        <v>45887</v>
      </c>
      <c r="D115" t="inlineStr">
        <is>
          <t>DALARNAS LÄN</t>
        </is>
      </c>
      <c r="E115" t="inlineStr">
        <is>
          <t>ÄLVDALEN</t>
        </is>
      </c>
      <c r="F115" t="inlineStr">
        <is>
          <t>Sveaskog</t>
        </is>
      </c>
      <c r="G115" t="n">
        <v>2.9</v>
      </c>
      <c r="H115" t="n">
        <v>0</v>
      </c>
      <c r="I115" t="n">
        <v>0</v>
      </c>
      <c r="J115" t="n">
        <v>1</v>
      </c>
      <c r="K115" t="n">
        <v>0</v>
      </c>
      <c r="L115" t="n">
        <v>0</v>
      </c>
      <c r="M115" t="n">
        <v>0</v>
      </c>
      <c r="N115" t="n">
        <v>0</v>
      </c>
      <c r="O115" t="n">
        <v>1</v>
      </c>
      <c r="P115" t="n">
        <v>0</v>
      </c>
      <c r="Q115" t="n">
        <v>1</v>
      </c>
      <c r="R115" s="2" t="inlineStr">
        <is>
          <t>Mörk kolflarnlav</t>
        </is>
      </c>
      <c r="S115">
        <f>HYPERLINK("https://klasma.github.io/Logging_2039/artfynd/A 19614-2024 artfynd.xlsx", "A 19614-2024")</f>
        <v/>
      </c>
      <c r="T115">
        <f>HYPERLINK("https://klasma.github.io/Logging_2039/kartor/A 19614-2024 karta.png", "A 19614-2024")</f>
        <v/>
      </c>
      <c r="V115">
        <f>HYPERLINK("https://klasma.github.io/Logging_2039/klagomål/A 19614-2024 FSC-klagomål.docx", "A 19614-2024")</f>
        <v/>
      </c>
      <c r="W115">
        <f>HYPERLINK("https://klasma.github.io/Logging_2039/klagomålsmail/A 19614-2024 FSC-klagomål mail.docx", "A 19614-2024")</f>
        <v/>
      </c>
      <c r="X115">
        <f>HYPERLINK("https://klasma.github.io/Logging_2039/tillsyn/A 19614-2024 tillsynsbegäran.docx", "A 19614-2024")</f>
        <v/>
      </c>
      <c r="Y115">
        <f>HYPERLINK("https://klasma.github.io/Logging_2039/tillsynsmail/A 19614-2024 tillsynsbegäran mail.docx", "A 19614-2024")</f>
        <v/>
      </c>
    </row>
    <row r="116" ht="15" customHeight="1">
      <c r="A116" t="inlineStr">
        <is>
          <t>A 55062-2022</t>
        </is>
      </c>
      <c r="B116" s="1" t="n">
        <v>44881</v>
      </c>
      <c r="C116" s="1" t="n">
        <v>45887</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45887</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45887</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27923-2025</t>
        </is>
      </c>
      <c r="B119" s="1" t="n">
        <v>45817.48814814815</v>
      </c>
      <c r="C119" s="1" t="n">
        <v>45887</v>
      </c>
      <c r="D119" t="inlineStr">
        <is>
          <t>DALARNAS LÄN</t>
        </is>
      </c>
      <c r="E119" t="inlineStr">
        <is>
          <t>ÄLVDALEN</t>
        </is>
      </c>
      <c r="G119" t="n">
        <v>2.9</v>
      </c>
      <c r="H119" t="n">
        <v>1</v>
      </c>
      <c r="I119" t="n">
        <v>0</v>
      </c>
      <c r="J119" t="n">
        <v>0</v>
      </c>
      <c r="K119" t="n">
        <v>0</v>
      </c>
      <c r="L119" t="n">
        <v>0</v>
      </c>
      <c r="M119" t="n">
        <v>0</v>
      </c>
      <c r="N119" t="n">
        <v>0</v>
      </c>
      <c r="O119" t="n">
        <v>0</v>
      </c>
      <c r="P119" t="n">
        <v>0</v>
      </c>
      <c r="Q119" t="n">
        <v>1</v>
      </c>
      <c r="R119" s="2" t="inlineStr">
        <is>
          <t>Lavskrika</t>
        </is>
      </c>
      <c r="S119">
        <f>HYPERLINK("https://klasma.github.io/Logging_2039/artfynd/A 27923-2025 artfynd.xlsx", "A 27923-2025")</f>
        <v/>
      </c>
      <c r="T119">
        <f>HYPERLINK("https://klasma.github.io/Logging_2039/kartor/A 27923-2025 karta.png", "A 27923-2025")</f>
        <v/>
      </c>
      <c r="V119">
        <f>HYPERLINK("https://klasma.github.io/Logging_2039/klagomål/A 27923-2025 FSC-klagomål.docx", "A 27923-2025")</f>
        <v/>
      </c>
      <c r="W119">
        <f>HYPERLINK("https://klasma.github.io/Logging_2039/klagomålsmail/A 27923-2025 FSC-klagomål mail.docx", "A 27923-2025")</f>
        <v/>
      </c>
      <c r="X119">
        <f>HYPERLINK("https://klasma.github.io/Logging_2039/tillsyn/A 27923-2025 tillsynsbegäran.docx", "A 27923-2025")</f>
        <v/>
      </c>
      <c r="Y119">
        <f>HYPERLINK("https://klasma.github.io/Logging_2039/tillsynsmail/A 27923-2025 tillsynsbegäran mail.docx", "A 27923-2025")</f>
        <v/>
      </c>
      <c r="Z119">
        <f>HYPERLINK("https://klasma.github.io/Logging_2039/fåglar/A 27923-2025 prioriterade fågelarter.docx", "A 27923-2025")</f>
        <v/>
      </c>
    </row>
    <row r="120" ht="15" customHeight="1">
      <c r="A120" t="inlineStr">
        <is>
          <t>A 27929-2025</t>
        </is>
      </c>
      <c r="B120" s="1" t="n">
        <v>45817.49222222222</v>
      </c>
      <c r="C120" s="1" t="n">
        <v>45887</v>
      </c>
      <c r="D120" t="inlineStr">
        <is>
          <t>DALARNAS LÄN</t>
        </is>
      </c>
      <c r="E120" t="inlineStr">
        <is>
          <t>ÄLVDALEN</t>
        </is>
      </c>
      <c r="F120" t="inlineStr">
        <is>
          <t>Sveaskog</t>
        </is>
      </c>
      <c r="G120" t="n">
        <v>2.7</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27929-2025 artfynd.xlsx", "A 27929-2025")</f>
        <v/>
      </c>
      <c r="T120">
        <f>HYPERLINK("https://klasma.github.io/Logging_2039/kartor/A 27929-2025 karta.png", "A 27929-2025")</f>
        <v/>
      </c>
      <c r="V120">
        <f>HYPERLINK("https://klasma.github.io/Logging_2039/klagomål/A 27929-2025 FSC-klagomål.docx", "A 27929-2025")</f>
        <v/>
      </c>
      <c r="W120">
        <f>HYPERLINK("https://klasma.github.io/Logging_2039/klagomålsmail/A 27929-2025 FSC-klagomål mail.docx", "A 27929-2025")</f>
        <v/>
      </c>
      <c r="X120">
        <f>HYPERLINK("https://klasma.github.io/Logging_2039/tillsyn/A 27929-2025 tillsynsbegäran.docx", "A 27929-2025")</f>
        <v/>
      </c>
      <c r="Y120">
        <f>HYPERLINK("https://klasma.github.io/Logging_2039/tillsynsmail/A 27929-2025 tillsynsbegäran mail.docx", "A 27929-2025")</f>
        <v/>
      </c>
    </row>
    <row r="121" ht="15" customHeight="1">
      <c r="A121" t="inlineStr">
        <is>
          <t>A 32199-2024</t>
        </is>
      </c>
      <c r="B121" s="1" t="n">
        <v>45511.66325231481</v>
      </c>
      <c r="C121" s="1" t="n">
        <v>45887</v>
      </c>
      <c r="D121" t="inlineStr">
        <is>
          <t>DALARNAS LÄN</t>
        </is>
      </c>
      <c r="E121" t="inlineStr">
        <is>
          <t>ÄLVDALEN</t>
        </is>
      </c>
      <c r="F121" t="inlineStr">
        <is>
          <t>Sveaskog</t>
        </is>
      </c>
      <c r="G121" t="n">
        <v>4.6</v>
      </c>
      <c r="H121" t="n">
        <v>1</v>
      </c>
      <c r="I121" t="n">
        <v>0</v>
      </c>
      <c r="J121" t="n">
        <v>1</v>
      </c>
      <c r="K121" t="n">
        <v>0</v>
      </c>
      <c r="L121" t="n">
        <v>0</v>
      </c>
      <c r="M121" t="n">
        <v>0</v>
      </c>
      <c r="N121" t="n">
        <v>0</v>
      </c>
      <c r="O121" t="n">
        <v>1</v>
      </c>
      <c r="P121" t="n">
        <v>0</v>
      </c>
      <c r="Q121" t="n">
        <v>1</v>
      </c>
      <c r="R121" s="2" t="inlineStr">
        <is>
          <t>Varglav</t>
        </is>
      </c>
      <c r="S121">
        <f>HYPERLINK("https://klasma.github.io/Logging_2039/artfynd/A 32199-2024 artfynd.xlsx", "A 32199-2024")</f>
        <v/>
      </c>
      <c r="T121">
        <f>HYPERLINK("https://klasma.github.io/Logging_2039/kartor/A 32199-2024 karta.png", "A 32199-2024")</f>
        <v/>
      </c>
      <c r="V121">
        <f>HYPERLINK("https://klasma.github.io/Logging_2039/klagomål/A 32199-2024 FSC-klagomål.docx", "A 32199-2024")</f>
        <v/>
      </c>
      <c r="W121">
        <f>HYPERLINK("https://klasma.github.io/Logging_2039/klagomålsmail/A 32199-2024 FSC-klagomål mail.docx", "A 32199-2024")</f>
        <v/>
      </c>
      <c r="X121">
        <f>HYPERLINK("https://klasma.github.io/Logging_2039/tillsyn/A 32199-2024 tillsynsbegäran.docx", "A 32199-2024")</f>
        <v/>
      </c>
      <c r="Y121">
        <f>HYPERLINK("https://klasma.github.io/Logging_2039/tillsynsmail/A 32199-2024 tillsynsbegäran mail.docx", "A 32199-2024")</f>
        <v/>
      </c>
    </row>
    <row r="122" ht="15" customHeight="1">
      <c r="A122" t="inlineStr">
        <is>
          <t>A 45201-2024</t>
        </is>
      </c>
      <c r="B122" s="1" t="n">
        <v>45575</v>
      </c>
      <c r="C122" s="1" t="n">
        <v>45887</v>
      </c>
      <c r="D122" t="inlineStr">
        <is>
          <t>DALARNAS LÄN</t>
        </is>
      </c>
      <c r="E122" t="inlineStr">
        <is>
          <t>ÄLVDALEN</t>
        </is>
      </c>
      <c r="G122" t="n">
        <v>24.6</v>
      </c>
      <c r="H122" t="n">
        <v>1</v>
      </c>
      <c r="I122" t="n">
        <v>0</v>
      </c>
      <c r="J122" t="n">
        <v>1</v>
      </c>
      <c r="K122" t="n">
        <v>0</v>
      </c>
      <c r="L122" t="n">
        <v>0</v>
      </c>
      <c r="M122" t="n">
        <v>0</v>
      </c>
      <c r="N122" t="n">
        <v>0</v>
      </c>
      <c r="O122" t="n">
        <v>1</v>
      </c>
      <c r="P122" t="n">
        <v>0</v>
      </c>
      <c r="Q122" t="n">
        <v>1</v>
      </c>
      <c r="R122" s="2" t="inlineStr">
        <is>
          <t>Varglav</t>
        </is>
      </c>
      <c r="S122">
        <f>HYPERLINK("https://klasma.github.io/Logging_2039/artfynd/A 45201-2024 artfynd.xlsx", "A 45201-2024")</f>
        <v/>
      </c>
      <c r="T122">
        <f>HYPERLINK("https://klasma.github.io/Logging_2039/kartor/A 45201-2024 karta.png", "A 45201-2024")</f>
        <v/>
      </c>
      <c r="V122">
        <f>HYPERLINK("https://klasma.github.io/Logging_2039/klagomål/A 45201-2024 FSC-klagomål.docx", "A 45201-2024")</f>
        <v/>
      </c>
      <c r="W122">
        <f>HYPERLINK("https://klasma.github.io/Logging_2039/klagomålsmail/A 45201-2024 FSC-klagomål mail.docx", "A 45201-2024")</f>
        <v/>
      </c>
      <c r="X122">
        <f>HYPERLINK("https://klasma.github.io/Logging_2039/tillsyn/A 45201-2024 tillsynsbegäran.docx", "A 45201-2024")</f>
        <v/>
      </c>
      <c r="Y122">
        <f>HYPERLINK("https://klasma.github.io/Logging_2039/tillsynsmail/A 45201-2024 tillsynsbegäran mail.docx", "A 45201-2024")</f>
        <v/>
      </c>
    </row>
    <row r="123" ht="15" customHeight="1">
      <c r="A123" t="inlineStr">
        <is>
          <t>A 11061-2021</t>
        </is>
      </c>
      <c r="B123" s="1" t="n">
        <v>44260</v>
      </c>
      <c r="C123" s="1" t="n">
        <v>45887</v>
      </c>
      <c r="D123" t="inlineStr">
        <is>
          <t>DALARNAS LÄN</t>
        </is>
      </c>
      <c r="E123" t="inlineStr">
        <is>
          <t>ÄLVDALEN</t>
        </is>
      </c>
      <c r="F123" t="inlineStr">
        <is>
          <t>Övriga statliga verk och myndigheter</t>
        </is>
      </c>
      <c r="G123" t="n">
        <v>43.7</v>
      </c>
      <c r="H123" t="n">
        <v>1</v>
      </c>
      <c r="I123" t="n">
        <v>0</v>
      </c>
      <c r="J123" t="n">
        <v>0</v>
      </c>
      <c r="K123" t="n">
        <v>0</v>
      </c>
      <c r="L123" t="n">
        <v>0</v>
      </c>
      <c r="M123" t="n">
        <v>0</v>
      </c>
      <c r="N123" t="n">
        <v>0</v>
      </c>
      <c r="O123" t="n">
        <v>0</v>
      </c>
      <c r="P123" t="n">
        <v>0</v>
      </c>
      <c r="Q123" t="n">
        <v>1</v>
      </c>
      <c r="R123" s="2" t="inlineStr">
        <is>
          <t>Större vattensalamander</t>
        </is>
      </c>
      <c r="S123">
        <f>HYPERLINK("https://klasma.github.io/Logging_2039/artfynd/A 11061-2021 artfynd.xlsx", "A 11061-2021")</f>
        <v/>
      </c>
      <c r="T123">
        <f>HYPERLINK("https://klasma.github.io/Logging_2039/kartor/A 11061-2021 karta.png", "A 11061-2021")</f>
        <v/>
      </c>
      <c r="V123">
        <f>HYPERLINK("https://klasma.github.io/Logging_2039/klagomål/A 11061-2021 FSC-klagomål.docx", "A 11061-2021")</f>
        <v/>
      </c>
      <c r="W123">
        <f>HYPERLINK("https://klasma.github.io/Logging_2039/klagomålsmail/A 11061-2021 FSC-klagomål mail.docx", "A 11061-2021")</f>
        <v/>
      </c>
      <c r="X123">
        <f>HYPERLINK("https://klasma.github.io/Logging_2039/tillsyn/A 11061-2021 tillsynsbegäran.docx", "A 11061-2021")</f>
        <v/>
      </c>
      <c r="Y123">
        <f>HYPERLINK("https://klasma.github.io/Logging_2039/tillsynsmail/A 11061-2021 tillsynsbegäran mail.docx", "A 11061-2021")</f>
        <v/>
      </c>
    </row>
    <row r="124" ht="15" customHeight="1">
      <c r="A124" t="inlineStr">
        <is>
          <t>A 36574-2021</t>
        </is>
      </c>
      <c r="B124" s="1" t="n">
        <v>44391</v>
      </c>
      <c r="C124" s="1" t="n">
        <v>45887</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662-2025</t>
        </is>
      </c>
      <c r="B125" s="1" t="n">
        <v>45664</v>
      </c>
      <c r="C125" s="1" t="n">
        <v>45887</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45887</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23872-2023</t>
        </is>
      </c>
      <c r="B127" s="1" t="n">
        <v>45078</v>
      </c>
      <c r="C127" s="1" t="n">
        <v>45887</v>
      </c>
      <c r="D127" t="inlineStr">
        <is>
          <t>DALARNAS LÄN</t>
        </is>
      </c>
      <c r="E127" t="inlineStr">
        <is>
          <t>ÄLVDALEN</t>
        </is>
      </c>
      <c r="F127" t="inlineStr">
        <is>
          <t>Allmännings- och besparingsskogar</t>
        </is>
      </c>
      <c r="G127" t="n">
        <v>79.5</v>
      </c>
      <c r="H127" t="n">
        <v>1</v>
      </c>
      <c r="I127" t="n">
        <v>0</v>
      </c>
      <c r="J127" t="n">
        <v>0</v>
      </c>
      <c r="K127" t="n">
        <v>0</v>
      </c>
      <c r="L127" t="n">
        <v>0</v>
      </c>
      <c r="M127" t="n">
        <v>0</v>
      </c>
      <c r="N127" t="n">
        <v>0</v>
      </c>
      <c r="O127" t="n">
        <v>0</v>
      </c>
      <c r="P127" t="n">
        <v>0</v>
      </c>
      <c r="Q127" t="n">
        <v>1</v>
      </c>
      <c r="R127" s="2" t="inlineStr">
        <is>
          <t>Vanlig groda</t>
        </is>
      </c>
      <c r="S127">
        <f>HYPERLINK("https://klasma.github.io/Logging_2039/artfynd/A 23872-2023 artfynd.xlsx", "A 23872-2023")</f>
        <v/>
      </c>
      <c r="T127">
        <f>HYPERLINK("https://klasma.github.io/Logging_2039/kartor/A 23872-2023 karta.png", "A 23872-2023")</f>
        <v/>
      </c>
      <c r="V127">
        <f>HYPERLINK("https://klasma.github.io/Logging_2039/klagomål/A 23872-2023 FSC-klagomål.docx", "A 23872-2023")</f>
        <v/>
      </c>
      <c r="W127">
        <f>HYPERLINK("https://klasma.github.io/Logging_2039/klagomålsmail/A 23872-2023 FSC-klagomål mail.docx", "A 23872-2023")</f>
        <v/>
      </c>
      <c r="X127">
        <f>HYPERLINK("https://klasma.github.io/Logging_2039/tillsyn/A 23872-2023 tillsynsbegäran.docx", "A 23872-2023")</f>
        <v/>
      </c>
      <c r="Y127">
        <f>HYPERLINK("https://klasma.github.io/Logging_2039/tillsynsmail/A 23872-2023 tillsynsbegäran mail.docx", "A 23872-2023")</f>
        <v/>
      </c>
    </row>
    <row r="128" ht="15" customHeight="1">
      <c r="A128" t="inlineStr">
        <is>
          <t>A 19313-2021</t>
        </is>
      </c>
      <c r="B128" s="1" t="n">
        <v>44309</v>
      </c>
      <c r="C128" s="1" t="n">
        <v>45887</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45887</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31167-2021</t>
        </is>
      </c>
      <c r="B130" s="1" t="n">
        <v>44368.58009259259</v>
      </c>
      <c r="C130" s="1" t="n">
        <v>45887</v>
      </c>
      <c r="D130" t="inlineStr">
        <is>
          <t>DALARNAS LÄN</t>
        </is>
      </c>
      <c r="E130" t="inlineStr">
        <is>
          <t>ÄLVDALEN</t>
        </is>
      </c>
      <c r="G130" t="n">
        <v>1.3</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45887</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45887</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45887</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45887</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45887</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45887</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45887</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54292-2021</t>
        </is>
      </c>
      <c r="B138" s="1" t="n">
        <v>44471</v>
      </c>
      <c r="C138" s="1" t="n">
        <v>45887</v>
      </c>
      <c r="D138" t="inlineStr">
        <is>
          <t>DALARNAS LÄN</t>
        </is>
      </c>
      <c r="E138" t="inlineStr">
        <is>
          <t>ÄLVDALEN</t>
        </is>
      </c>
      <c r="G138" t="n">
        <v>3.1</v>
      </c>
      <c r="H138" t="n">
        <v>0</v>
      </c>
      <c r="I138" t="n">
        <v>0</v>
      </c>
      <c r="J138" t="n">
        <v>0</v>
      </c>
      <c r="K138" t="n">
        <v>0</v>
      </c>
      <c r="L138" t="n">
        <v>0</v>
      </c>
      <c r="M138" t="n">
        <v>0</v>
      </c>
      <c r="N138" t="n">
        <v>0</v>
      </c>
      <c r="O138" t="n">
        <v>0</v>
      </c>
      <c r="P138" t="n">
        <v>0</v>
      </c>
      <c r="Q138" t="n">
        <v>0</v>
      </c>
      <c r="R138" s="2" t="inlineStr"/>
    </row>
    <row r="139" ht="15" customHeight="1">
      <c r="A139" t="inlineStr">
        <is>
          <t>A 52124-2021</t>
        </is>
      </c>
      <c r="B139" s="1" t="n">
        <v>44463.48194444444</v>
      </c>
      <c r="C139" s="1" t="n">
        <v>45887</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45887</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45887</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45887</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45887</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45887</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45887</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45887</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45887</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45887</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45887</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45887</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45887</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45887</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45887</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45887</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45887</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45887</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45887</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45887</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45227-2022</t>
        </is>
      </c>
      <c r="B159" s="1" t="n">
        <v>44844</v>
      </c>
      <c r="C159" s="1" t="n">
        <v>45887</v>
      </c>
      <c r="D159" t="inlineStr">
        <is>
          <t>DALARNAS LÄN</t>
        </is>
      </c>
      <c r="E159" t="inlineStr">
        <is>
          <t>ÄLVDALEN</t>
        </is>
      </c>
      <c r="F159" t="inlineStr">
        <is>
          <t>Bergvik skog väst AB</t>
        </is>
      </c>
      <c r="G159" t="n">
        <v>22.3</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45887</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45887</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45887</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39311-2022</t>
        </is>
      </c>
      <c r="B163" s="1" t="n">
        <v>44817.69123842593</v>
      </c>
      <c r="C163" s="1" t="n">
        <v>45887</v>
      </c>
      <c r="D163" t="inlineStr">
        <is>
          <t>DALARNAS LÄN</t>
        </is>
      </c>
      <c r="E163" t="inlineStr">
        <is>
          <t>ÄLVDALEN</t>
        </is>
      </c>
      <c r="F163" t="inlineStr">
        <is>
          <t>Bergvik skog väst AB</t>
        </is>
      </c>
      <c r="G163" t="n">
        <v>1.4</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45887</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52064-2022</t>
        </is>
      </c>
      <c r="B165" s="1" t="n">
        <v>44873.34854166667</v>
      </c>
      <c r="C165" s="1" t="n">
        <v>45887</v>
      </c>
      <c r="D165" t="inlineStr">
        <is>
          <t>DALARNAS LÄN</t>
        </is>
      </c>
      <c r="E165" t="inlineStr">
        <is>
          <t>ÄLVDALEN</t>
        </is>
      </c>
      <c r="G165" t="n">
        <v>0.3</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45887</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45887</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45887</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45887</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45887</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45887</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45887</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45887</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45887</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45887</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45887</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28712-2021</t>
        </is>
      </c>
      <c r="B177" s="1" t="n">
        <v>44357</v>
      </c>
      <c r="C177" s="1" t="n">
        <v>45887</v>
      </c>
      <c r="D177" t="inlineStr">
        <is>
          <t>DALARNAS LÄN</t>
        </is>
      </c>
      <c r="E177" t="inlineStr">
        <is>
          <t>ÄLVDALEN</t>
        </is>
      </c>
      <c r="G177" t="n">
        <v>2</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45887</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45887</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45887</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45887</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45887</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45887</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45887</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45887</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45887</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45887</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45887</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45887</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45887</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45887</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45887</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45887</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22454-2021</t>
        </is>
      </c>
      <c r="B194" s="1" t="n">
        <v>44326</v>
      </c>
      <c r="C194" s="1" t="n">
        <v>45887</v>
      </c>
      <c r="D194" t="inlineStr">
        <is>
          <t>DALARNAS LÄN</t>
        </is>
      </c>
      <c r="E194" t="inlineStr">
        <is>
          <t>ÄLVDALEN</t>
        </is>
      </c>
      <c r="F194" t="inlineStr">
        <is>
          <t>Allmännings- och besparingsskogar</t>
        </is>
      </c>
      <c r="G194" t="n">
        <v>4.3</v>
      </c>
      <c r="H194" t="n">
        <v>0</v>
      </c>
      <c r="I194" t="n">
        <v>0</v>
      </c>
      <c r="J194" t="n">
        <v>0</v>
      </c>
      <c r="K194" t="n">
        <v>0</v>
      </c>
      <c r="L194" t="n">
        <v>0</v>
      </c>
      <c r="M194" t="n">
        <v>0</v>
      </c>
      <c r="N194" t="n">
        <v>0</v>
      </c>
      <c r="O194" t="n">
        <v>0</v>
      </c>
      <c r="P194" t="n">
        <v>0</v>
      </c>
      <c r="Q194" t="n">
        <v>0</v>
      </c>
      <c r="R194" s="2" t="inlineStr"/>
    </row>
    <row r="195" ht="15" customHeight="1">
      <c r="A195" t="inlineStr">
        <is>
          <t>A 51161-2021</t>
        </is>
      </c>
      <c r="B195" s="1" t="n">
        <v>44461.46195601852</v>
      </c>
      <c r="C195" s="1" t="n">
        <v>45887</v>
      </c>
      <c r="D195" t="inlineStr">
        <is>
          <t>DALARNAS LÄN</t>
        </is>
      </c>
      <c r="E195" t="inlineStr">
        <is>
          <t>ÄLVDALEN</t>
        </is>
      </c>
      <c r="G195" t="n">
        <v>2</v>
      </c>
      <c r="H195" t="n">
        <v>0</v>
      </c>
      <c r="I195" t="n">
        <v>0</v>
      </c>
      <c r="J195" t="n">
        <v>0</v>
      </c>
      <c r="K195" t="n">
        <v>0</v>
      </c>
      <c r="L195" t="n">
        <v>0</v>
      </c>
      <c r="M195" t="n">
        <v>0</v>
      </c>
      <c r="N195" t="n">
        <v>0</v>
      </c>
      <c r="O195" t="n">
        <v>0</v>
      </c>
      <c r="P195" t="n">
        <v>0</v>
      </c>
      <c r="Q195" t="n">
        <v>0</v>
      </c>
      <c r="R195" s="2" t="inlineStr"/>
    </row>
    <row r="196" ht="15" customHeight="1">
      <c r="A196" t="inlineStr">
        <is>
          <t>A 51504-2022</t>
        </is>
      </c>
      <c r="B196" s="1" t="n">
        <v>44869</v>
      </c>
      <c r="C196" s="1" t="n">
        <v>45887</v>
      </c>
      <c r="D196" t="inlineStr">
        <is>
          <t>DALARNAS LÄN</t>
        </is>
      </c>
      <c r="E196" t="inlineStr">
        <is>
          <t>ÄLVDALEN</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40234-2021</t>
        </is>
      </c>
      <c r="B197" s="1" t="n">
        <v>44419</v>
      </c>
      <c r="C197" s="1" t="n">
        <v>45887</v>
      </c>
      <c r="D197" t="inlineStr">
        <is>
          <t>DALARNAS LÄN</t>
        </is>
      </c>
      <c r="E197" t="inlineStr">
        <is>
          <t>ÄLVDALEN</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30254-2021</t>
        </is>
      </c>
      <c r="B198" s="1" t="n">
        <v>44363</v>
      </c>
      <c r="C198" s="1" t="n">
        <v>45887</v>
      </c>
      <c r="D198" t="inlineStr">
        <is>
          <t>DALARNAS LÄN</t>
        </is>
      </c>
      <c r="E198" t="inlineStr">
        <is>
          <t>ÄLVDALEN</t>
        </is>
      </c>
      <c r="F198" t="inlineStr">
        <is>
          <t>Sveaskog</t>
        </is>
      </c>
      <c r="G198" t="n">
        <v>8.1</v>
      </c>
      <c r="H198" t="n">
        <v>0</v>
      </c>
      <c r="I198" t="n">
        <v>0</v>
      </c>
      <c r="J198" t="n">
        <v>0</v>
      </c>
      <c r="K198" t="n">
        <v>0</v>
      </c>
      <c r="L198" t="n">
        <v>0</v>
      </c>
      <c r="M198" t="n">
        <v>0</v>
      </c>
      <c r="N198" t="n">
        <v>0</v>
      </c>
      <c r="O198" t="n">
        <v>0</v>
      </c>
      <c r="P198" t="n">
        <v>0</v>
      </c>
      <c r="Q198" t="n">
        <v>0</v>
      </c>
      <c r="R198" s="2" t="inlineStr"/>
    </row>
    <row r="199" ht="15" customHeight="1">
      <c r="A199" t="inlineStr">
        <is>
          <t>A 12066-2022</t>
        </is>
      </c>
      <c r="B199" s="1" t="n">
        <v>44636</v>
      </c>
      <c r="C199" s="1" t="n">
        <v>45887</v>
      </c>
      <c r="D199" t="inlineStr">
        <is>
          <t>DALARNAS LÄN</t>
        </is>
      </c>
      <c r="E199" t="inlineStr">
        <is>
          <t>ÄLVDALEN</t>
        </is>
      </c>
      <c r="G199" t="n">
        <v>4.4</v>
      </c>
      <c r="H199" t="n">
        <v>0</v>
      </c>
      <c r="I199" t="n">
        <v>0</v>
      </c>
      <c r="J199" t="n">
        <v>0</v>
      </c>
      <c r="K199" t="n">
        <v>0</v>
      </c>
      <c r="L199" t="n">
        <v>0</v>
      </c>
      <c r="M199" t="n">
        <v>0</v>
      </c>
      <c r="N199" t="n">
        <v>0</v>
      </c>
      <c r="O199" t="n">
        <v>0</v>
      </c>
      <c r="P199" t="n">
        <v>0</v>
      </c>
      <c r="Q199" t="n">
        <v>0</v>
      </c>
      <c r="R199" s="2" t="inlineStr"/>
    </row>
    <row r="200" ht="15" customHeight="1">
      <c r="A200" t="inlineStr">
        <is>
          <t>A 38957-2022</t>
        </is>
      </c>
      <c r="B200" s="1" t="n">
        <v>44816</v>
      </c>
      <c r="C200" s="1" t="n">
        <v>45887</v>
      </c>
      <c r="D200" t="inlineStr">
        <is>
          <t>DALARNAS LÄN</t>
        </is>
      </c>
      <c r="E200" t="inlineStr">
        <is>
          <t>ÄLVDALEN</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57783-2021</t>
        </is>
      </c>
      <c r="B201" s="1" t="n">
        <v>44484</v>
      </c>
      <c r="C201" s="1" t="n">
        <v>45887</v>
      </c>
      <c r="D201" t="inlineStr">
        <is>
          <t>DALARNAS LÄN</t>
        </is>
      </c>
      <c r="E201" t="inlineStr">
        <is>
          <t>ÄLVDALEN</t>
        </is>
      </c>
      <c r="G201" t="n">
        <v>6.9</v>
      </c>
      <c r="H201" t="n">
        <v>0</v>
      </c>
      <c r="I201" t="n">
        <v>0</v>
      </c>
      <c r="J201" t="n">
        <v>0</v>
      </c>
      <c r="K201" t="n">
        <v>0</v>
      </c>
      <c r="L201" t="n">
        <v>0</v>
      </c>
      <c r="M201" t="n">
        <v>0</v>
      </c>
      <c r="N201" t="n">
        <v>0</v>
      </c>
      <c r="O201" t="n">
        <v>0</v>
      </c>
      <c r="P201" t="n">
        <v>0</v>
      </c>
      <c r="Q201" t="n">
        <v>0</v>
      </c>
      <c r="R201" s="2" t="inlineStr"/>
    </row>
    <row r="202" ht="15" customHeight="1">
      <c r="A202" t="inlineStr">
        <is>
          <t>A 66887-2021</t>
        </is>
      </c>
      <c r="B202" s="1" t="n">
        <v>44522.47883101852</v>
      </c>
      <c r="C202" s="1" t="n">
        <v>45887</v>
      </c>
      <c r="D202" t="inlineStr">
        <is>
          <t>DALARNAS LÄN</t>
        </is>
      </c>
      <c r="E202" t="inlineStr">
        <is>
          <t>ÄLVDALEN</t>
        </is>
      </c>
      <c r="G202" t="n">
        <v>1.8</v>
      </c>
      <c r="H202" t="n">
        <v>0</v>
      </c>
      <c r="I202" t="n">
        <v>0</v>
      </c>
      <c r="J202" t="n">
        <v>0</v>
      </c>
      <c r="K202" t="n">
        <v>0</v>
      </c>
      <c r="L202" t="n">
        <v>0</v>
      </c>
      <c r="M202" t="n">
        <v>0</v>
      </c>
      <c r="N202" t="n">
        <v>0</v>
      </c>
      <c r="O202" t="n">
        <v>0</v>
      </c>
      <c r="P202" t="n">
        <v>0</v>
      </c>
      <c r="Q202" t="n">
        <v>0</v>
      </c>
      <c r="R202" s="2" t="inlineStr"/>
    </row>
    <row r="203" ht="15" customHeight="1">
      <c r="A203" t="inlineStr">
        <is>
          <t>A 36825-2021</t>
        </is>
      </c>
      <c r="B203" s="1" t="n">
        <v>44393</v>
      </c>
      <c r="C203" s="1" t="n">
        <v>45887</v>
      </c>
      <c r="D203" t="inlineStr">
        <is>
          <t>DALARNAS LÄN</t>
        </is>
      </c>
      <c r="E203" t="inlineStr">
        <is>
          <t>ÄLVDALEN</t>
        </is>
      </c>
      <c r="F203" t="inlineStr">
        <is>
          <t>Sveaskog</t>
        </is>
      </c>
      <c r="G203" t="n">
        <v>12.2</v>
      </c>
      <c r="H203" t="n">
        <v>0</v>
      </c>
      <c r="I203" t="n">
        <v>0</v>
      </c>
      <c r="J203" t="n">
        <v>0</v>
      </c>
      <c r="K203" t="n">
        <v>0</v>
      </c>
      <c r="L203" t="n">
        <v>0</v>
      </c>
      <c r="M203" t="n">
        <v>0</v>
      </c>
      <c r="N203" t="n">
        <v>0</v>
      </c>
      <c r="O203" t="n">
        <v>0</v>
      </c>
      <c r="P203" t="n">
        <v>0</v>
      </c>
      <c r="Q203" t="n">
        <v>0</v>
      </c>
      <c r="R203" s="2" t="inlineStr"/>
    </row>
    <row r="204" ht="15" customHeight="1">
      <c r="A204" t="inlineStr">
        <is>
          <t>A 72846-2021</t>
        </is>
      </c>
      <c r="B204" s="1" t="n">
        <v>44547</v>
      </c>
      <c r="C204" s="1" t="n">
        <v>45887</v>
      </c>
      <c r="D204" t="inlineStr">
        <is>
          <t>DALARNAS LÄN</t>
        </is>
      </c>
      <c r="E204" t="inlineStr">
        <is>
          <t>ÄLVDALEN</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15045-2021</t>
        </is>
      </c>
      <c r="B205" s="1" t="n">
        <v>44281</v>
      </c>
      <c r="C205" s="1" t="n">
        <v>45887</v>
      </c>
      <c r="D205" t="inlineStr">
        <is>
          <t>DALARNAS LÄN</t>
        </is>
      </c>
      <c r="E205" t="inlineStr">
        <is>
          <t>ÄLVDALEN</t>
        </is>
      </c>
      <c r="G205" t="n">
        <v>1</v>
      </c>
      <c r="H205" t="n">
        <v>0</v>
      </c>
      <c r="I205" t="n">
        <v>0</v>
      </c>
      <c r="J205" t="n">
        <v>0</v>
      </c>
      <c r="K205" t="n">
        <v>0</v>
      </c>
      <c r="L205" t="n">
        <v>0</v>
      </c>
      <c r="M205" t="n">
        <v>0</v>
      </c>
      <c r="N205" t="n">
        <v>0</v>
      </c>
      <c r="O205" t="n">
        <v>0</v>
      </c>
      <c r="P205" t="n">
        <v>0</v>
      </c>
      <c r="Q205" t="n">
        <v>0</v>
      </c>
      <c r="R205" s="2" t="inlineStr"/>
    </row>
    <row r="206" ht="15" customHeight="1">
      <c r="A206" t="inlineStr">
        <is>
          <t>A 27022-2021</t>
        </is>
      </c>
      <c r="B206" s="1" t="n">
        <v>44350.38857638889</v>
      </c>
      <c r="C206" s="1" t="n">
        <v>45887</v>
      </c>
      <c r="D206" t="inlineStr">
        <is>
          <t>DALARNAS LÄN</t>
        </is>
      </c>
      <c r="E206" t="inlineStr">
        <is>
          <t>ÄLVDALEN</t>
        </is>
      </c>
      <c r="G206" t="n">
        <v>0.9</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45887</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59658-2021</t>
        </is>
      </c>
      <c r="B208" s="1" t="n">
        <v>44494.3159375</v>
      </c>
      <c r="C208" s="1" t="n">
        <v>45887</v>
      </c>
      <c r="D208" t="inlineStr">
        <is>
          <t>DALARNAS LÄN</t>
        </is>
      </c>
      <c r="E208" t="inlineStr">
        <is>
          <t>ÄLVDALEN</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25602-2022</t>
        </is>
      </c>
      <c r="B209" s="1" t="n">
        <v>44732.6975</v>
      </c>
      <c r="C209" s="1" t="n">
        <v>45887</v>
      </c>
      <c r="D209" t="inlineStr">
        <is>
          <t>DALARNAS LÄN</t>
        </is>
      </c>
      <c r="E209" t="inlineStr">
        <is>
          <t>ÄLVDALEN</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54138-2020</t>
        </is>
      </c>
      <c r="B210" s="1" t="n">
        <v>44125</v>
      </c>
      <c r="C210" s="1" t="n">
        <v>45887</v>
      </c>
      <c r="D210" t="inlineStr">
        <is>
          <t>DALARNAS LÄN</t>
        </is>
      </c>
      <c r="E210" t="inlineStr">
        <is>
          <t>ÄLVDALEN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7232-2021</t>
        </is>
      </c>
      <c r="B211" s="1" t="n">
        <v>44238</v>
      </c>
      <c r="C211" s="1" t="n">
        <v>45887</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33689-2021</t>
        </is>
      </c>
      <c r="B212" s="1" t="n">
        <v>44378</v>
      </c>
      <c r="C212" s="1" t="n">
        <v>45887</v>
      </c>
      <c r="D212" t="inlineStr">
        <is>
          <t>DALARNAS LÄN</t>
        </is>
      </c>
      <c r="E212" t="inlineStr">
        <is>
          <t>ÄLVDALEN</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30969-2021</t>
        </is>
      </c>
      <c r="B213" s="1" t="n">
        <v>44365.89862268518</v>
      </c>
      <c r="C213" s="1" t="n">
        <v>45887</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49587-2020</t>
        </is>
      </c>
      <c r="B214" s="1" t="n">
        <v>44106</v>
      </c>
      <c r="C214" s="1" t="n">
        <v>45887</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61563-2021</t>
        </is>
      </c>
      <c r="B215" s="1" t="n">
        <v>44501</v>
      </c>
      <c r="C215" s="1" t="n">
        <v>45887</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71282-2021</t>
        </is>
      </c>
      <c r="B216" s="1" t="n">
        <v>44539</v>
      </c>
      <c r="C216" s="1" t="n">
        <v>45887</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70252-2021</t>
        </is>
      </c>
      <c r="B217" s="1" t="n">
        <v>44536</v>
      </c>
      <c r="C217" s="1" t="n">
        <v>45887</v>
      </c>
      <c r="D217" t="inlineStr">
        <is>
          <t>DALARNAS LÄN</t>
        </is>
      </c>
      <c r="E217" t="inlineStr">
        <is>
          <t>ÄLVDALEN</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37490-2021</t>
        </is>
      </c>
      <c r="B218" s="1" t="n">
        <v>44399</v>
      </c>
      <c r="C218" s="1" t="n">
        <v>45887</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17627-2022</t>
        </is>
      </c>
      <c r="B219" s="1" t="n">
        <v>44680</v>
      </c>
      <c r="C219" s="1" t="n">
        <v>45887</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30255-2021</t>
        </is>
      </c>
      <c r="B220" s="1" t="n">
        <v>44363</v>
      </c>
      <c r="C220" s="1" t="n">
        <v>45887</v>
      </c>
      <c r="D220" t="inlineStr">
        <is>
          <t>DALARNAS LÄN</t>
        </is>
      </c>
      <c r="E220" t="inlineStr">
        <is>
          <t>ÄLVDALEN</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7530-2022</t>
        </is>
      </c>
      <c r="B221" s="1" t="n">
        <v>44607</v>
      </c>
      <c r="C221" s="1" t="n">
        <v>45887</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54407-2022</t>
        </is>
      </c>
      <c r="B222" s="1" t="n">
        <v>44882.54866898148</v>
      </c>
      <c r="C222" s="1" t="n">
        <v>45887</v>
      </c>
      <c r="D222" t="inlineStr">
        <is>
          <t>DALARNAS LÄN</t>
        </is>
      </c>
      <c r="E222" t="inlineStr">
        <is>
          <t>ÄLVDALEN</t>
        </is>
      </c>
      <c r="F222" t="inlineStr">
        <is>
          <t>Bergvik skog väst AB</t>
        </is>
      </c>
      <c r="G222" t="n">
        <v>3.5</v>
      </c>
      <c r="H222" t="n">
        <v>0</v>
      </c>
      <c r="I222" t="n">
        <v>0</v>
      </c>
      <c r="J222" t="n">
        <v>0</v>
      </c>
      <c r="K222" t="n">
        <v>0</v>
      </c>
      <c r="L222" t="n">
        <v>0</v>
      </c>
      <c r="M222" t="n">
        <v>0</v>
      </c>
      <c r="N222" t="n">
        <v>0</v>
      </c>
      <c r="O222" t="n">
        <v>0</v>
      </c>
      <c r="P222" t="n">
        <v>0</v>
      </c>
      <c r="Q222" t="n">
        <v>0</v>
      </c>
      <c r="R222" s="2" t="inlineStr"/>
    </row>
    <row r="223" ht="15" customHeight="1">
      <c r="A223" t="inlineStr">
        <is>
          <t>A 19759-2021</t>
        </is>
      </c>
      <c r="B223" s="1" t="n">
        <v>44309</v>
      </c>
      <c r="C223" s="1" t="n">
        <v>45887</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31714-2021</t>
        </is>
      </c>
      <c r="B224" s="1" t="n">
        <v>44369.82663194444</v>
      </c>
      <c r="C224" s="1" t="n">
        <v>45887</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37009-2021</t>
        </is>
      </c>
      <c r="B225" s="1" t="n">
        <v>44393.6384837963</v>
      </c>
      <c r="C225" s="1" t="n">
        <v>45887</v>
      </c>
      <c r="D225" t="inlineStr">
        <is>
          <t>DALARNAS LÄN</t>
        </is>
      </c>
      <c r="E225" t="inlineStr">
        <is>
          <t>ÄLVDALEN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28011-2021</t>
        </is>
      </c>
      <c r="B226" s="1" t="n">
        <v>44355.35329861111</v>
      </c>
      <c r="C226" s="1" t="n">
        <v>45887</v>
      </c>
      <c r="D226" t="inlineStr">
        <is>
          <t>DALARNAS LÄN</t>
        </is>
      </c>
      <c r="E226" t="inlineStr">
        <is>
          <t>ÄLVDALEN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56487-2024</t>
        </is>
      </c>
      <c r="B227" s="1" t="n">
        <v>45625.48621527778</v>
      </c>
      <c r="C227" s="1" t="n">
        <v>45887</v>
      </c>
      <c r="D227" t="inlineStr">
        <is>
          <t>DALARNAS LÄN</t>
        </is>
      </c>
      <c r="E227" t="inlineStr">
        <is>
          <t>ÄLVDALEN</t>
        </is>
      </c>
      <c r="F227" t="inlineStr">
        <is>
          <t>Allmännings- och besparingsskogar</t>
        </is>
      </c>
      <c r="G227" t="n">
        <v>5.6</v>
      </c>
      <c r="H227" t="n">
        <v>0</v>
      </c>
      <c r="I227" t="n">
        <v>0</v>
      </c>
      <c r="J227" t="n">
        <v>0</v>
      </c>
      <c r="K227" t="n">
        <v>0</v>
      </c>
      <c r="L227" t="n">
        <v>0</v>
      </c>
      <c r="M227" t="n">
        <v>0</v>
      </c>
      <c r="N227" t="n">
        <v>0</v>
      </c>
      <c r="O227" t="n">
        <v>0</v>
      </c>
      <c r="P227" t="n">
        <v>0</v>
      </c>
      <c r="Q227" t="n">
        <v>0</v>
      </c>
      <c r="R227" s="2" t="inlineStr"/>
    </row>
    <row r="228" ht="15" customHeight="1">
      <c r="A228" t="inlineStr">
        <is>
          <t>A 60265-2021</t>
        </is>
      </c>
      <c r="B228" s="1" t="n">
        <v>44495.68053240741</v>
      </c>
      <c r="C228" s="1" t="n">
        <v>45887</v>
      </c>
      <c r="D228" t="inlineStr">
        <is>
          <t>DALARNAS LÄN</t>
        </is>
      </c>
      <c r="E228" t="inlineStr">
        <is>
          <t>ÄLVDALEN</t>
        </is>
      </c>
      <c r="F228" t="inlineStr">
        <is>
          <t>Allmännings- och besparingsskogar</t>
        </is>
      </c>
      <c r="G228" t="n">
        <v>10</v>
      </c>
      <c r="H228" t="n">
        <v>0</v>
      </c>
      <c r="I228" t="n">
        <v>0</v>
      </c>
      <c r="J228" t="n">
        <v>0</v>
      </c>
      <c r="K228" t="n">
        <v>0</v>
      </c>
      <c r="L228" t="n">
        <v>0</v>
      </c>
      <c r="M228" t="n">
        <v>0</v>
      </c>
      <c r="N228" t="n">
        <v>0</v>
      </c>
      <c r="O228" t="n">
        <v>0</v>
      </c>
      <c r="P228" t="n">
        <v>0</v>
      </c>
      <c r="Q228" t="n">
        <v>0</v>
      </c>
      <c r="R228" s="2" t="inlineStr"/>
    </row>
    <row r="229" ht="15" customHeight="1">
      <c r="A229" t="inlineStr">
        <is>
          <t>A 46559-2023</t>
        </is>
      </c>
      <c r="B229" s="1" t="n">
        <v>45187</v>
      </c>
      <c r="C229" s="1" t="n">
        <v>45887</v>
      </c>
      <c r="D229" t="inlineStr">
        <is>
          <t>DALARNAS LÄN</t>
        </is>
      </c>
      <c r="E229" t="inlineStr">
        <is>
          <t>ÄLVDALEN</t>
        </is>
      </c>
      <c r="G229" t="n">
        <v>9.6</v>
      </c>
      <c r="H229" t="n">
        <v>0</v>
      </c>
      <c r="I229" t="n">
        <v>0</v>
      </c>
      <c r="J229" t="n">
        <v>0</v>
      </c>
      <c r="K229" t="n">
        <v>0</v>
      </c>
      <c r="L229" t="n">
        <v>0</v>
      </c>
      <c r="M229" t="n">
        <v>0</v>
      </c>
      <c r="N229" t="n">
        <v>0</v>
      </c>
      <c r="O229" t="n">
        <v>0</v>
      </c>
      <c r="P229" t="n">
        <v>0</v>
      </c>
      <c r="Q229" t="n">
        <v>0</v>
      </c>
      <c r="R229" s="2" t="inlineStr"/>
    </row>
    <row r="230" ht="15" customHeight="1">
      <c r="A230" t="inlineStr">
        <is>
          <t>A 27480-2022</t>
        </is>
      </c>
      <c r="B230" s="1" t="n">
        <v>44742.60590277778</v>
      </c>
      <c r="C230" s="1" t="n">
        <v>45887</v>
      </c>
      <c r="D230" t="inlineStr">
        <is>
          <t>DALARNAS LÄN</t>
        </is>
      </c>
      <c r="E230" t="inlineStr">
        <is>
          <t>ÄLVDALEN</t>
        </is>
      </c>
      <c r="F230" t="inlineStr">
        <is>
          <t>Bergvik skog väst AB</t>
        </is>
      </c>
      <c r="G230" t="n">
        <v>4.1</v>
      </c>
      <c r="H230" t="n">
        <v>0</v>
      </c>
      <c r="I230" t="n">
        <v>0</v>
      </c>
      <c r="J230" t="n">
        <v>0</v>
      </c>
      <c r="K230" t="n">
        <v>0</v>
      </c>
      <c r="L230" t="n">
        <v>0</v>
      </c>
      <c r="M230" t="n">
        <v>0</v>
      </c>
      <c r="N230" t="n">
        <v>0</v>
      </c>
      <c r="O230" t="n">
        <v>0</v>
      </c>
      <c r="P230" t="n">
        <v>0</v>
      </c>
      <c r="Q230" t="n">
        <v>0</v>
      </c>
      <c r="R230" s="2" t="inlineStr"/>
    </row>
    <row r="231" ht="15" customHeight="1">
      <c r="A231" t="inlineStr">
        <is>
          <t>A 49063-2023</t>
        </is>
      </c>
      <c r="B231" s="1" t="n">
        <v>45210</v>
      </c>
      <c r="C231" s="1" t="n">
        <v>45887</v>
      </c>
      <c r="D231" t="inlineStr">
        <is>
          <t>DALARNAS LÄN</t>
        </is>
      </c>
      <c r="E231" t="inlineStr">
        <is>
          <t>ÄLVDALEN</t>
        </is>
      </c>
      <c r="G231" t="n">
        <v>4.1</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45887</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52401-2020</t>
        </is>
      </c>
      <c r="B233" s="1" t="n">
        <v>44113</v>
      </c>
      <c r="C233" s="1" t="n">
        <v>45887</v>
      </c>
      <c r="D233" t="inlineStr">
        <is>
          <t>DALARNAS LÄN</t>
        </is>
      </c>
      <c r="E233" t="inlineStr">
        <is>
          <t>ÄLVDALEN</t>
        </is>
      </c>
      <c r="G233" t="n">
        <v>4.4</v>
      </c>
      <c r="H233" t="n">
        <v>0</v>
      </c>
      <c r="I233" t="n">
        <v>0</v>
      </c>
      <c r="J233" t="n">
        <v>0</v>
      </c>
      <c r="K233" t="n">
        <v>0</v>
      </c>
      <c r="L233" t="n">
        <v>0</v>
      </c>
      <c r="M233" t="n">
        <v>0</v>
      </c>
      <c r="N233" t="n">
        <v>0</v>
      </c>
      <c r="O233" t="n">
        <v>0</v>
      </c>
      <c r="P233" t="n">
        <v>0</v>
      </c>
      <c r="Q233" t="n">
        <v>0</v>
      </c>
      <c r="R233" s="2" t="inlineStr"/>
    </row>
    <row r="234" ht="15" customHeight="1">
      <c r="A234" t="inlineStr">
        <is>
          <t>A 2381-2024</t>
        </is>
      </c>
      <c r="B234" s="1" t="n">
        <v>45310.64228009259</v>
      </c>
      <c r="C234" s="1" t="n">
        <v>45887</v>
      </c>
      <c r="D234" t="inlineStr">
        <is>
          <t>DALARNAS LÄN</t>
        </is>
      </c>
      <c r="E234" t="inlineStr">
        <is>
          <t>ÄLVDALEN</t>
        </is>
      </c>
      <c r="G234" t="n">
        <v>1.1</v>
      </c>
      <c r="H234" t="n">
        <v>0</v>
      </c>
      <c r="I234" t="n">
        <v>0</v>
      </c>
      <c r="J234" t="n">
        <v>0</v>
      </c>
      <c r="K234" t="n">
        <v>0</v>
      </c>
      <c r="L234" t="n">
        <v>0</v>
      </c>
      <c r="M234" t="n">
        <v>0</v>
      </c>
      <c r="N234" t="n">
        <v>0</v>
      </c>
      <c r="O234" t="n">
        <v>0</v>
      </c>
      <c r="P234" t="n">
        <v>0</v>
      </c>
      <c r="Q234" t="n">
        <v>0</v>
      </c>
      <c r="R234" s="2" t="inlineStr"/>
    </row>
    <row r="235" ht="15" customHeight="1">
      <c r="A235" t="inlineStr">
        <is>
          <t>A 20050-2021</t>
        </is>
      </c>
      <c r="B235" s="1" t="n">
        <v>44314</v>
      </c>
      <c r="C235" s="1" t="n">
        <v>45887</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57470-2023</t>
        </is>
      </c>
      <c r="B236" s="1" t="n">
        <v>45246</v>
      </c>
      <c r="C236" s="1" t="n">
        <v>45887</v>
      </c>
      <c r="D236" t="inlineStr">
        <is>
          <t>DALARNAS LÄN</t>
        </is>
      </c>
      <c r="E236" t="inlineStr">
        <is>
          <t>ÄLVDALEN</t>
        </is>
      </c>
      <c r="G236" t="n">
        <v>0.4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45887</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45887</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7232-2025</t>
        </is>
      </c>
      <c r="B239" s="1" t="n">
        <v>45702.51415509259</v>
      </c>
      <c r="C239" s="1" t="n">
        <v>45887</v>
      </c>
      <c r="D239" t="inlineStr">
        <is>
          <t>DALARNAS LÄN</t>
        </is>
      </c>
      <c r="E239" t="inlineStr">
        <is>
          <t>ÄLVDALEN</t>
        </is>
      </c>
      <c r="F239" t="inlineStr">
        <is>
          <t>Allmännings- och besparingsskogar</t>
        </is>
      </c>
      <c r="G239" t="n">
        <v>1.4</v>
      </c>
      <c r="H239" t="n">
        <v>0</v>
      </c>
      <c r="I239" t="n">
        <v>0</v>
      </c>
      <c r="J239" t="n">
        <v>0</v>
      </c>
      <c r="K239" t="n">
        <v>0</v>
      </c>
      <c r="L239" t="n">
        <v>0</v>
      </c>
      <c r="M239" t="n">
        <v>0</v>
      </c>
      <c r="N239" t="n">
        <v>0</v>
      </c>
      <c r="O239" t="n">
        <v>0</v>
      </c>
      <c r="P239" t="n">
        <v>0</v>
      </c>
      <c r="Q239" t="n">
        <v>0</v>
      </c>
      <c r="R239" s="2" t="inlineStr"/>
    </row>
    <row r="240" ht="15" customHeight="1">
      <c r="A240" t="inlineStr">
        <is>
          <t>A 1081-2025</t>
        </is>
      </c>
      <c r="B240" s="1" t="n">
        <v>45666.61589120371</v>
      </c>
      <c r="C240" s="1" t="n">
        <v>45887</v>
      </c>
      <c r="D240" t="inlineStr">
        <is>
          <t>DALARNAS LÄN</t>
        </is>
      </c>
      <c r="E240" t="inlineStr">
        <is>
          <t>ÄLVDALEN</t>
        </is>
      </c>
      <c r="G240" t="n">
        <v>5.8</v>
      </c>
      <c r="H240" t="n">
        <v>0</v>
      </c>
      <c r="I240" t="n">
        <v>0</v>
      </c>
      <c r="J240" t="n">
        <v>0</v>
      </c>
      <c r="K240" t="n">
        <v>0</v>
      </c>
      <c r="L240" t="n">
        <v>0</v>
      </c>
      <c r="M240" t="n">
        <v>0</v>
      </c>
      <c r="N240" t="n">
        <v>0</v>
      </c>
      <c r="O240" t="n">
        <v>0</v>
      </c>
      <c r="P240" t="n">
        <v>0</v>
      </c>
      <c r="Q240" t="n">
        <v>0</v>
      </c>
      <c r="R240" s="2" t="inlineStr"/>
    </row>
    <row r="241" ht="15" customHeight="1">
      <c r="A241" t="inlineStr">
        <is>
          <t>A 1088-2025</t>
        </is>
      </c>
      <c r="B241" s="1" t="n">
        <v>45666.62162037037</v>
      </c>
      <c r="C241" s="1" t="n">
        <v>45887</v>
      </c>
      <c r="D241" t="inlineStr">
        <is>
          <t>DALARNAS LÄN</t>
        </is>
      </c>
      <c r="E241" t="inlineStr">
        <is>
          <t>ÄLVDALEN</t>
        </is>
      </c>
      <c r="G241" t="n">
        <v>5.4</v>
      </c>
      <c r="H241" t="n">
        <v>0</v>
      </c>
      <c r="I241" t="n">
        <v>0</v>
      </c>
      <c r="J241" t="n">
        <v>0</v>
      </c>
      <c r="K241" t="n">
        <v>0</v>
      </c>
      <c r="L241" t="n">
        <v>0</v>
      </c>
      <c r="M241" t="n">
        <v>0</v>
      </c>
      <c r="N241" t="n">
        <v>0</v>
      </c>
      <c r="O241" t="n">
        <v>0</v>
      </c>
      <c r="P241" t="n">
        <v>0</v>
      </c>
      <c r="Q241" t="n">
        <v>0</v>
      </c>
      <c r="R241" s="2" t="inlineStr"/>
    </row>
    <row r="242" ht="15" customHeight="1">
      <c r="A242" t="inlineStr">
        <is>
          <t>A 5567-2021</t>
        </is>
      </c>
      <c r="B242" s="1" t="n">
        <v>44230</v>
      </c>
      <c r="C242" s="1" t="n">
        <v>45887</v>
      </c>
      <c r="D242" t="inlineStr">
        <is>
          <t>DALARNAS LÄN</t>
        </is>
      </c>
      <c r="E242" t="inlineStr">
        <is>
          <t>ÄLVDALEN</t>
        </is>
      </c>
      <c r="F242" t="inlineStr">
        <is>
          <t>Övriga statliga verk och myndigheter</t>
        </is>
      </c>
      <c r="G242" t="n">
        <v>29.1</v>
      </c>
      <c r="H242" t="n">
        <v>0</v>
      </c>
      <c r="I242" t="n">
        <v>0</v>
      </c>
      <c r="J242" t="n">
        <v>0</v>
      </c>
      <c r="K242" t="n">
        <v>0</v>
      </c>
      <c r="L242" t="n">
        <v>0</v>
      </c>
      <c r="M242" t="n">
        <v>0</v>
      </c>
      <c r="N242" t="n">
        <v>0</v>
      </c>
      <c r="O242" t="n">
        <v>0</v>
      </c>
      <c r="P242" t="n">
        <v>0</v>
      </c>
      <c r="Q242" t="n">
        <v>0</v>
      </c>
      <c r="R242" s="2" t="inlineStr"/>
    </row>
    <row r="243" ht="15" customHeight="1">
      <c r="A243" t="inlineStr">
        <is>
          <t>A 43990-2024</t>
        </is>
      </c>
      <c r="B243" s="1" t="n">
        <v>45572</v>
      </c>
      <c r="C243" s="1" t="n">
        <v>45887</v>
      </c>
      <c r="D243" t="inlineStr">
        <is>
          <t>DALARNAS LÄN</t>
        </is>
      </c>
      <c r="E243" t="inlineStr">
        <is>
          <t>ÄLVDALEN</t>
        </is>
      </c>
      <c r="F243" t="inlineStr">
        <is>
          <t>Kommuner</t>
        </is>
      </c>
      <c r="G243" t="n">
        <v>0</v>
      </c>
      <c r="H243" t="n">
        <v>0</v>
      </c>
      <c r="I243" t="n">
        <v>0</v>
      </c>
      <c r="J243" t="n">
        <v>0</v>
      </c>
      <c r="K243" t="n">
        <v>0</v>
      </c>
      <c r="L243" t="n">
        <v>0</v>
      </c>
      <c r="M243" t="n">
        <v>0</v>
      </c>
      <c r="N243" t="n">
        <v>0</v>
      </c>
      <c r="O243" t="n">
        <v>0</v>
      </c>
      <c r="P243" t="n">
        <v>0</v>
      </c>
      <c r="Q243" t="n">
        <v>0</v>
      </c>
      <c r="R243" s="2" t="inlineStr"/>
    </row>
    <row r="244" ht="15" customHeight="1">
      <c r="A244" t="inlineStr">
        <is>
          <t>A 26080-2021</t>
        </is>
      </c>
      <c r="B244" s="1" t="n">
        <v>44344</v>
      </c>
      <c r="C244" s="1" t="n">
        <v>45887</v>
      </c>
      <c r="D244" t="inlineStr">
        <is>
          <t>DALARNAS LÄN</t>
        </is>
      </c>
      <c r="E244" t="inlineStr">
        <is>
          <t>ÄLVDALEN</t>
        </is>
      </c>
      <c r="G244" t="n">
        <v>2.3</v>
      </c>
      <c r="H244" t="n">
        <v>0</v>
      </c>
      <c r="I244" t="n">
        <v>0</v>
      </c>
      <c r="J244" t="n">
        <v>0</v>
      </c>
      <c r="K244" t="n">
        <v>0</v>
      </c>
      <c r="L244" t="n">
        <v>0</v>
      </c>
      <c r="M244" t="n">
        <v>0</v>
      </c>
      <c r="N244" t="n">
        <v>0</v>
      </c>
      <c r="O244" t="n">
        <v>0</v>
      </c>
      <c r="P244" t="n">
        <v>0</v>
      </c>
      <c r="Q244" t="n">
        <v>0</v>
      </c>
      <c r="R244" s="2" t="inlineStr"/>
    </row>
    <row r="245" ht="15" customHeight="1">
      <c r="A245" t="inlineStr">
        <is>
          <t>A 15760-2024</t>
        </is>
      </c>
      <c r="B245" s="1" t="n">
        <v>45404</v>
      </c>
      <c r="C245" s="1" t="n">
        <v>45887</v>
      </c>
      <c r="D245" t="inlineStr">
        <is>
          <t>DALARNAS LÄN</t>
        </is>
      </c>
      <c r="E245" t="inlineStr">
        <is>
          <t>ÄLVDALEN</t>
        </is>
      </c>
      <c r="G245" t="n">
        <v>1.9</v>
      </c>
      <c r="H245" t="n">
        <v>0</v>
      </c>
      <c r="I245" t="n">
        <v>0</v>
      </c>
      <c r="J245" t="n">
        <v>0</v>
      </c>
      <c r="K245" t="n">
        <v>0</v>
      </c>
      <c r="L245" t="n">
        <v>0</v>
      </c>
      <c r="M245" t="n">
        <v>0</v>
      </c>
      <c r="N245" t="n">
        <v>0</v>
      </c>
      <c r="O245" t="n">
        <v>0</v>
      </c>
      <c r="P245" t="n">
        <v>0</v>
      </c>
      <c r="Q245" t="n">
        <v>0</v>
      </c>
      <c r="R245" s="2" t="inlineStr"/>
    </row>
    <row r="246" ht="15" customHeight="1">
      <c r="A246" t="inlineStr">
        <is>
          <t>A 53168-2024</t>
        </is>
      </c>
      <c r="B246" s="1" t="n">
        <v>45611.65569444445</v>
      </c>
      <c r="C246" s="1" t="n">
        <v>45887</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30987-2023</t>
        </is>
      </c>
      <c r="B247" s="1" t="n">
        <v>45113</v>
      </c>
      <c r="C247" s="1" t="n">
        <v>45887</v>
      </c>
      <c r="D247" t="inlineStr">
        <is>
          <t>DALARNAS LÄN</t>
        </is>
      </c>
      <c r="E247" t="inlineStr">
        <is>
          <t>ÄLVDALEN</t>
        </is>
      </c>
      <c r="F247" t="inlineStr">
        <is>
          <t>Allmännings- och besparingsskogar</t>
        </is>
      </c>
      <c r="G247" t="n">
        <v>3.8</v>
      </c>
      <c r="H247" t="n">
        <v>0</v>
      </c>
      <c r="I247" t="n">
        <v>0</v>
      </c>
      <c r="J247" t="n">
        <v>0</v>
      </c>
      <c r="K247" t="n">
        <v>0</v>
      </c>
      <c r="L247" t="n">
        <v>0</v>
      </c>
      <c r="M247" t="n">
        <v>0</v>
      </c>
      <c r="N247" t="n">
        <v>0</v>
      </c>
      <c r="O247" t="n">
        <v>0</v>
      </c>
      <c r="P247" t="n">
        <v>0</v>
      </c>
      <c r="Q247" t="n">
        <v>0</v>
      </c>
      <c r="R247" s="2" t="inlineStr"/>
    </row>
    <row r="248" ht="15" customHeight="1">
      <c r="A248" t="inlineStr">
        <is>
          <t>A 53408-2023</t>
        </is>
      </c>
      <c r="B248" s="1" t="n">
        <v>45229</v>
      </c>
      <c r="C248" s="1" t="n">
        <v>45887</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20146-2025</t>
        </is>
      </c>
      <c r="B249" s="1" t="n">
        <v>45772.53324074074</v>
      </c>
      <c r="C249" s="1" t="n">
        <v>45887</v>
      </c>
      <c r="D249" t="inlineStr">
        <is>
          <t>DALARNAS LÄN</t>
        </is>
      </c>
      <c r="E249" t="inlineStr">
        <is>
          <t>ÄLVDALEN</t>
        </is>
      </c>
      <c r="F249" t="inlineStr">
        <is>
          <t>Allmännings- och besparingsskogar</t>
        </is>
      </c>
      <c r="G249" t="n">
        <v>24.3</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45887</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30355-2021</t>
        </is>
      </c>
      <c r="B251" s="1" t="n">
        <v>44364</v>
      </c>
      <c r="C251" s="1" t="n">
        <v>45887</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18075-2024</t>
        </is>
      </c>
      <c r="B252" s="1" t="n">
        <v>45420.43453703704</v>
      </c>
      <c r="C252" s="1" t="n">
        <v>45887</v>
      </c>
      <c r="D252" t="inlineStr">
        <is>
          <t>DALARNAS LÄN</t>
        </is>
      </c>
      <c r="E252" t="inlineStr">
        <is>
          <t>ÄLVDALEN</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47080-2024</t>
        </is>
      </c>
      <c r="B253" s="1" t="n">
        <v>45586.50578703704</v>
      </c>
      <c r="C253" s="1" t="n">
        <v>45887</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46881-2020</t>
        </is>
      </c>
      <c r="B254" s="1" t="n">
        <v>44096</v>
      </c>
      <c r="C254" s="1" t="n">
        <v>45887</v>
      </c>
      <c r="D254" t="inlineStr">
        <is>
          <t>DALARNAS LÄN</t>
        </is>
      </c>
      <c r="E254" t="inlineStr">
        <is>
          <t>ÄLVDALEN</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20924-2025</t>
        </is>
      </c>
      <c r="B255" s="1" t="n">
        <v>45777</v>
      </c>
      <c r="C255" s="1" t="n">
        <v>45887</v>
      </c>
      <c r="D255" t="inlineStr">
        <is>
          <t>DALARNAS LÄN</t>
        </is>
      </c>
      <c r="E255" t="inlineStr">
        <is>
          <t>ÄLVDALEN</t>
        </is>
      </c>
      <c r="G255" t="n">
        <v>2.3</v>
      </c>
      <c r="H255" t="n">
        <v>0</v>
      </c>
      <c r="I255" t="n">
        <v>0</v>
      </c>
      <c r="J255" t="n">
        <v>0</v>
      </c>
      <c r="K255" t="n">
        <v>0</v>
      </c>
      <c r="L255" t="n">
        <v>0</v>
      </c>
      <c r="M255" t="n">
        <v>0</v>
      </c>
      <c r="N255" t="n">
        <v>0</v>
      </c>
      <c r="O255" t="n">
        <v>0</v>
      </c>
      <c r="P255" t="n">
        <v>0</v>
      </c>
      <c r="Q255" t="n">
        <v>0</v>
      </c>
      <c r="R255" s="2" t="inlineStr"/>
    </row>
    <row r="256" ht="15" customHeight="1">
      <c r="A256" t="inlineStr">
        <is>
          <t>A 2377-2024</t>
        </is>
      </c>
      <c r="B256" s="1" t="n">
        <v>45310.63633101852</v>
      </c>
      <c r="C256" s="1" t="n">
        <v>45887</v>
      </c>
      <c r="D256" t="inlineStr">
        <is>
          <t>DALARNAS LÄN</t>
        </is>
      </c>
      <c r="E256" t="inlineStr">
        <is>
          <t>ÄLVDALEN</t>
        </is>
      </c>
      <c r="G256" t="n">
        <v>1.5</v>
      </c>
      <c r="H256" t="n">
        <v>0</v>
      </c>
      <c r="I256" t="n">
        <v>0</v>
      </c>
      <c r="J256" t="n">
        <v>0</v>
      </c>
      <c r="K256" t="n">
        <v>0</v>
      </c>
      <c r="L256" t="n">
        <v>0</v>
      </c>
      <c r="M256" t="n">
        <v>0</v>
      </c>
      <c r="N256" t="n">
        <v>0</v>
      </c>
      <c r="O256" t="n">
        <v>0</v>
      </c>
      <c r="P256" t="n">
        <v>0</v>
      </c>
      <c r="Q256" t="n">
        <v>0</v>
      </c>
      <c r="R256" s="2" t="inlineStr"/>
    </row>
    <row r="257" ht="15" customHeight="1">
      <c r="A257" t="inlineStr">
        <is>
          <t>A 2384-2024</t>
        </is>
      </c>
      <c r="B257" s="1" t="n">
        <v>45310.65099537037</v>
      </c>
      <c r="C257" s="1" t="n">
        <v>45887</v>
      </c>
      <c r="D257" t="inlineStr">
        <is>
          <t>DALARNAS LÄN</t>
        </is>
      </c>
      <c r="E257" t="inlineStr">
        <is>
          <t>ÄLVDALEN</t>
        </is>
      </c>
      <c r="G257" t="n">
        <v>2.7</v>
      </c>
      <c r="H257" t="n">
        <v>0</v>
      </c>
      <c r="I257" t="n">
        <v>0</v>
      </c>
      <c r="J257" t="n">
        <v>0</v>
      </c>
      <c r="K257" t="n">
        <v>0</v>
      </c>
      <c r="L257" t="n">
        <v>0</v>
      </c>
      <c r="M257" t="n">
        <v>0</v>
      </c>
      <c r="N257" t="n">
        <v>0</v>
      </c>
      <c r="O257" t="n">
        <v>0</v>
      </c>
      <c r="P257" t="n">
        <v>0</v>
      </c>
      <c r="Q257" t="n">
        <v>0</v>
      </c>
      <c r="R257" s="2" t="inlineStr"/>
    </row>
    <row r="258" ht="15" customHeight="1">
      <c r="A258" t="inlineStr">
        <is>
          <t>A 5883-2024</t>
        </is>
      </c>
      <c r="B258" s="1" t="n">
        <v>45335.69585648148</v>
      </c>
      <c r="C258" s="1" t="n">
        <v>45887</v>
      </c>
      <c r="D258" t="inlineStr">
        <is>
          <t>DALARNAS LÄN</t>
        </is>
      </c>
      <c r="E258" t="inlineStr">
        <is>
          <t>ÄLVDALEN</t>
        </is>
      </c>
      <c r="G258" t="n">
        <v>12</v>
      </c>
      <c r="H258" t="n">
        <v>0</v>
      </c>
      <c r="I258" t="n">
        <v>0</v>
      </c>
      <c r="J258" t="n">
        <v>0</v>
      </c>
      <c r="K258" t="n">
        <v>0</v>
      </c>
      <c r="L258" t="n">
        <v>0</v>
      </c>
      <c r="M258" t="n">
        <v>0</v>
      </c>
      <c r="N258" t="n">
        <v>0</v>
      </c>
      <c r="O258" t="n">
        <v>0</v>
      </c>
      <c r="P258" t="n">
        <v>0</v>
      </c>
      <c r="Q258" t="n">
        <v>0</v>
      </c>
      <c r="R258" s="2" t="inlineStr"/>
    </row>
    <row r="259" ht="15" customHeight="1">
      <c r="A259" t="inlineStr">
        <is>
          <t>A 21395-2025</t>
        </is>
      </c>
      <c r="B259" s="1" t="n">
        <v>45782.48197916667</v>
      </c>
      <c r="C259" s="1" t="n">
        <v>45887</v>
      </c>
      <c r="D259" t="inlineStr">
        <is>
          <t>DALARNAS LÄN</t>
        </is>
      </c>
      <c r="E259" t="inlineStr">
        <is>
          <t>ÄLVDALEN</t>
        </is>
      </c>
      <c r="G259" t="n">
        <v>6.4</v>
      </c>
      <c r="H259" t="n">
        <v>0</v>
      </c>
      <c r="I259" t="n">
        <v>0</v>
      </c>
      <c r="J259" t="n">
        <v>0</v>
      </c>
      <c r="K259" t="n">
        <v>0</v>
      </c>
      <c r="L259" t="n">
        <v>0</v>
      </c>
      <c r="M259" t="n">
        <v>0</v>
      </c>
      <c r="N259" t="n">
        <v>0</v>
      </c>
      <c r="O259" t="n">
        <v>0</v>
      </c>
      <c r="P259" t="n">
        <v>0</v>
      </c>
      <c r="Q259" t="n">
        <v>0</v>
      </c>
      <c r="R259" s="2" t="inlineStr"/>
    </row>
    <row r="260" ht="15" customHeight="1">
      <c r="A260" t="inlineStr">
        <is>
          <t>A 63079-2021</t>
        </is>
      </c>
      <c r="B260" s="1" t="n">
        <v>44505.56753472222</v>
      </c>
      <c r="C260" s="1" t="n">
        <v>45887</v>
      </c>
      <c r="D260" t="inlineStr">
        <is>
          <t>DALARNAS LÄN</t>
        </is>
      </c>
      <c r="E260" t="inlineStr">
        <is>
          <t>ÄLVDALEN</t>
        </is>
      </c>
      <c r="F260" t="inlineStr">
        <is>
          <t>Bergvik skog väst AB</t>
        </is>
      </c>
      <c r="G260" t="n">
        <v>4</v>
      </c>
      <c r="H260" t="n">
        <v>0</v>
      </c>
      <c r="I260" t="n">
        <v>0</v>
      </c>
      <c r="J260" t="n">
        <v>0</v>
      </c>
      <c r="K260" t="n">
        <v>0</v>
      </c>
      <c r="L260" t="n">
        <v>0</v>
      </c>
      <c r="M260" t="n">
        <v>0</v>
      </c>
      <c r="N260" t="n">
        <v>0</v>
      </c>
      <c r="O260" t="n">
        <v>0</v>
      </c>
      <c r="P260" t="n">
        <v>0</v>
      </c>
      <c r="Q260" t="n">
        <v>0</v>
      </c>
      <c r="R260" s="2" t="inlineStr"/>
    </row>
    <row r="261" ht="15" customHeight="1">
      <c r="A261" t="inlineStr">
        <is>
          <t>A 74324-2021</t>
        </is>
      </c>
      <c r="B261" s="1" t="n">
        <v>44558</v>
      </c>
      <c r="C261" s="1" t="n">
        <v>45887</v>
      </c>
      <c r="D261" t="inlineStr">
        <is>
          <t>DALARNAS LÄN</t>
        </is>
      </c>
      <c r="E261" t="inlineStr">
        <is>
          <t>ÄLVDALEN</t>
        </is>
      </c>
      <c r="G261" t="n">
        <v>1.2</v>
      </c>
      <c r="H261" t="n">
        <v>0</v>
      </c>
      <c r="I261" t="n">
        <v>0</v>
      </c>
      <c r="J261" t="n">
        <v>0</v>
      </c>
      <c r="K261" t="n">
        <v>0</v>
      </c>
      <c r="L261" t="n">
        <v>0</v>
      </c>
      <c r="M261" t="n">
        <v>0</v>
      </c>
      <c r="N261" t="n">
        <v>0</v>
      </c>
      <c r="O261" t="n">
        <v>0</v>
      </c>
      <c r="P261" t="n">
        <v>0</v>
      </c>
      <c r="Q261" t="n">
        <v>0</v>
      </c>
      <c r="R261" s="2" t="inlineStr"/>
    </row>
    <row r="262" ht="15" customHeight="1">
      <c r="A262" t="inlineStr">
        <is>
          <t>A 21629-2025</t>
        </is>
      </c>
      <c r="B262" s="1" t="n">
        <v>45783.4247337963</v>
      </c>
      <c r="C262" s="1" t="n">
        <v>45887</v>
      </c>
      <c r="D262" t="inlineStr">
        <is>
          <t>DALARNAS LÄN</t>
        </is>
      </c>
      <c r="E262" t="inlineStr">
        <is>
          <t>ÄLVDALEN</t>
        </is>
      </c>
      <c r="G262" t="n">
        <v>1.8</v>
      </c>
      <c r="H262" t="n">
        <v>0</v>
      </c>
      <c r="I262" t="n">
        <v>0</v>
      </c>
      <c r="J262" t="n">
        <v>0</v>
      </c>
      <c r="K262" t="n">
        <v>0</v>
      </c>
      <c r="L262" t="n">
        <v>0</v>
      </c>
      <c r="M262" t="n">
        <v>0</v>
      </c>
      <c r="N262" t="n">
        <v>0</v>
      </c>
      <c r="O262" t="n">
        <v>0</v>
      </c>
      <c r="P262" t="n">
        <v>0</v>
      </c>
      <c r="Q262" t="n">
        <v>0</v>
      </c>
      <c r="R262" s="2" t="inlineStr"/>
    </row>
    <row r="263" ht="15" customHeight="1">
      <c r="A263" t="inlineStr">
        <is>
          <t>A 21613-2025</t>
        </is>
      </c>
      <c r="B263" s="1" t="n">
        <v>45783.39542824074</v>
      </c>
      <c r="C263" s="1" t="n">
        <v>45887</v>
      </c>
      <c r="D263" t="inlineStr">
        <is>
          <t>DALARNAS LÄN</t>
        </is>
      </c>
      <c r="E263" t="inlineStr">
        <is>
          <t>ÄLVDALEN</t>
        </is>
      </c>
      <c r="G263" t="n">
        <v>3.4</v>
      </c>
      <c r="H263" t="n">
        <v>0</v>
      </c>
      <c r="I263" t="n">
        <v>0</v>
      </c>
      <c r="J263" t="n">
        <v>0</v>
      </c>
      <c r="K263" t="n">
        <v>0</v>
      </c>
      <c r="L263" t="n">
        <v>0</v>
      </c>
      <c r="M263" t="n">
        <v>0</v>
      </c>
      <c r="N263" t="n">
        <v>0</v>
      </c>
      <c r="O263" t="n">
        <v>0</v>
      </c>
      <c r="P263" t="n">
        <v>0</v>
      </c>
      <c r="Q263" t="n">
        <v>0</v>
      </c>
      <c r="R263" s="2" t="inlineStr"/>
    </row>
    <row r="264" ht="15" customHeight="1">
      <c r="A264" t="inlineStr">
        <is>
          <t>A 37061-2024</t>
        </is>
      </c>
      <c r="B264" s="1" t="n">
        <v>45539</v>
      </c>
      <c r="C264" s="1" t="n">
        <v>45887</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23553-2025</t>
        </is>
      </c>
      <c r="B265" s="1" t="n">
        <v>45792</v>
      </c>
      <c r="C265" s="1" t="n">
        <v>45887</v>
      </c>
      <c r="D265" t="inlineStr">
        <is>
          <t>DALARNAS LÄN</t>
        </is>
      </c>
      <c r="E265" t="inlineStr">
        <is>
          <t>ÄLVDALEN</t>
        </is>
      </c>
      <c r="G265" t="n">
        <v>46.2</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45887</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45887</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22189-2025</t>
        </is>
      </c>
      <c r="B268" s="1" t="n">
        <v>45785.62479166667</v>
      </c>
      <c r="C268" s="1" t="n">
        <v>45887</v>
      </c>
      <c r="D268" t="inlineStr">
        <is>
          <t>DALARNAS LÄN</t>
        </is>
      </c>
      <c r="E268" t="inlineStr">
        <is>
          <t>ÄLVDALEN</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28239-2024</t>
        </is>
      </c>
      <c r="B269" s="1" t="n">
        <v>45468</v>
      </c>
      <c r="C269" s="1" t="n">
        <v>45887</v>
      </c>
      <c r="D269" t="inlineStr">
        <is>
          <t>DALARNAS LÄN</t>
        </is>
      </c>
      <c r="E269" t="inlineStr">
        <is>
          <t>ÄLVDALEN</t>
        </is>
      </c>
      <c r="G269" t="n">
        <v>4</v>
      </c>
      <c r="H269" t="n">
        <v>0</v>
      </c>
      <c r="I269" t="n">
        <v>0</v>
      </c>
      <c r="J269" t="n">
        <v>0</v>
      </c>
      <c r="K269" t="n">
        <v>0</v>
      </c>
      <c r="L269" t="n">
        <v>0</v>
      </c>
      <c r="M269" t="n">
        <v>0</v>
      </c>
      <c r="N269" t="n">
        <v>0</v>
      </c>
      <c r="O269" t="n">
        <v>0</v>
      </c>
      <c r="P269" t="n">
        <v>0</v>
      </c>
      <c r="Q269" t="n">
        <v>0</v>
      </c>
      <c r="R269" s="2" t="inlineStr"/>
    </row>
    <row r="270" ht="15" customHeight="1">
      <c r="A270" t="inlineStr">
        <is>
          <t>A 22279-2025</t>
        </is>
      </c>
      <c r="B270" s="1" t="n">
        <v>45786.33336805556</v>
      </c>
      <c r="C270" s="1" t="n">
        <v>45887</v>
      </c>
      <c r="D270" t="inlineStr">
        <is>
          <t>DALARNAS LÄN</t>
        </is>
      </c>
      <c r="E270" t="inlineStr">
        <is>
          <t>ÄLVDALEN</t>
        </is>
      </c>
      <c r="F270" t="inlineStr">
        <is>
          <t>Allmännings- och besparingsskogar</t>
        </is>
      </c>
      <c r="G270" t="n">
        <v>11.2</v>
      </c>
      <c r="H270" t="n">
        <v>0</v>
      </c>
      <c r="I270" t="n">
        <v>0</v>
      </c>
      <c r="J270" t="n">
        <v>0</v>
      </c>
      <c r="K270" t="n">
        <v>0</v>
      </c>
      <c r="L270" t="n">
        <v>0</v>
      </c>
      <c r="M270" t="n">
        <v>0</v>
      </c>
      <c r="N270" t="n">
        <v>0</v>
      </c>
      <c r="O270" t="n">
        <v>0</v>
      </c>
      <c r="P270" t="n">
        <v>0</v>
      </c>
      <c r="Q270" t="n">
        <v>0</v>
      </c>
      <c r="R270" s="2" t="inlineStr"/>
    </row>
    <row r="271" ht="15" customHeight="1">
      <c r="A271" t="inlineStr">
        <is>
          <t>A 47525-2024</t>
        </is>
      </c>
      <c r="B271" s="1" t="n">
        <v>45587.6328587963</v>
      </c>
      <c r="C271" s="1" t="n">
        <v>45887</v>
      </c>
      <c r="D271" t="inlineStr">
        <is>
          <t>DALARNAS LÄN</t>
        </is>
      </c>
      <c r="E271" t="inlineStr">
        <is>
          <t>ÄLVDALEN</t>
        </is>
      </c>
      <c r="F271" t="inlineStr">
        <is>
          <t>Bergvik skog väst AB</t>
        </is>
      </c>
      <c r="G271" t="n">
        <v>4.6</v>
      </c>
      <c r="H271" t="n">
        <v>0</v>
      </c>
      <c r="I271" t="n">
        <v>0</v>
      </c>
      <c r="J271" t="n">
        <v>0</v>
      </c>
      <c r="K271" t="n">
        <v>0</v>
      </c>
      <c r="L271" t="n">
        <v>0</v>
      </c>
      <c r="M271" t="n">
        <v>0</v>
      </c>
      <c r="N271" t="n">
        <v>0</v>
      </c>
      <c r="O271" t="n">
        <v>0</v>
      </c>
      <c r="P271" t="n">
        <v>0</v>
      </c>
      <c r="Q271" t="n">
        <v>0</v>
      </c>
      <c r="R271" s="2" t="inlineStr"/>
    </row>
    <row r="272" ht="15" customHeight="1">
      <c r="A272" t="inlineStr">
        <is>
          <t>A 34835-2023</t>
        </is>
      </c>
      <c r="B272" s="1" t="n">
        <v>45141</v>
      </c>
      <c r="C272" s="1" t="n">
        <v>45887</v>
      </c>
      <c r="D272" t="inlineStr">
        <is>
          <t>DALARNAS LÄN</t>
        </is>
      </c>
      <c r="E272" t="inlineStr">
        <is>
          <t>ÄLVDALEN</t>
        </is>
      </c>
      <c r="G272" t="n">
        <v>3.4</v>
      </c>
      <c r="H272" t="n">
        <v>0</v>
      </c>
      <c r="I272" t="n">
        <v>0</v>
      </c>
      <c r="J272" t="n">
        <v>0</v>
      </c>
      <c r="K272" t="n">
        <v>0</v>
      </c>
      <c r="L272" t="n">
        <v>0</v>
      </c>
      <c r="M272" t="n">
        <v>0</v>
      </c>
      <c r="N272" t="n">
        <v>0</v>
      </c>
      <c r="O272" t="n">
        <v>0</v>
      </c>
      <c r="P272" t="n">
        <v>0</v>
      </c>
      <c r="Q272" t="n">
        <v>0</v>
      </c>
      <c r="R272" s="2" t="inlineStr"/>
    </row>
    <row r="273" ht="15" customHeight="1">
      <c r="A273" t="inlineStr">
        <is>
          <t>A 30727-2024</t>
        </is>
      </c>
      <c r="B273" s="1" t="n">
        <v>45496.55789351852</v>
      </c>
      <c r="C273" s="1" t="n">
        <v>45887</v>
      </c>
      <c r="D273" t="inlineStr">
        <is>
          <t>DALARNAS LÄN</t>
        </is>
      </c>
      <c r="E273" t="inlineStr">
        <is>
          <t>ÄLVDALEN</t>
        </is>
      </c>
      <c r="F273" t="inlineStr">
        <is>
          <t>Allmännings- och besparingsskogar</t>
        </is>
      </c>
      <c r="G273" t="n">
        <v>35.7</v>
      </c>
      <c r="H273" t="n">
        <v>0</v>
      </c>
      <c r="I273" t="n">
        <v>0</v>
      </c>
      <c r="J273" t="n">
        <v>0</v>
      </c>
      <c r="K273" t="n">
        <v>0</v>
      </c>
      <c r="L273" t="n">
        <v>0</v>
      </c>
      <c r="M273" t="n">
        <v>0</v>
      </c>
      <c r="N273" t="n">
        <v>0</v>
      </c>
      <c r="O273" t="n">
        <v>0</v>
      </c>
      <c r="P273" t="n">
        <v>0</v>
      </c>
      <c r="Q273" t="n">
        <v>0</v>
      </c>
      <c r="R273" s="2" t="inlineStr"/>
    </row>
    <row r="274" ht="15" customHeight="1">
      <c r="A274" t="inlineStr">
        <is>
          <t>A 19708-2024</t>
        </is>
      </c>
      <c r="B274" s="1" t="n">
        <v>45432.55324074074</v>
      </c>
      <c r="C274" s="1" t="n">
        <v>45887</v>
      </c>
      <c r="D274" t="inlineStr">
        <is>
          <t>DALARNAS LÄN</t>
        </is>
      </c>
      <c r="E274" t="inlineStr">
        <is>
          <t>ÄLVDALEN</t>
        </is>
      </c>
      <c r="G274" t="n">
        <v>12.4</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45887</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45887</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45887</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17051-2023</t>
        </is>
      </c>
      <c r="B278" s="1" t="n">
        <v>45034</v>
      </c>
      <c r="C278" s="1" t="n">
        <v>45887</v>
      </c>
      <c r="D278" t="inlineStr">
        <is>
          <t>DALARNAS LÄN</t>
        </is>
      </c>
      <c r="E278" t="inlineStr">
        <is>
          <t>ÄLVDALEN</t>
        </is>
      </c>
      <c r="G278" t="n">
        <v>4.2</v>
      </c>
      <c r="H278" t="n">
        <v>0</v>
      </c>
      <c r="I278" t="n">
        <v>0</v>
      </c>
      <c r="J278" t="n">
        <v>0</v>
      </c>
      <c r="K278" t="n">
        <v>0</v>
      </c>
      <c r="L278" t="n">
        <v>0</v>
      </c>
      <c r="M278" t="n">
        <v>0</v>
      </c>
      <c r="N278" t="n">
        <v>0</v>
      </c>
      <c r="O278" t="n">
        <v>0</v>
      </c>
      <c r="P278" t="n">
        <v>0</v>
      </c>
      <c r="Q278" t="n">
        <v>0</v>
      </c>
      <c r="R278" s="2" t="inlineStr"/>
    </row>
    <row r="279" ht="15" customHeight="1">
      <c r="A279" t="inlineStr">
        <is>
          <t>A 22303-2025</t>
        </is>
      </c>
      <c r="B279" s="1" t="n">
        <v>45786</v>
      </c>
      <c r="C279" s="1" t="n">
        <v>45887</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22559-2025</t>
        </is>
      </c>
      <c r="B280" s="1" t="n">
        <v>45789.32916666667</v>
      </c>
      <c r="C280" s="1" t="n">
        <v>45887</v>
      </c>
      <c r="D280" t="inlineStr">
        <is>
          <t>DALARNAS LÄN</t>
        </is>
      </c>
      <c r="E280" t="inlineStr">
        <is>
          <t>ÄLVDALEN</t>
        </is>
      </c>
      <c r="F280" t="inlineStr">
        <is>
          <t>Allmännings- och besparingsskogar</t>
        </is>
      </c>
      <c r="G280" t="n">
        <v>6.4</v>
      </c>
      <c r="H280" t="n">
        <v>0</v>
      </c>
      <c r="I280" t="n">
        <v>0</v>
      </c>
      <c r="J280" t="n">
        <v>0</v>
      </c>
      <c r="K280" t="n">
        <v>0</v>
      </c>
      <c r="L280" t="n">
        <v>0</v>
      </c>
      <c r="M280" t="n">
        <v>0</v>
      </c>
      <c r="N280" t="n">
        <v>0</v>
      </c>
      <c r="O280" t="n">
        <v>0</v>
      </c>
      <c r="P280" t="n">
        <v>0</v>
      </c>
      <c r="Q280" t="n">
        <v>0</v>
      </c>
      <c r="R280" s="2" t="inlineStr"/>
    </row>
    <row r="281" ht="15" customHeight="1">
      <c r="A281" t="inlineStr">
        <is>
          <t>A 22631-2025</t>
        </is>
      </c>
      <c r="B281" s="1" t="n">
        <v>45789.44056712963</v>
      </c>
      <c r="C281" s="1" t="n">
        <v>45887</v>
      </c>
      <c r="D281" t="inlineStr">
        <is>
          <t>DALARNAS LÄN</t>
        </is>
      </c>
      <c r="E281" t="inlineStr">
        <is>
          <t>ÄLVDALEN</t>
        </is>
      </c>
      <c r="F281" t="inlineStr">
        <is>
          <t>Allmännings- och besparingsskogar</t>
        </is>
      </c>
      <c r="G281" t="n">
        <v>2</v>
      </c>
      <c r="H281" t="n">
        <v>0</v>
      </c>
      <c r="I281" t="n">
        <v>0</v>
      </c>
      <c r="J281" t="n">
        <v>0</v>
      </c>
      <c r="K281" t="n">
        <v>0</v>
      </c>
      <c r="L281" t="n">
        <v>0</v>
      </c>
      <c r="M281" t="n">
        <v>0</v>
      </c>
      <c r="N281" t="n">
        <v>0</v>
      </c>
      <c r="O281" t="n">
        <v>0</v>
      </c>
      <c r="P281" t="n">
        <v>0</v>
      </c>
      <c r="Q281" t="n">
        <v>0</v>
      </c>
      <c r="R281" s="2" t="inlineStr"/>
    </row>
    <row r="282" ht="15" customHeight="1">
      <c r="A282" t="inlineStr">
        <is>
          <t>A 47666-2024</t>
        </is>
      </c>
      <c r="B282" s="1" t="n">
        <v>45588.39283564815</v>
      </c>
      <c r="C282" s="1" t="n">
        <v>45887</v>
      </c>
      <c r="D282" t="inlineStr">
        <is>
          <t>DALARNAS LÄN</t>
        </is>
      </c>
      <c r="E282" t="inlineStr">
        <is>
          <t>ÄLVDALEN</t>
        </is>
      </c>
      <c r="G282" t="n">
        <v>1.5</v>
      </c>
      <c r="H282" t="n">
        <v>0</v>
      </c>
      <c r="I282" t="n">
        <v>0</v>
      </c>
      <c r="J282" t="n">
        <v>0</v>
      </c>
      <c r="K282" t="n">
        <v>0</v>
      </c>
      <c r="L282" t="n">
        <v>0</v>
      </c>
      <c r="M282" t="n">
        <v>0</v>
      </c>
      <c r="N282" t="n">
        <v>0</v>
      </c>
      <c r="O282" t="n">
        <v>0</v>
      </c>
      <c r="P282" t="n">
        <v>0</v>
      </c>
      <c r="Q282" t="n">
        <v>0</v>
      </c>
      <c r="R282" s="2" t="inlineStr"/>
    </row>
    <row r="283" ht="15" customHeight="1">
      <c r="A283" t="inlineStr">
        <is>
          <t>A 22909-2025</t>
        </is>
      </c>
      <c r="B283" s="1" t="n">
        <v>45790.42219907408</v>
      </c>
      <c r="C283" s="1" t="n">
        <v>45887</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47071-2023</t>
        </is>
      </c>
      <c r="B284" s="1" t="n">
        <v>45201.60141203704</v>
      </c>
      <c r="C284" s="1" t="n">
        <v>45887</v>
      </c>
      <c r="D284" t="inlineStr">
        <is>
          <t>DALARNAS LÄN</t>
        </is>
      </c>
      <c r="E284" t="inlineStr">
        <is>
          <t>ÄLVDALEN</t>
        </is>
      </c>
      <c r="F284" t="inlineStr">
        <is>
          <t>Bergvik skog väst AB</t>
        </is>
      </c>
      <c r="G284" t="n">
        <v>2.6</v>
      </c>
      <c r="H284" t="n">
        <v>0</v>
      </c>
      <c r="I284" t="n">
        <v>0</v>
      </c>
      <c r="J284" t="n">
        <v>0</v>
      </c>
      <c r="K284" t="n">
        <v>0</v>
      </c>
      <c r="L284" t="n">
        <v>0</v>
      </c>
      <c r="M284" t="n">
        <v>0</v>
      </c>
      <c r="N284" t="n">
        <v>0</v>
      </c>
      <c r="O284" t="n">
        <v>0</v>
      </c>
      <c r="P284" t="n">
        <v>0</v>
      </c>
      <c r="Q284" t="n">
        <v>0</v>
      </c>
      <c r="R284" s="2" t="inlineStr"/>
    </row>
    <row r="285" ht="15" customHeight="1">
      <c r="A285" t="inlineStr">
        <is>
          <t>A 50056-2024</t>
        </is>
      </c>
      <c r="B285" s="1" t="n">
        <v>45600.34134259259</v>
      </c>
      <c r="C285" s="1" t="n">
        <v>45887</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62314-2022</t>
        </is>
      </c>
      <c r="B286" s="1" t="n">
        <v>44916</v>
      </c>
      <c r="C286" s="1" t="n">
        <v>45887</v>
      </c>
      <c r="D286" t="inlineStr">
        <is>
          <t>DALARNAS LÄN</t>
        </is>
      </c>
      <c r="E286" t="inlineStr">
        <is>
          <t>ÄLVDALEN</t>
        </is>
      </c>
      <c r="G286" t="n">
        <v>2.7</v>
      </c>
      <c r="H286" t="n">
        <v>0</v>
      </c>
      <c r="I286" t="n">
        <v>0</v>
      </c>
      <c r="J286" t="n">
        <v>0</v>
      </c>
      <c r="K286" t="n">
        <v>0</v>
      </c>
      <c r="L286" t="n">
        <v>0</v>
      </c>
      <c r="M286" t="n">
        <v>0</v>
      </c>
      <c r="N286" t="n">
        <v>0</v>
      </c>
      <c r="O286" t="n">
        <v>0</v>
      </c>
      <c r="P286" t="n">
        <v>0</v>
      </c>
      <c r="Q286" t="n">
        <v>0</v>
      </c>
      <c r="R286" s="2" t="inlineStr"/>
    </row>
    <row r="287" ht="15" customHeight="1">
      <c r="A287" t="inlineStr">
        <is>
          <t>A 23555-2025</t>
        </is>
      </c>
      <c r="B287" s="1" t="n">
        <v>45792.57824074074</v>
      </c>
      <c r="C287" s="1" t="n">
        <v>45887</v>
      </c>
      <c r="D287" t="inlineStr">
        <is>
          <t>DALARNAS LÄN</t>
        </is>
      </c>
      <c r="E287" t="inlineStr">
        <is>
          <t>ÄLVDALEN</t>
        </is>
      </c>
      <c r="G287" t="n">
        <v>3.1</v>
      </c>
      <c r="H287" t="n">
        <v>0</v>
      </c>
      <c r="I287" t="n">
        <v>0</v>
      </c>
      <c r="J287" t="n">
        <v>0</v>
      </c>
      <c r="K287" t="n">
        <v>0</v>
      </c>
      <c r="L287" t="n">
        <v>0</v>
      </c>
      <c r="M287" t="n">
        <v>0</v>
      </c>
      <c r="N287" t="n">
        <v>0</v>
      </c>
      <c r="O287" t="n">
        <v>0</v>
      </c>
      <c r="P287" t="n">
        <v>0</v>
      </c>
      <c r="Q287" t="n">
        <v>0</v>
      </c>
      <c r="R287" s="2" t="inlineStr"/>
    </row>
    <row r="288" ht="15" customHeight="1">
      <c r="A288" t="inlineStr">
        <is>
          <t>A 51967-2023</t>
        </is>
      </c>
      <c r="B288" s="1" t="n">
        <v>45223.56440972222</v>
      </c>
      <c r="C288" s="1" t="n">
        <v>45887</v>
      </c>
      <c r="D288" t="inlineStr">
        <is>
          <t>DALARNAS LÄN</t>
        </is>
      </c>
      <c r="E288" t="inlineStr">
        <is>
          <t>ÄLVDALEN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23219-2025</t>
        </is>
      </c>
      <c r="B289" s="1" t="n">
        <v>45791.47893518519</v>
      </c>
      <c r="C289" s="1" t="n">
        <v>45887</v>
      </c>
      <c r="D289" t="inlineStr">
        <is>
          <t>DALARNAS LÄN</t>
        </is>
      </c>
      <c r="E289" t="inlineStr">
        <is>
          <t>ÄLVDALEN</t>
        </is>
      </c>
      <c r="F289" t="inlineStr">
        <is>
          <t>Bergvik skog öst AB</t>
        </is>
      </c>
      <c r="G289" t="n">
        <v>16.7</v>
      </c>
      <c r="H289" t="n">
        <v>0</v>
      </c>
      <c r="I289" t="n">
        <v>0</v>
      </c>
      <c r="J289" t="n">
        <v>0</v>
      </c>
      <c r="K289" t="n">
        <v>0</v>
      </c>
      <c r="L289" t="n">
        <v>0</v>
      </c>
      <c r="M289" t="n">
        <v>0</v>
      </c>
      <c r="N289" t="n">
        <v>0</v>
      </c>
      <c r="O289" t="n">
        <v>0</v>
      </c>
      <c r="P289" t="n">
        <v>0</v>
      </c>
      <c r="Q289" t="n">
        <v>0</v>
      </c>
      <c r="R289" s="2" t="inlineStr"/>
    </row>
    <row r="290" ht="15" customHeight="1">
      <c r="A290" t="inlineStr">
        <is>
          <t>A 21832-2021</t>
        </is>
      </c>
      <c r="B290" s="1" t="n">
        <v>44322.6378125</v>
      </c>
      <c r="C290" s="1" t="n">
        <v>45887</v>
      </c>
      <c r="D290" t="inlineStr">
        <is>
          <t>DALARNAS LÄN</t>
        </is>
      </c>
      <c r="E290" t="inlineStr">
        <is>
          <t>ÄLVDALEN</t>
        </is>
      </c>
      <c r="F290" t="inlineStr">
        <is>
          <t>Allmännings- och besparingsskogar</t>
        </is>
      </c>
      <c r="G290" t="n">
        <v>2.5</v>
      </c>
      <c r="H290" t="n">
        <v>0</v>
      </c>
      <c r="I290" t="n">
        <v>0</v>
      </c>
      <c r="J290" t="n">
        <v>0</v>
      </c>
      <c r="K290" t="n">
        <v>0</v>
      </c>
      <c r="L290" t="n">
        <v>0</v>
      </c>
      <c r="M290" t="n">
        <v>0</v>
      </c>
      <c r="N290" t="n">
        <v>0</v>
      </c>
      <c r="O290" t="n">
        <v>0</v>
      </c>
      <c r="P290" t="n">
        <v>0</v>
      </c>
      <c r="Q290" t="n">
        <v>0</v>
      </c>
      <c r="R290" s="2" t="inlineStr"/>
    </row>
    <row r="291" ht="15" customHeight="1">
      <c r="A291" t="inlineStr">
        <is>
          <t>A 47751-2024</t>
        </is>
      </c>
      <c r="B291" s="1" t="n">
        <v>45588.53628472222</v>
      </c>
      <c r="C291" s="1" t="n">
        <v>45887</v>
      </c>
      <c r="D291" t="inlineStr">
        <is>
          <t>DALARNAS LÄN</t>
        </is>
      </c>
      <c r="E291" t="inlineStr">
        <is>
          <t>ÄLVDALEN</t>
        </is>
      </c>
      <c r="G291" t="n">
        <v>0.6</v>
      </c>
      <c r="H291" t="n">
        <v>0</v>
      </c>
      <c r="I291" t="n">
        <v>0</v>
      </c>
      <c r="J291" t="n">
        <v>0</v>
      </c>
      <c r="K291" t="n">
        <v>0</v>
      </c>
      <c r="L291" t="n">
        <v>0</v>
      </c>
      <c r="M291" t="n">
        <v>0</v>
      </c>
      <c r="N291" t="n">
        <v>0</v>
      </c>
      <c r="O291" t="n">
        <v>0</v>
      </c>
      <c r="P291" t="n">
        <v>0</v>
      </c>
      <c r="Q291" t="n">
        <v>0</v>
      </c>
      <c r="R291" s="2" t="inlineStr"/>
    </row>
    <row r="292" ht="15" customHeight="1">
      <c r="A292" t="inlineStr">
        <is>
          <t>A 32352-2023</t>
        </is>
      </c>
      <c r="B292" s="1" t="n">
        <v>45120</v>
      </c>
      <c r="C292" s="1" t="n">
        <v>45887</v>
      </c>
      <c r="D292" t="inlineStr">
        <is>
          <t>DALARNAS LÄN</t>
        </is>
      </c>
      <c r="E292" t="inlineStr">
        <is>
          <t>ÄLVDALEN</t>
        </is>
      </c>
      <c r="G292" t="n">
        <v>2</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45887</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45887</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17558-2024</t>
        </is>
      </c>
      <c r="B295" s="1" t="n">
        <v>45415.66295138889</v>
      </c>
      <c r="C295" s="1" t="n">
        <v>45887</v>
      </c>
      <c r="D295" t="inlineStr">
        <is>
          <t>DALARNAS LÄN</t>
        </is>
      </c>
      <c r="E295" t="inlineStr">
        <is>
          <t>ÄLVDALEN</t>
        </is>
      </c>
      <c r="G295" t="n">
        <v>2.2</v>
      </c>
      <c r="H295" t="n">
        <v>0</v>
      </c>
      <c r="I295" t="n">
        <v>0</v>
      </c>
      <c r="J295" t="n">
        <v>0</v>
      </c>
      <c r="K295" t="n">
        <v>0</v>
      </c>
      <c r="L295" t="n">
        <v>0</v>
      </c>
      <c r="M295" t="n">
        <v>0</v>
      </c>
      <c r="N295" t="n">
        <v>0</v>
      </c>
      <c r="O295" t="n">
        <v>0</v>
      </c>
      <c r="P295" t="n">
        <v>0</v>
      </c>
      <c r="Q295" t="n">
        <v>0</v>
      </c>
      <c r="R295" s="2" t="inlineStr"/>
    </row>
    <row r="296" ht="15" customHeight="1">
      <c r="A296" t="inlineStr">
        <is>
          <t>A 23328-2024</t>
        </is>
      </c>
      <c r="B296" s="1" t="n">
        <v>45453.46716435185</v>
      </c>
      <c r="C296" s="1" t="n">
        <v>45887</v>
      </c>
      <c r="D296" t="inlineStr">
        <is>
          <t>DALARNAS LÄN</t>
        </is>
      </c>
      <c r="E296" t="inlineStr">
        <is>
          <t>ÄLVDALEN</t>
        </is>
      </c>
      <c r="G296" t="n">
        <v>2.7</v>
      </c>
      <c r="H296" t="n">
        <v>0</v>
      </c>
      <c r="I296" t="n">
        <v>0</v>
      </c>
      <c r="J296" t="n">
        <v>0</v>
      </c>
      <c r="K296" t="n">
        <v>0</v>
      </c>
      <c r="L296" t="n">
        <v>0</v>
      </c>
      <c r="M296" t="n">
        <v>0</v>
      </c>
      <c r="N296" t="n">
        <v>0</v>
      </c>
      <c r="O296" t="n">
        <v>0</v>
      </c>
      <c r="P296" t="n">
        <v>0</v>
      </c>
      <c r="Q296" t="n">
        <v>0</v>
      </c>
      <c r="R296" s="2" t="inlineStr"/>
    </row>
    <row r="297" ht="15" customHeight="1">
      <c r="A297" t="inlineStr">
        <is>
          <t>A 32237-2025</t>
        </is>
      </c>
      <c r="B297" s="1" t="n">
        <v>45835.61434027777</v>
      </c>
      <c r="C297" s="1" t="n">
        <v>45887</v>
      </c>
      <c r="D297" t="inlineStr">
        <is>
          <t>DALARNAS LÄN</t>
        </is>
      </c>
      <c r="E297" t="inlineStr">
        <is>
          <t>ÄLVDALEN</t>
        </is>
      </c>
      <c r="G297" t="n">
        <v>4.6</v>
      </c>
      <c r="H297" t="n">
        <v>0</v>
      </c>
      <c r="I297" t="n">
        <v>0</v>
      </c>
      <c r="J297" t="n">
        <v>0</v>
      </c>
      <c r="K297" t="n">
        <v>0</v>
      </c>
      <c r="L297" t="n">
        <v>0</v>
      </c>
      <c r="M297" t="n">
        <v>0</v>
      </c>
      <c r="N297" t="n">
        <v>0</v>
      </c>
      <c r="O297" t="n">
        <v>0</v>
      </c>
      <c r="P297" t="n">
        <v>0</v>
      </c>
      <c r="Q297" t="n">
        <v>0</v>
      </c>
      <c r="R297" s="2" t="inlineStr"/>
    </row>
    <row r="298" ht="15" customHeight="1">
      <c r="A298" t="inlineStr">
        <is>
          <t>A 47877-2023</t>
        </is>
      </c>
      <c r="B298" s="1" t="n">
        <v>45204</v>
      </c>
      <c r="C298" s="1" t="n">
        <v>45887</v>
      </c>
      <c r="D298" t="inlineStr">
        <is>
          <t>DALARNAS LÄN</t>
        </is>
      </c>
      <c r="E298" t="inlineStr">
        <is>
          <t>ÄLVDALEN</t>
        </is>
      </c>
      <c r="G298" t="n">
        <v>4.8</v>
      </c>
      <c r="H298" t="n">
        <v>0</v>
      </c>
      <c r="I298" t="n">
        <v>0</v>
      </c>
      <c r="J298" t="n">
        <v>0</v>
      </c>
      <c r="K298" t="n">
        <v>0</v>
      </c>
      <c r="L298" t="n">
        <v>0</v>
      </c>
      <c r="M298" t="n">
        <v>0</v>
      </c>
      <c r="N298" t="n">
        <v>0</v>
      </c>
      <c r="O298" t="n">
        <v>0</v>
      </c>
      <c r="P298" t="n">
        <v>0</v>
      </c>
      <c r="Q298" t="n">
        <v>0</v>
      </c>
      <c r="R298" s="2" t="inlineStr"/>
    </row>
    <row r="299" ht="15" customHeight="1">
      <c r="A299" t="inlineStr">
        <is>
          <t>A 47645-2024</t>
        </is>
      </c>
      <c r="B299" s="1" t="n">
        <v>45588.37167824074</v>
      </c>
      <c r="C299" s="1" t="n">
        <v>45887</v>
      </c>
      <c r="D299" t="inlineStr">
        <is>
          <t>DALARNAS LÄN</t>
        </is>
      </c>
      <c r="E299" t="inlineStr">
        <is>
          <t>ÄLVDALEN</t>
        </is>
      </c>
      <c r="G299" t="n">
        <v>4.6</v>
      </c>
      <c r="H299" t="n">
        <v>0</v>
      </c>
      <c r="I299" t="n">
        <v>0</v>
      </c>
      <c r="J299" t="n">
        <v>0</v>
      </c>
      <c r="K299" t="n">
        <v>0</v>
      </c>
      <c r="L299" t="n">
        <v>0</v>
      </c>
      <c r="M299" t="n">
        <v>0</v>
      </c>
      <c r="N299" t="n">
        <v>0</v>
      </c>
      <c r="O299" t="n">
        <v>0</v>
      </c>
      <c r="P299" t="n">
        <v>0</v>
      </c>
      <c r="Q299" t="n">
        <v>0</v>
      </c>
      <c r="R299" s="2" t="inlineStr"/>
    </row>
    <row r="300" ht="15" customHeight="1">
      <c r="A300" t="inlineStr">
        <is>
          <t>A 33102-2023</t>
        </is>
      </c>
      <c r="B300" s="1" t="n">
        <v>45114</v>
      </c>
      <c r="C300" s="1" t="n">
        <v>45887</v>
      </c>
      <c r="D300" t="inlineStr">
        <is>
          <t>DALARNAS LÄN</t>
        </is>
      </c>
      <c r="E300" t="inlineStr">
        <is>
          <t>ÄLVDALEN</t>
        </is>
      </c>
      <c r="G300" t="n">
        <v>1.6</v>
      </c>
      <c r="H300" t="n">
        <v>0</v>
      </c>
      <c r="I300" t="n">
        <v>0</v>
      </c>
      <c r="J300" t="n">
        <v>0</v>
      </c>
      <c r="K300" t="n">
        <v>0</v>
      </c>
      <c r="L300" t="n">
        <v>0</v>
      </c>
      <c r="M300" t="n">
        <v>0</v>
      </c>
      <c r="N300" t="n">
        <v>0</v>
      </c>
      <c r="O300" t="n">
        <v>0</v>
      </c>
      <c r="P300" t="n">
        <v>0</v>
      </c>
      <c r="Q300" t="n">
        <v>0</v>
      </c>
      <c r="R300" s="2" t="inlineStr"/>
    </row>
    <row r="301" ht="15" customHeight="1">
      <c r="A301" t="inlineStr">
        <is>
          <t>A 33107-2023</t>
        </is>
      </c>
      <c r="B301" s="1" t="n">
        <v>45114</v>
      </c>
      <c r="C301" s="1" t="n">
        <v>45887</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713-2022</t>
        </is>
      </c>
      <c r="B302" s="1" t="n">
        <v>44568</v>
      </c>
      <c r="C302" s="1" t="n">
        <v>45887</v>
      </c>
      <c r="D302" t="inlineStr">
        <is>
          <t>DALARNAS LÄN</t>
        </is>
      </c>
      <c r="E302" t="inlineStr">
        <is>
          <t>ÄLVDALEN</t>
        </is>
      </c>
      <c r="G302" t="n">
        <v>1.6</v>
      </c>
      <c r="H302" t="n">
        <v>0</v>
      </c>
      <c r="I302" t="n">
        <v>0</v>
      </c>
      <c r="J302" t="n">
        <v>0</v>
      </c>
      <c r="K302" t="n">
        <v>0</v>
      </c>
      <c r="L302" t="n">
        <v>0</v>
      </c>
      <c r="M302" t="n">
        <v>0</v>
      </c>
      <c r="N302" t="n">
        <v>0</v>
      </c>
      <c r="O302" t="n">
        <v>0</v>
      </c>
      <c r="P302" t="n">
        <v>0</v>
      </c>
      <c r="Q302" t="n">
        <v>0</v>
      </c>
      <c r="R302" s="2" t="inlineStr"/>
    </row>
    <row r="303" ht="15" customHeight="1">
      <c r="A303" t="inlineStr">
        <is>
          <t>A 59478-2024</t>
        </is>
      </c>
      <c r="B303" s="1" t="n">
        <v>45638.52181712963</v>
      </c>
      <c r="C303" s="1" t="n">
        <v>45887</v>
      </c>
      <c r="D303" t="inlineStr">
        <is>
          <t>DALARNAS LÄN</t>
        </is>
      </c>
      <c r="E303" t="inlineStr">
        <is>
          <t>ÄLVDALEN</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row>
    <row r="304" ht="15" customHeight="1">
      <c r="A304" t="inlineStr">
        <is>
          <t>A 24637-2025</t>
        </is>
      </c>
      <c r="B304" s="1" t="n">
        <v>45798.616875</v>
      </c>
      <c r="C304" s="1" t="n">
        <v>45887</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row>
    <row r="305" ht="15" customHeight="1">
      <c r="A305" t="inlineStr">
        <is>
          <t>A 32187-2024</t>
        </is>
      </c>
      <c r="B305" s="1" t="n">
        <v>45511.64925925926</v>
      </c>
      <c r="C305" s="1" t="n">
        <v>45887</v>
      </c>
      <c r="D305" t="inlineStr">
        <is>
          <t>DALARNAS LÄN</t>
        </is>
      </c>
      <c r="E305" t="inlineStr">
        <is>
          <t>ÄLVDALEN</t>
        </is>
      </c>
      <c r="F305" t="inlineStr">
        <is>
          <t>Allmännings- och besparingsskogar</t>
        </is>
      </c>
      <c r="G305" t="n">
        <v>20</v>
      </c>
      <c r="H305" t="n">
        <v>0</v>
      </c>
      <c r="I305" t="n">
        <v>0</v>
      </c>
      <c r="J305" t="n">
        <v>0</v>
      </c>
      <c r="K305" t="n">
        <v>0</v>
      </c>
      <c r="L305" t="n">
        <v>0</v>
      </c>
      <c r="M305" t="n">
        <v>0</v>
      </c>
      <c r="N305" t="n">
        <v>0</v>
      </c>
      <c r="O305" t="n">
        <v>0</v>
      </c>
      <c r="P305" t="n">
        <v>0</v>
      </c>
      <c r="Q305" t="n">
        <v>0</v>
      </c>
      <c r="R305" s="2" t="inlineStr"/>
    </row>
    <row r="306" ht="15" customHeight="1">
      <c r="A306" t="inlineStr">
        <is>
          <t>A 760-2025</t>
        </is>
      </c>
      <c r="B306" s="1" t="n">
        <v>45665.44936342593</v>
      </c>
      <c r="C306" s="1" t="n">
        <v>45887</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777-2025</t>
        </is>
      </c>
      <c r="B307" s="1" t="n">
        <v>45665.47403935185</v>
      </c>
      <c r="C307" s="1" t="n">
        <v>45887</v>
      </c>
      <c r="D307" t="inlineStr">
        <is>
          <t>DALARNAS LÄN</t>
        </is>
      </c>
      <c r="E307" t="inlineStr">
        <is>
          <t>ÄLVDALEN</t>
        </is>
      </c>
      <c r="G307" t="n">
        <v>2.4</v>
      </c>
      <c r="H307" t="n">
        <v>0</v>
      </c>
      <c r="I307" t="n">
        <v>0</v>
      </c>
      <c r="J307" t="n">
        <v>0</v>
      </c>
      <c r="K307" t="n">
        <v>0</v>
      </c>
      <c r="L307" t="n">
        <v>0</v>
      </c>
      <c r="M307" t="n">
        <v>0</v>
      </c>
      <c r="N307" t="n">
        <v>0</v>
      </c>
      <c r="O307" t="n">
        <v>0</v>
      </c>
      <c r="P307" t="n">
        <v>0</v>
      </c>
      <c r="Q307" t="n">
        <v>0</v>
      </c>
      <c r="R307" s="2" t="inlineStr"/>
    </row>
    <row r="308" ht="15" customHeight="1">
      <c r="A308" t="inlineStr">
        <is>
          <t>A 54076-2024</t>
        </is>
      </c>
      <c r="B308" s="1" t="n">
        <v>45616</v>
      </c>
      <c r="C308" s="1" t="n">
        <v>45887</v>
      </c>
      <c r="D308" t="inlineStr">
        <is>
          <t>DALARNAS LÄN</t>
        </is>
      </c>
      <c r="E308" t="inlineStr">
        <is>
          <t>ÄLVDALEN</t>
        </is>
      </c>
      <c r="G308" t="n">
        <v>1.7</v>
      </c>
      <c r="H308" t="n">
        <v>0</v>
      </c>
      <c r="I308" t="n">
        <v>0</v>
      </c>
      <c r="J308" t="n">
        <v>0</v>
      </c>
      <c r="K308" t="n">
        <v>0</v>
      </c>
      <c r="L308" t="n">
        <v>0</v>
      </c>
      <c r="M308" t="n">
        <v>0</v>
      </c>
      <c r="N308" t="n">
        <v>0</v>
      </c>
      <c r="O308" t="n">
        <v>0</v>
      </c>
      <c r="P308" t="n">
        <v>0</v>
      </c>
      <c r="Q308" t="n">
        <v>0</v>
      </c>
      <c r="R308" s="2" t="inlineStr"/>
    </row>
    <row r="309" ht="15" customHeight="1">
      <c r="A309" t="inlineStr">
        <is>
          <t>A 57665-2024</t>
        </is>
      </c>
      <c r="B309" s="1" t="n">
        <v>45630.62005787037</v>
      </c>
      <c r="C309" s="1" t="n">
        <v>45887</v>
      </c>
      <c r="D309" t="inlineStr">
        <is>
          <t>DALARNAS LÄN</t>
        </is>
      </c>
      <c r="E309" t="inlineStr">
        <is>
          <t>ÄLVDALEN</t>
        </is>
      </c>
      <c r="F309" t="inlineStr">
        <is>
          <t>Allmännings- och besparingsskogar</t>
        </is>
      </c>
      <c r="G309" t="n">
        <v>2</v>
      </c>
      <c r="H309" t="n">
        <v>0</v>
      </c>
      <c r="I309" t="n">
        <v>0</v>
      </c>
      <c r="J309" t="n">
        <v>0</v>
      </c>
      <c r="K309" t="n">
        <v>0</v>
      </c>
      <c r="L309" t="n">
        <v>0</v>
      </c>
      <c r="M309" t="n">
        <v>0</v>
      </c>
      <c r="N309" t="n">
        <v>0</v>
      </c>
      <c r="O309" t="n">
        <v>0</v>
      </c>
      <c r="P309" t="n">
        <v>0</v>
      </c>
      <c r="Q309" t="n">
        <v>0</v>
      </c>
      <c r="R309" s="2" t="inlineStr"/>
    </row>
    <row r="310" ht="15" customHeight="1">
      <c r="A310" t="inlineStr">
        <is>
          <t>A 24950-2025</t>
        </is>
      </c>
      <c r="B310" s="1" t="n">
        <v>45799.56943287037</v>
      </c>
      <c r="C310" s="1" t="n">
        <v>45887</v>
      </c>
      <c r="D310" t="inlineStr">
        <is>
          <t>DALARNAS LÄN</t>
        </is>
      </c>
      <c r="E310" t="inlineStr">
        <is>
          <t>ÄLVDALEN</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74322-2021</t>
        </is>
      </c>
      <c r="B311" s="1" t="n">
        <v>44558</v>
      </c>
      <c r="C311" s="1" t="n">
        <v>45887</v>
      </c>
      <c r="D311" t="inlineStr">
        <is>
          <t>DALARNAS LÄN</t>
        </is>
      </c>
      <c r="E311" t="inlineStr">
        <is>
          <t>ÄLVDALEN</t>
        </is>
      </c>
      <c r="G311" t="n">
        <v>1.2</v>
      </c>
      <c r="H311" t="n">
        <v>0</v>
      </c>
      <c r="I311" t="n">
        <v>0</v>
      </c>
      <c r="J311" t="n">
        <v>0</v>
      </c>
      <c r="K311" t="n">
        <v>0</v>
      </c>
      <c r="L311" t="n">
        <v>0</v>
      </c>
      <c r="M311" t="n">
        <v>0</v>
      </c>
      <c r="N311" t="n">
        <v>0</v>
      </c>
      <c r="O311" t="n">
        <v>0</v>
      </c>
      <c r="P311" t="n">
        <v>0</v>
      </c>
      <c r="Q311" t="n">
        <v>0</v>
      </c>
      <c r="R311" s="2" t="inlineStr"/>
    </row>
    <row r="312" ht="15" customHeight="1">
      <c r="A312" t="inlineStr">
        <is>
          <t>A 30414-2024</t>
        </is>
      </c>
      <c r="B312" s="1" t="n">
        <v>45491.63538194444</v>
      </c>
      <c r="C312" s="1" t="n">
        <v>45887</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25086-2025</t>
        </is>
      </c>
      <c r="B313" s="1" t="n">
        <v>45800</v>
      </c>
      <c r="C313" s="1" t="n">
        <v>45887</v>
      </c>
      <c r="D313" t="inlineStr">
        <is>
          <t>DALARNAS LÄN</t>
        </is>
      </c>
      <c r="E313" t="inlineStr">
        <is>
          <t>ÄLVDALEN</t>
        </is>
      </c>
      <c r="F313" t="inlineStr">
        <is>
          <t>Sveaskog</t>
        </is>
      </c>
      <c r="G313" t="n">
        <v>10.7</v>
      </c>
      <c r="H313" t="n">
        <v>0</v>
      </c>
      <c r="I313" t="n">
        <v>0</v>
      </c>
      <c r="J313" t="n">
        <v>0</v>
      </c>
      <c r="K313" t="n">
        <v>0</v>
      </c>
      <c r="L313" t="n">
        <v>0</v>
      </c>
      <c r="M313" t="n">
        <v>0</v>
      </c>
      <c r="N313" t="n">
        <v>0</v>
      </c>
      <c r="O313" t="n">
        <v>0</v>
      </c>
      <c r="P313" t="n">
        <v>0</v>
      </c>
      <c r="Q313" t="n">
        <v>0</v>
      </c>
      <c r="R313" s="2" t="inlineStr"/>
    </row>
    <row r="314" ht="15" customHeight="1">
      <c r="A314" t="inlineStr">
        <is>
          <t>A 57533-2024</t>
        </is>
      </c>
      <c r="B314" s="1" t="n">
        <v>45630.4246875</v>
      </c>
      <c r="C314" s="1" t="n">
        <v>45887</v>
      </c>
      <c r="D314" t="inlineStr">
        <is>
          <t>DALARNAS LÄN</t>
        </is>
      </c>
      <c r="E314" t="inlineStr">
        <is>
          <t>ÄLVDALEN</t>
        </is>
      </c>
      <c r="G314" t="n">
        <v>2.5</v>
      </c>
      <c r="H314" t="n">
        <v>0</v>
      </c>
      <c r="I314" t="n">
        <v>0</v>
      </c>
      <c r="J314" t="n">
        <v>0</v>
      </c>
      <c r="K314" t="n">
        <v>0</v>
      </c>
      <c r="L314" t="n">
        <v>0</v>
      </c>
      <c r="M314" t="n">
        <v>0</v>
      </c>
      <c r="N314" t="n">
        <v>0</v>
      </c>
      <c r="O314" t="n">
        <v>0</v>
      </c>
      <c r="P314" t="n">
        <v>0</v>
      </c>
      <c r="Q314" t="n">
        <v>0</v>
      </c>
      <c r="R314" s="2" t="inlineStr"/>
    </row>
    <row r="315" ht="15" customHeight="1">
      <c r="A315" t="inlineStr">
        <is>
          <t>A 37730-2023</t>
        </is>
      </c>
      <c r="B315" s="1" t="n">
        <v>45159</v>
      </c>
      <c r="C315" s="1" t="n">
        <v>45887</v>
      </c>
      <c r="D315" t="inlineStr">
        <is>
          <t>DALARNAS LÄN</t>
        </is>
      </c>
      <c r="E315" t="inlineStr">
        <is>
          <t>ÄLVDALEN</t>
        </is>
      </c>
      <c r="G315" t="n">
        <v>5.4</v>
      </c>
      <c r="H315" t="n">
        <v>0</v>
      </c>
      <c r="I315" t="n">
        <v>0</v>
      </c>
      <c r="J315" t="n">
        <v>0</v>
      </c>
      <c r="K315" t="n">
        <v>0</v>
      </c>
      <c r="L315" t="n">
        <v>0</v>
      </c>
      <c r="M315" t="n">
        <v>0</v>
      </c>
      <c r="N315" t="n">
        <v>0</v>
      </c>
      <c r="O315" t="n">
        <v>0</v>
      </c>
      <c r="P315" t="n">
        <v>0</v>
      </c>
      <c r="Q315" t="n">
        <v>0</v>
      </c>
      <c r="R315" s="2" t="inlineStr"/>
    </row>
    <row r="316" ht="15" customHeight="1">
      <c r="A316" t="inlineStr">
        <is>
          <t>A 25879-2025</t>
        </is>
      </c>
      <c r="B316" s="1" t="n">
        <v>45804.49605324074</v>
      </c>
      <c r="C316" s="1" t="n">
        <v>45887</v>
      </c>
      <c r="D316" t="inlineStr">
        <is>
          <t>DALARNAS LÄN</t>
        </is>
      </c>
      <c r="E316" t="inlineStr">
        <is>
          <t>ÄLVDALEN</t>
        </is>
      </c>
      <c r="F316" t="inlineStr">
        <is>
          <t>Allmännings- och besparingsskogar</t>
        </is>
      </c>
      <c r="G316" t="n">
        <v>0.2</v>
      </c>
      <c r="H316" t="n">
        <v>0</v>
      </c>
      <c r="I316" t="n">
        <v>0</v>
      </c>
      <c r="J316" t="n">
        <v>0</v>
      </c>
      <c r="K316" t="n">
        <v>0</v>
      </c>
      <c r="L316" t="n">
        <v>0</v>
      </c>
      <c r="M316" t="n">
        <v>0</v>
      </c>
      <c r="N316" t="n">
        <v>0</v>
      </c>
      <c r="O316" t="n">
        <v>0</v>
      </c>
      <c r="P316" t="n">
        <v>0</v>
      </c>
      <c r="Q316" t="n">
        <v>0</v>
      </c>
      <c r="R316" s="2" t="inlineStr"/>
    </row>
    <row r="317" ht="15" customHeight="1">
      <c r="A317" t="inlineStr">
        <is>
          <t>A 59545-2024</t>
        </is>
      </c>
      <c r="B317" s="1" t="n">
        <v>45638.62018518519</v>
      </c>
      <c r="C317" s="1" t="n">
        <v>45887</v>
      </c>
      <c r="D317" t="inlineStr">
        <is>
          <t>DALARNAS LÄN</t>
        </is>
      </c>
      <c r="E317" t="inlineStr">
        <is>
          <t>ÄLVDALEN</t>
        </is>
      </c>
      <c r="G317" t="n">
        <v>7.9</v>
      </c>
      <c r="H317" t="n">
        <v>0</v>
      </c>
      <c r="I317" t="n">
        <v>0</v>
      </c>
      <c r="J317" t="n">
        <v>0</v>
      </c>
      <c r="K317" t="n">
        <v>0</v>
      </c>
      <c r="L317" t="n">
        <v>0</v>
      </c>
      <c r="M317" t="n">
        <v>0</v>
      </c>
      <c r="N317" t="n">
        <v>0</v>
      </c>
      <c r="O317" t="n">
        <v>0</v>
      </c>
      <c r="P317" t="n">
        <v>0</v>
      </c>
      <c r="Q317" t="n">
        <v>0</v>
      </c>
      <c r="R317" s="2" t="inlineStr"/>
    </row>
    <row r="318" ht="15" customHeight="1">
      <c r="A318" t="inlineStr">
        <is>
          <t>A 38277-2024</t>
        </is>
      </c>
      <c r="B318" s="1" t="n">
        <v>45545.61171296296</v>
      </c>
      <c r="C318" s="1" t="n">
        <v>45887</v>
      </c>
      <c r="D318" t="inlineStr">
        <is>
          <t>DALARNAS LÄN</t>
        </is>
      </c>
      <c r="E318" t="inlineStr">
        <is>
          <t>ÄLVDALEN</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13000-2022</t>
        </is>
      </c>
      <c r="B319" s="1" t="n">
        <v>44643.44597222222</v>
      </c>
      <c r="C319" s="1" t="n">
        <v>45887</v>
      </c>
      <c r="D319" t="inlineStr">
        <is>
          <t>DALARNAS LÄN</t>
        </is>
      </c>
      <c r="E319" t="inlineStr">
        <is>
          <t>ÄLVDALEN</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23999-2024</t>
        </is>
      </c>
      <c r="B320" s="1" t="n">
        <v>45456.37555555555</v>
      </c>
      <c r="C320" s="1" t="n">
        <v>45887</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24002-2024</t>
        </is>
      </c>
      <c r="B321" s="1" t="n">
        <v>45456.3827662037</v>
      </c>
      <c r="C321" s="1" t="n">
        <v>45887</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25754-2025</t>
        </is>
      </c>
      <c r="B322" s="1" t="n">
        <v>45804.32020833333</v>
      </c>
      <c r="C322" s="1" t="n">
        <v>45887</v>
      </c>
      <c r="D322" t="inlineStr">
        <is>
          <t>DALARNAS LÄN</t>
        </is>
      </c>
      <c r="E322" t="inlineStr">
        <is>
          <t>ÄLVDALEN</t>
        </is>
      </c>
      <c r="F322" t="inlineStr">
        <is>
          <t>Kommuner</t>
        </is>
      </c>
      <c r="G322" t="n">
        <v>2.2</v>
      </c>
      <c r="H322" t="n">
        <v>0</v>
      </c>
      <c r="I322" t="n">
        <v>0</v>
      </c>
      <c r="J322" t="n">
        <v>0</v>
      </c>
      <c r="K322" t="n">
        <v>0</v>
      </c>
      <c r="L322" t="n">
        <v>0</v>
      </c>
      <c r="M322" t="n">
        <v>0</v>
      </c>
      <c r="N322" t="n">
        <v>0</v>
      </c>
      <c r="O322" t="n">
        <v>0</v>
      </c>
      <c r="P322" t="n">
        <v>0</v>
      </c>
      <c r="Q322" t="n">
        <v>0</v>
      </c>
      <c r="R322" s="2" t="inlineStr"/>
    </row>
    <row r="323" ht="15" customHeight="1">
      <c r="A323" t="inlineStr">
        <is>
          <t>A 25823-2025</t>
        </is>
      </c>
      <c r="B323" s="1" t="n">
        <v>45804.4396412037</v>
      </c>
      <c r="C323" s="1" t="n">
        <v>45887</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50037-2022</t>
        </is>
      </c>
      <c r="B324" s="1" t="n">
        <v>44865.46136574074</v>
      </c>
      <c r="C324" s="1" t="n">
        <v>45887</v>
      </c>
      <c r="D324" t="inlineStr">
        <is>
          <t>DALARNAS LÄN</t>
        </is>
      </c>
      <c r="E324" t="inlineStr">
        <is>
          <t>ÄLVDALEN</t>
        </is>
      </c>
      <c r="F324" t="inlineStr">
        <is>
          <t>Allmännings- och besparingsskogar</t>
        </is>
      </c>
      <c r="G324" t="n">
        <v>5.8</v>
      </c>
      <c r="H324" t="n">
        <v>0</v>
      </c>
      <c r="I324" t="n">
        <v>0</v>
      </c>
      <c r="J324" t="n">
        <v>0</v>
      </c>
      <c r="K324" t="n">
        <v>0</v>
      </c>
      <c r="L324" t="n">
        <v>0</v>
      </c>
      <c r="M324" t="n">
        <v>0</v>
      </c>
      <c r="N324" t="n">
        <v>0</v>
      </c>
      <c r="O324" t="n">
        <v>0</v>
      </c>
      <c r="P324" t="n">
        <v>0</v>
      </c>
      <c r="Q324" t="n">
        <v>0</v>
      </c>
      <c r="R324" s="2" t="inlineStr"/>
    </row>
    <row r="325" ht="15" customHeight="1">
      <c r="A325" t="inlineStr">
        <is>
          <t>A 25758-2025</t>
        </is>
      </c>
      <c r="B325" s="1" t="n">
        <v>45804.33314814815</v>
      </c>
      <c r="C325" s="1" t="n">
        <v>45887</v>
      </c>
      <c r="D325" t="inlineStr">
        <is>
          <t>DALARNAS LÄN</t>
        </is>
      </c>
      <c r="E325" t="inlineStr">
        <is>
          <t>ÄLVDALEN</t>
        </is>
      </c>
      <c r="F325" t="inlineStr">
        <is>
          <t>Kommuner</t>
        </is>
      </c>
      <c r="G325" t="n">
        <v>2.2</v>
      </c>
      <c r="H325" t="n">
        <v>0</v>
      </c>
      <c r="I325" t="n">
        <v>0</v>
      </c>
      <c r="J325" t="n">
        <v>0</v>
      </c>
      <c r="K325" t="n">
        <v>0</v>
      </c>
      <c r="L325" t="n">
        <v>0</v>
      </c>
      <c r="M325" t="n">
        <v>0</v>
      </c>
      <c r="N325" t="n">
        <v>0</v>
      </c>
      <c r="O325" t="n">
        <v>0</v>
      </c>
      <c r="P325" t="n">
        <v>0</v>
      </c>
      <c r="Q325" t="n">
        <v>0</v>
      </c>
      <c r="R325" s="2" t="inlineStr"/>
    </row>
    <row r="326" ht="15" customHeight="1">
      <c r="A326" t="inlineStr">
        <is>
          <t>A 34705-2025</t>
        </is>
      </c>
      <c r="B326" s="1" t="n">
        <v>45848.49012731481</v>
      </c>
      <c r="C326" s="1" t="n">
        <v>45887</v>
      </c>
      <c r="D326" t="inlineStr">
        <is>
          <t>DALARNAS LÄN</t>
        </is>
      </c>
      <c r="E326" t="inlineStr">
        <is>
          <t>ÄLVDALEN</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34739-2025</t>
        </is>
      </c>
      <c r="B327" s="1" t="n">
        <v>45848.60682870371</v>
      </c>
      <c r="C327" s="1" t="n">
        <v>45887</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34526-2025</t>
        </is>
      </c>
      <c r="B328" s="1" t="n">
        <v>45847.47820601852</v>
      </c>
      <c r="C328" s="1" t="n">
        <v>45887</v>
      </c>
      <c r="D328" t="inlineStr">
        <is>
          <t>DALARNAS LÄN</t>
        </is>
      </c>
      <c r="E328" t="inlineStr">
        <is>
          <t>ÄLVDALEN</t>
        </is>
      </c>
      <c r="F328" t="inlineStr">
        <is>
          <t>Allmännings- och besparingsskogar</t>
        </is>
      </c>
      <c r="G328" t="n">
        <v>3.9</v>
      </c>
      <c r="H328" t="n">
        <v>0</v>
      </c>
      <c r="I328" t="n">
        <v>0</v>
      </c>
      <c r="J328" t="n">
        <v>0</v>
      </c>
      <c r="K328" t="n">
        <v>0</v>
      </c>
      <c r="L328" t="n">
        <v>0</v>
      </c>
      <c r="M328" t="n">
        <v>0</v>
      </c>
      <c r="N328" t="n">
        <v>0</v>
      </c>
      <c r="O328" t="n">
        <v>0</v>
      </c>
      <c r="P328" t="n">
        <v>0</v>
      </c>
      <c r="Q328" t="n">
        <v>0</v>
      </c>
      <c r="R328" s="2" t="inlineStr"/>
    </row>
    <row r="329" ht="15" customHeight="1">
      <c r="A329" t="inlineStr">
        <is>
          <t>A 34314-2025</t>
        </is>
      </c>
      <c r="B329" s="1" t="n">
        <v>45846</v>
      </c>
      <c r="C329" s="1" t="n">
        <v>45887</v>
      </c>
      <c r="D329" t="inlineStr">
        <is>
          <t>DALARNAS LÄN</t>
        </is>
      </c>
      <c r="E329" t="inlineStr">
        <is>
          <t>ÄLVDALEN</t>
        </is>
      </c>
      <c r="F329" t="inlineStr">
        <is>
          <t>Bergvik skog väst AB</t>
        </is>
      </c>
      <c r="G329" t="n">
        <v>6</v>
      </c>
      <c r="H329" t="n">
        <v>0</v>
      </c>
      <c r="I329" t="n">
        <v>0</v>
      </c>
      <c r="J329" t="n">
        <v>0</v>
      </c>
      <c r="K329" t="n">
        <v>0</v>
      </c>
      <c r="L329" t="n">
        <v>0</v>
      </c>
      <c r="M329" t="n">
        <v>0</v>
      </c>
      <c r="N329" t="n">
        <v>0</v>
      </c>
      <c r="O329" t="n">
        <v>0</v>
      </c>
      <c r="P329" t="n">
        <v>0</v>
      </c>
      <c r="Q329" t="n">
        <v>0</v>
      </c>
      <c r="R329" s="2" t="inlineStr"/>
    </row>
    <row r="330" ht="15" customHeight="1">
      <c r="A330" t="inlineStr">
        <is>
          <t>A 32359-2024</t>
        </is>
      </c>
      <c r="B330" s="1" t="n">
        <v>45512.56623842593</v>
      </c>
      <c r="C330" s="1" t="n">
        <v>45887</v>
      </c>
      <c r="D330" t="inlineStr">
        <is>
          <t>DALARNAS LÄN</t>
        </is>
      </c>
      <c r="E330" t="inlineStr">
        <is>
          <t>ÄLVDALEN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32361-2024</t>
        </is>
      </c>
      <c r="B331" s="1" t="n">
        <v>45512.56725694444</v>
      </c>
      <c r="C331" s="1" t="n">
        <v>45887</v>
      </c>
      <c r="D331" t="inlineStr">
        <is>
          <t>DALARNAS LÄN</t>
        </is>
      </c>
      <c r="E331" t="inlineStr">
        <is>
          <t>ÄLVDALEN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32363-2024</t>
        </is>
      </c>
      <c r="B332" s="1" t="n">
        <v>45512</v>
      </c>
      <c r="C332" s="1" t="n">
        <v>45887</v>
      </c>
      <c r="D332" t="inlineStr">
        <is>
          <t>DALARNAS LÄN</t>
        </is>
      </c>
      <c r="E332" t="inlineStr">
        <is>
          <t>ÄLVDALEN</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26285-2025</t>
        </is>
      </c>
      <c r="B333" s="1" t="n">
        <v>45805.61885416666</v>
      </c>
      <c r="C333" s="1" t="n">
        <v>45887</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34645-2025</t>
        </is>
      </c>
      <c r="B334" s="1" t="n">
        <v>45848.33440972222</v>
      </c>
      <c r="C334" s="1" t="n">
        <v>45887</v>
      </c>
      <c r="D334" t="inlineStr">
        <is>
          <t>DALARNAS LÄN</t>
        </is>
      </c>
      <c r="E334" t="inlineStr">
        <is>
          <t>ÄLVDALEN</t>
        </is>
      </c>
      <c r="G334" t="n">
        <v>7.1</v>
      </c>
      <c r="H334" t="n">
        <v>0</v>
      </c>
      <c r="I334" t="n">
        <v>0</v>
      </c>
      <c r="J334" t="n">
        <v>0</v>
      </c>
      <c r="K334" t="n">
        <v>0</v>
      </c>
      <c r="L334" t="n">
        <v>0</v>
      </c>
      <c r="M334" t="n">
        <v>0</v>
      </c>
      <c r="N334" t="n">
        <v>0</v>
      </c>
      <c r="O334" t="n">
        <v>0</v>
      </c>
      <c r="P334" t="n">
        <v>0</v>
      </c>
      <c r="Q334" t="n">
        <v>0</v>
      </c>
      <c r="R334" s="2" t="inlineStr"/>
    </row>
    <row r="335" ht="15" customHeight="1">
      <c r="A335" t="inlineStr">
        <is>
          <t>A 34697-2025</t>
        </is>
      </c>
      <c r="B335" s="1" t="n">
        <v>45848.46181712963</v>
      </c>
      <c r="C335" s="1" t="n">
        <v>45887</v>
      </c>
      <c r="D335" t="inlineStr">
        <is>
          <t>DALARNAS LÄN</t>
        </is>
      </c>
      <c r="E335" t="inlineStr">
        <is>
          <t>ÄLVDALEN</t>
        </is>
      </c>
      <c r="F335" t="inlineStr">
        <is>
          <t>Allmännings- och besparingsskogar</t>
        </is>
      </c>
      <c r="G335" t="n">
        <v>7.8</v>
      </c>
      <c r="H335" t="n">
        <v>0</v>
      </c>
      <c r="I335" t="n">
        <v>0</v>
      </c>
      <c r="J335" t="n">
        <v>0</v>
      </c>
      <c r="K335" t="n">
        <v>0</v>
      </c>
      <c r="L335" t="n">
        <v>0</v>
      </c>
      <c r="M335" t="n">
        <v>0</v>
      </c>
      <c r="N335" t="n">
        <v>0</v>
      </c>
      <c r="O335" t="n">
        <v>0</v>
      </c>
      <c r="P335" t="n">
        <v>0</v>
      </c>
      <c r="Q335" t="n">
        <v>0</v>
      </c>
      <c r="R335" s="2" t="inlineStr"/>
    </row>
    <row r="336" ht="15" customHeight="1">
      <c r="A336" t="inlineStr">
        <is>
          <t>A 34778-2025</t>
        </is>
      </c>
      <c r="B336" s="1" t="n">
        <v>45848.66840277778</v>
      </c>
      <c r="C336" s="1" t="n">
        <v>45887</v>
      </c>
      <c r="D336" t="inlineStr">
        <is>
          <t>DALARNAS LÄN</t>
        </is>
      </c>
      <c r="E336" t="inlineStr">
        <is>
          <t>ÄLVDALEN</t>
        </is>
      </c>
      <c r="G336" t="n">
        <v>2.2</v>
      </c>
      <c r="H336" t="n">
        <v>0</v>
      </c>
      <c r="I336" t="n">
        <v>0</v>
      </c>
      <c r="J336" t="n">
        <v>0</v>
      </c>
      <c r="K336" t="n">
        <v>0</v>
      </c>
      <c r="L336" t="n">
        <v>0</v>
      </c>
      <c r="M336" t="n">
        <v>0</v>
      </c>
      <c r="N336" t="n">
        <v>0</v>
      </c>
      <c r="O336" t="n">
        <v>0</v>
      </c>
      <c r="P336" t="n">
        <v>0</v>
      </c>
      <c r="Q336" t="n">
        <v>0</v>
      </c>
      <c r="R336" s="2" t="inlineStr"/>
    </row>
    <row r="337" ht="15" customHeight="1">
      <c r="A337" t="inlineStr">
        <is>
          <t>A 15759-2024</t>
        </is>
      </c>
      <c r="B337" s="1" t="n">
        <v>45404</v>
      </c>
      <c r="C337" s="1" t="n">
        <v>45887</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2546-2025</t>
        </is>
      </c>
      <c r="B338" s="1" t="n">
        <v>45674.62240740741</v>
      </c>
      <c r="C338" s="1" t="n">
        <v>45887</v>
      </c>
      <c r="D338" t="inlineStr">
        <is>
          <t>DALARNAS LÄN</t>
        </is>
      </c>
      <c r="E338" t="inlineStr">
        <is>
          <t>ÄLVDALEN</t>
        </is>
      </c>
      <c r="G338" t="n">
        <v>2</v>
      </c>
      <c r="H338" t="n">
        <v>0</v>
      </c>
      <c r="I338" t="n">
        <v>0</v>
      </c>
      <c r="J338" t="n">
        <v>0</v>
      </c>
      <c r="K338" t="n">
        <v>0</v>
      </c>
      <c r="L338" t="n">
        <v>0</v>
      </c>
      <c r="M338" t="n">
        <v>0</v>
      </c>
      <c r="N338" t="n">
        <v>0</v>
      </c>
      <c r="O338" t="n">
        <v>0</v>
      </c>
      <c r="P338" t="n">
        <v>0</v>
      </c>
      <c r="Q338" t="n">
        <v>0</v>
      </c>
      <c r="R338" s="2" t="inlineStr"/>
    </row>
    <row r="339" ht="15" customHeight="1">
      <c r="A339" t="inlineStr">
        <is>
          <t>A 34850-2025</t>
        </is>
      </c>
      <c r="B339" s="1" t="n">
        <v>45849.42398148148</v>
      </c>
      <c r="C339" s="1" t="n">
        <v>45887</v>
      </c>
      <c r="D339" t="inlineStr">
        <is>
          <t>DALARNAS LÄN</t>
        </is>
      </c>
      <c r="E339" t="inlineStr">
        <is>
          <t>ÄLVDALEN</t>
        </is>
      </c>
      <c r="F339" t="inlineStr">
        <is>
          <t>Allmännings- och besparingsskogar</t>
        </is>
      </c>
      <c r="G339" t="n">
        <v>12.1</v>
      </c>
      <c r="H339" t="n">
        <v>0</v>
      </c>
      <c r="I339" t="n">
        <v>0</v>
      </c>
      <c r="J339" t="n">
        <v>0</v>
      </c>
      <c r="K339" t="n">
        <v>0</v>
      </c>
      <c r="L339" t="n">
        <v>0</v>
      </c>
      <c r="M339" t="n">
        <v>0</v>
      </c>
      <c r="N339" t="n">
        <v>0</v>
      </c>
      <c r="O339" t="n">
        <v>0</v>
      </c>
      <c r="P339" t="n">
        <v>0</v>
      </c>
      <c r="Q339" t="n">
        <v>0</v>
      </c>
      <c r="R339" s="2" t="inlineStr"/>
    </row>
    <row r="340" ht="15" customHeight="1">
      <c r="A340" t="inlineStr">
        <is>
          <t>A 26704-2025</t>
        </is>
      </c>
      <c r="B340" s="1" t="n">
        <v>45810.45271990741</v>
      </c>
      <c r="C340" s="1" t="n">
        <v>45887</v>
      </c>
      <c r="D340" t="inlineStr">
        <is>
          <t>DALARNAS LÄN</t>
        </is>
      </c>
      <c r="E340" t="inlineStr">
        <is>
          <t>ÄLVDALEN</t>
        </is>
      </c>
      <c r="F340" t="inlineStr">
        <is>
          <t>Bergvik skog väst AB</t>
        </is>
      </c>
      <c r="G340" t="n">
        <v>32.3</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45887</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27615-2023</t>
        </is>
      </c>
      <c r="B342" s="1" t="n">
        <v>45097</v>
      </c>
      <c r="C342" s="1" t="n">
        <v>45887</v>
      </c>
      <c r="D342" t="inlineStr">
        <is>
          <t>DALARNAS LÄN</t>
        </is>
      </c>
      <c r="E342" t="inlineStr">
        <is>
          <t>ÄLVDALEN</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34914-2025</t>
        </is>
      </c>
      <c r="B343" s="1" t="n">
        <v>45849.54108796296</v>
      </c>
      <c r="C343" s="1" t="n">
        <v>45887</v>
      </c>
      <c r="D343" t="inlineStr">
        <is>
          <t>DALARNAS LÄN</t>
        </is>
      </c>
      <c r="E343" t="inlineStr">
        <is>
          <t>ÄLVDALEN</t>
        </is>
      </c>
      <c r="F343" t="inlineStr">
        <is>
          <t>Allmännings- och besparingsskogar</t>
        </is>
      </c>
      <c r="G343" t="n">
        <v>19.2</v>
      </c>
      <c r="H343" t="n">
        <v>0</v>
      </c>
      <c r="I343" t="n">
        <v>0</v>
      </c>
      <c r="J343" t="n">
        <v>0</v>
      </c>
      <c r="K343" t="n">
        <v>0</v>
      </c>
      <c r="L343" t="n">
        <v>0</v>
      </c>
      <c r="M343" t="n">
        <v>0</v>
      </c>
      <c r="N343" t="n">
        <v>0</v>
      </c>
      <c r="O343" t="n">
        <v>0</v>
      </c>
      <c r="P343" t="n">
        <v>0</v>
      </c>
      <c r="Q343" t="n">
        <v>0</v>
      </c>
      <c r="R343" s="2" t="inlineStr"/>
    </row>
    <row r="344" ht="15" customHeight="1">
      <c r="A344" t="inlineStr">
        <is>
          <t>A 31047-2024</t>
        </is>
      </c>
      <c r="B344" s="1" t="n">
        <v>45502.33021990741</v>
      </c>
      <c r="C344" s="1" t="n">
        <v>45887</v>
      </c>
      <c r="D344" t="inlineStr">
        <is>
          <t>DALARNAS LÄN</t>
        </is>
      </c>
      <c r="E344" t="inlineStr">
        <is>
          <t>ÄLVDALEN</t>
        </is>
      </c>
      <c r="F344" t="inlineStr">
        <is>
          <t>Sveaskog</t>
        </is>
      </c>
      <c r="G344" t="n">
        <v>8</v>
      </c>
      <c r="H344" t="n">
        <v>0</v>
      </c>
      <c r="I344" t="n">
        <v>0</v>
      </c>
      <c r="J344" t="n">
        <v>0</v>
      </c>
      <c r="K344" t="n">
        <v>0</v>
      </c>
      <c r="L344" t="n">
        <v>0</v>
      </c>
      <c r="M344" t="n">
        <v>0</v>
      </c>
      <c r="N344" t="n">
        <v>0</v>
      </c>
      <c r="O344" t="n">
        <v>0</v>
      </c>
      <c r="P344" t="n">
        <v>0</v>
      </c>
      <c r="Q344" t="n">
        <v>0</v>
      </c>
      <c r="R344" s="2" t="inlineStr"/>
    </row>
    <row r="345" ht="15" customHeight="1">
      <c r="A345" t="inlineStr">
        <is>
          <t>A 45167-2022</t>
        </is>
      </c>
      <c r="B345" s="1" t="n">
        <v>44844</v>
      </c>
      <c r="C345" s="1" t="n">
        <v>45887</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55778-2021</t>
        </is>
      </c>
      <c r="B346" s="1" t="n">
        <v>44476</v>
      </c>
      <c r="C346" s="1" t="n">
        <v>45887</v>
      </c>
      <c r="D346" t="inlineStr">
        <is>
          <t>DALARNAS LÄN</t>
        </is>
      </c>
      <c r="E346" t="inlineStr">
        <is>
          <t>ÄLVDALEN</t>
        </is>
      </c>
      <c r="G346" t="n">
        <v>3.2</v>
      </c>
      <c r="H346" t="n">
        <v>0</v>
      </c>
      <c r="I346" t="n">
        <v>0</v>
      </c>
      <c r="J346" t="n">
        <v>0</v>
      </c>
      <c r="K346" t="n">
        <v>0</v>
      </c>
      <c r="L346" t="n">
        <v>0</v>
      </c>
      <c r="M346" t="n">
        <v>0</v>
      </c>
      <c r="N346" t="n">
        <v>0</v>
      </c>
      <c r="O346" t="n">
        <v>0</v>
      </c>
      <c r="P346" t="n">
        <v>0</v>
      </c>
      <c r="Q346" t="n">
        <v>0</v>
      </c>
      <c r="R346" s="2" t="inlineStr"/>
    </row>
    <row r="347" ht="15" customHeight="1">
      <c r="A347" t="inlineStr">
        <is>
          <t>A 56222-2023</t>
        </is>
      </c>
      <c r="B347" s="1" t="n">
        <v>45240</v>
      </c>
      <c r="C347" s="1" t="n">
        <v>45887</v>
      </c>
      <c r="D347" t="inlineStr">
        <is>
          <t>DALARNAS LÄN</t>
        </is>
      </c>
      <c r="E347" t="inlineStr">
        <is>
          <t>ÄLVDALEN</t>
        </is>
      </c>
      <c r="F347" t="inlineStr">
        <is>
          <t>Övriga Aktiebolag</t>
        </is>
      </c>
      <c r="G347" t="n">
        <v>3.2</v>
      </c>
      <c r="H347" t="n">
        <v>0</v>
      </c>
      <c r="I347" t="n">
        <v>0</v>
      </c>
      <c r="J347" t="n">
        <v>0</v>
      </c>
      <c r="K347" t="n">
        <v>0</v>
      </c>
      <c r="L347" t="n">
        <v>0</v>
      </c>
      <c r="M347" t="n">
        <v>0</v>
      </c>
      <c r="N347" t="n">
        <v>0</v>
      </c>
      <c r="O347" t="n">
        <v>0</v>
      </c>
      <c r="P347" t="n">
        <v>0</v>
      </c>
      <c r="Q347" t="n">
        <v>0</v>
      </c>
      <c r="R347" s="2" t="inlineStr"/>
    </row>
    <row r="348" ht="15" customHeight="1">
      <c r="A348" t="inlineStr">
        <is>
          <t>A 56224-2023</t>
        </is>
      </c>
      <c r="B348" s="1" t="n">
        <v>45240</v>
      </c>
      <c r="C348" s="1" t="n">
        <v>45887</v>
      </c>
      <c r="D348" t="inlineStr">
        <is>
          <t>DALARNAS LÄN</t>
        </is>
      </c>
      <c r="E348" t="inlineStr">
        <is>
          <t>ÄLVDALEN</t>
        </is>
      </c>
      <c r="F348" t="inlineStr">
        <is>
          <t>Övriga Aktiebolag</t>
        </is>
      </c>
      <c r="G348" t="n">
        <v>10.9</v>
      </c>
      <c r="H348" t="n">
        <v>0</v>
      </c>
      <c r="I348" t="n">
        <v>0</v>
      </c>
      <c r="J348" t="n">
        <v>0</v>
      </c>
      <c r="K348" t="n">
        <v>0</v>
      </c>
      <c r="L348" t="n">
        <v>0</v>
      </c>
      <c r="M348" t="n">
        <v>0</v>
      </c>
      <c r="N348" t="n">
        <v>0</v>
      </c>
      <c r="O348" t="n">
        <v>0</v>
      </c>
      <c r="P348" t="n">
        <v>0</v>
      </c>
      <c r="Q348" t="n">
        <v>0</v>
      </c>
      <c r="R348" s="2" t="inlineStr"/>
    </row>
    <row r="349" ht="15" customHeight="1">
      <c r="A349" t="inlineStr">
        <is>
          <t>A 8192-2025</t>
        </is>
      </c>
      <c r="B349" s="1" t="n">
        <v>45708.41151620371</v>
      </c>
      <c r="C349" s="1" t="n">
        <v>45887</v>
      </c>
      <c r="D349" t="inlineStr">
        <is>
          <t>DALARNAS LÄN</t>
        </is>
      </c>
      <c r="E349" t="inlineStr">
        <is>
          <t>ÄLVDALEN</t>
        </is>
      </c>
      <c r="F349" t="inlineStr">
        <is>
          <t>Allmännings- och besparingsskogar</t>
        </is>
      </c>
      <c r="G349" t="n">
        <v>15.1</v>
      </c>
      <c r="H349" t="n">
        <v>0</v>
      </c>
      <c r="I349" t="n">
        <v>0</v>
      </c>
      <c r="J349" t="n">
        <v>0</v>
      </c>
      <c r="K349" t="n">
        <v>0</v>
      </c>
      <c r="L349" t="n">
        <v>0</v>
      </c>
      <c r="M349" t="n">
        <v>0</v>
      </c>
      <c r="N349" t="n">
        <v>0</v>
      </c>
      <c r="O349" t="n">
        <v>0</v>
      </c>
      <c r="P349" t="n">
        <v>0</v>
      </c>
      <c r="Q349" t="n">
        <v>0</v>
      </c>
      <c r="R349" s="2" t="inlineStr"/>
    </row>
    <row r="350" ht="15" customHeight="1">
      <c r="A350" t="inlineStr">
        <is>
          <t>A 56882-2022</t>
        </is>
      </c>
      <c r="B350" s="1" t="n">
        <v>44894</v>
      </c>
      <c r="C350" s="1" t="n">
        <v>45887</v>
      </c>
      <c r="D350" t="inlineStr">
        <is>
          <t>DALARNAS LÄN</t>
        </is>
      </c>
      <c r="E350" t="inlineStr">
        <is>
          <t>ÄLVDALEN</t>
        </is>
      </c>
      <c r="G350" t="n">
        <v>7.4</v>
      </c>
      <c r="H350" t="n">
        <v>0</v>
      </c>
      <c r="I350" t="n">
        <v>0</v>
      </c>
      <c r="J350" t="n">
        <v>0</v>
      </c>
      <c r="K350" t="n">
        <v>0</v>
      </c>
      <c r="L350" t="n">
        <v>0</v>
      </c>
      <c r="M350" t="n">
        <v>0</v>
      </c>
      <c r="N350" t="n">
        <v>0</v>
      </c>
      <c r="O350" t="n">
        <v>0</v>
      </c>
      <c r="P350" t="n">
        <v>0</v>
      </c>
      <c r="Q350" t="n">
        <v>0</v>
      </c>
      <c r="R350" s="2" t="inlineStr"/>
    </row>
    <row r="351" ht="15" customHeight="1">
      <c r="A351" t="inlineStr">
        <is>
          <t>A 46011-2023</t>
        </is>
      </c>
      <c r="B351" s="1" t="n">
        <v>45196.38245370371</v>
      </c>
      <c r="C351" s="1" t="n">
        <v>45887</v>
      </c>
      <c r="D351" t="inlineStr">
        <is>
          <t>DALARNAS LÄN</t>
        </is>
      </c>
      <c r="E351" t="inlineStr">
        <is>
          <t>ÄLVDALEN</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41004-2023</t>
        </is>
      </c>
      <c r="B352" s="1" t="n">
        <v>45173</v>
      </c>
      <c r="C352" s="1" t="n">
        <v>45887</v>
      </c>
      <c r="D352" t="inlineStr">
        <is>
          <t>DALARNAS LÄN</t>
        </is>
      </c>
      <c r="E352" t="inlineStr">
        <is>
          <t>ÄLVDALEN</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49203-2023</t>
        </is>
      </c>
      <c r="B353" s="1" t="n">
        <v>45210</v>
      </c>
      <c r="C353" s="1" t="n">
        <v>45887</v>
      </c>
      <c r="D353" t="inlineStr">
        <is>
          <t>DALARNAS LÄN</t>
        </is>
      </c>
      <c r="E353" t="inlineStr">
        <is>
          <t>ÄLVDALEN</t>
        </is>
      </c>
      <c r="F353" t="inlineStr">
        <is>
          <t>Bergvik skog väst AB</t>
        </is>
      </c>
      <c r="G353" t="n">
        <v>18.2</v>
      </c>
      <c r="H353" t="n">
        <v>0</v>
      </c>
      <c r="I353" t="n">
        <v>0</v>
      </c>
      <c r="J353" t="n">
        <v>0</v>
      </c>
      <c r="K353" t="n">
        <v>0</v>
      </c>
      <c r="L353" t="n">
        <v>0</v>
      </c>
      <c r="M353" t="n">
        <v>0</v>
      </c>
      <c r="N353" t="n">
        <v>0</v>
      </c>
      <c r="O353" t="n">
        <v>0</v>
      </c>
      <c r="P353" t="n">
        <v>0</v>
      </c>
      <c r="Q353" t="n">
        <v>0</v>
      </c>
      <c r="R353" s="2" t="inlineStr"/>
    </row>
    <row r="354" ht="15" customHeight="1">
      <c r="A354" t="inlineStr">
        <is>
          <t>A 6675-2025</t>
        </is>
      </c>
      <c r="B354" s="1" t="n">
        <v>45700.47643518518</v>
      </c>
      <c r="C354" s="1" t="n">
        <v>45887</v>
      </c>
      <c r="D354" t="inlineStr">
        <is>
          <t>DALARNAS LÄN</t>
        </is>
      </c>
      <c r="E354" t="inlineStr">
        <is>
          <t>ÄLVDALEN</t>
        </is>
      </c>
      <c r="F354" t="inlineStr">
        <is>
          <t>Allmännings- och besparingsskogar</t>
        </is>
      </c>
      <c r="G354" t="n">
        <v>1.2</v>
      </c>
      <c r="H354" t="n">
        <v>0</v>
      </c>
      <c r="I354" t="n">
        <v>0</v>
      </c>
      <c r="J354" t="n">
        <v>0</v>
      </c>
      <c r="K354" t="n">
        <v>0</v>
      </c>
      <c r="L354" t="n">
        <v>0</v>
      </c>
      <c r="M354" t="n">
        <v>0</v>
      </c>
      <c r="N354" t="n">
        <v>0</v>
      </c>
      <c r="O354" t="n">
        <v>0</v>
      </c>
      <c r="P354" t="n">
        <v>0</v>
      </c>
      <c r="Q354" t="n">
        <v>0</v>
      </c>
      <c r="R354" s="2" t="inlineStr"/>
    </row>
    <row r="355" ht="15" customHeight="1">
      <c r="A355" t="inlineStr">
        <is>
          <t>A 5170-2024</t>
        </is>
      </c>
      <c r="B355" s="1" t="n">
        <v>45330.55390046296</v>
      </c>
      <c r="C355" s="1" t="n">
        <v>45887</v>
      </c>
      <c r="D355" t="inlineStr">
        <is>
          <t>DALARNAS LÄN</t>
        </is>
      </c>
      <c r="E355" t="inlineStr">
        <is>
          <t>ÄLVDALEN</t>
        </is>
      </c>
      <c r="G355" t="n">
        <v>15.8</v>
      </c>
      <c r="H355" t="n">
        <v>0</v>
      </c>
      <c r="I355" t="n">
        <v>0</v>
      </c>
      <c r="J355" t="n">
        <v>0</v>
      </c>
      <c r="K355" t="n">
        <v>0</v>
      </c>
      <c r="L355" t="n">
        <v>0</v>
      </c>
      <c r="M355" t="n">
        <v>0</v>
      </c>
      <c r="N355" t="n">
        <v>0</v>
      </c>
      <c r="O355" t="n">
        <v>0</v>
      </c>
      <c r="P355" t="n">
        <v>0</v>
      </c>
      <c r="Q355" t="n">
        <v>0</v>
      </c>
      <c r="R355" s="2" t="inlineStr"/>
    </row>
    <row r="356" ht="15" customHeight="1">
      <c r="A356" t="inlineStr">
        <is>
          <t>A 27230-2025</t>
        </is>
      </c>
      <c r="B356" s="1" t="n">
        <v>45812.43825231482</v>
      </c>
      <c r="C356" s="1" t="n">
        <v>45887</v>
      </c>
      <c r="D356" t="inlineStr">
        <is>
          <t>DALARNAS LÄN</t>
        </is>
      </c>
      <c r="E356" t="inlineStr">
        <is>
          <t>ÄLVDALEN</t>
        </is>
      </c>
      <c r="F356" t="inlineStr">
        <is>
          <t>Allmännings- och besparingsskogar</t>
        </is>
      </c>
      <c r="G356" t="n">
        <v>4</v>
      </c>
      <c r="H356" t="n">
        <v>0</v>
      </c>
      <c r="I356" t="n">
        <v>0</v>
      </c>
      <c r="J356" t="n">
        <v>0</v>
      </c>
      <c r="K356" t="n">
        <v>0</v>
      </c>
      <c r="L356" t="n">
        <v>0</v>
      </c>
      <c r="M356" t="n">
        <v>0</v>
      </c>
      <c r="N356" t="n">
        <v>0</v>
      </c>
      <c r="O356" t="n">
        <v>0</v>
      </c>
      <c r="P356" t="n">
        <v>0</v>
      </c>
      <c r="Q356" t="n">
        <v>0</v>
      </c>
      <c r="R356" s="2" t="inlineStr"/>
    </row>
    <row r="357" ht="15" customHeight="1">
      <c r="A357" t="inlineStr">
        <is>
          <t>A 27261-2025</t>
        </is>
      </c>
      <c r="B357" s="1" t="n">
        <v>45812.47674768518</v>
      </c>
      <c r="C357" s="1" t="n">
        <v>45887</v>
      </c>
      <c r="D357" t="inlineStr">
        <is>
          <t>DALARNAS LÄN</t>
        </is>
      </c>
      <c r="E357" t="inlineStr">
        <is>
          <t>ÄLVDALEN</t>
        </is>
      </c>
      <c r="F357" t="inlineStr">
        <is>
          <t>Bergvik skog väst AB</t>
        </is>
      </c>
      <c r="G357" t="n">
        <v>9.5</v>
      </c>
      <c r="H357" t="n">
        <v>0</v>
      </c>
      <c r="I357" t="n">
        <v>0</v>
      </c>
      <c r="J357" t="n">
        <v>0</v>
      </c>
      <c r="K357" t="n">
        <v>0</v>
      </c>
      <c r="L357" t="n">
        <v>0</v>
      </c>
      <c r="M357" t="n">
        <v>0</v>
      </c>
      <c r="N357" t="n">
        <v>0</v>
      </c>
      <c r="O357" t="n">
        <v>0</v>
      </c>
      <c r="P357" t="n">
        <v>0</v>
      </c>
      <c r="Q357" t="n">
        <v>0</v>
      </c>
      <c r="R357" s="2" t="inlineStr"/>
    </row>
    <row r="358" ht="15" customHeight="1">
      <c r="A358" t="inlineStr">
        <is>
          <t>A 27187-2025</t>
        </is>
      </c>
      <c r="B358" s="1" t="n">
        <v>45812.36554398148</v>
      </c>
      <c r="C358" s="1" t="n">
        <v>45887</v>
      </c>
      <c r="D358" t="inlineStr">
        <is>
          <t>DALARNAS LÄN</t>
        </is>
      </c>
      <c r="E358" t="inlineStr">
        <is>
          <t>ÄLVDALEN</t>
        </is>
      </c>
      <c r="F358" t="inlineStr">
        <is>
          <t>Allmännings- och besparingsskogar</t>
        </is>
      </c>
      <c r="G358" t="n">
        <v>3</v>
      </c>
      <c r="H358" t="n">
        <v>0</v>
      </c>
      <c r="I358" t="n">
        <v>0</v>
      </c>
      <c r="J358" t="n">
        <v>0</v>
      </c>
      <c r="K358" t="n">
        <v>0</v>
      </c>
      <c r="L358" t="n">
        <v>0</v>
      </c>
      <c r="M358" t="n">
        <v>0</v>
      </c>
      <c r="N358" t="n">
        <v>0</v>
      </c>
      <c r="O358" t="n">
        <v>0</v>
      </c>
      <c r="P358" t="n">
        <v>0</v>
      </c>
      <c r="Q358" t="n">
        <v>0</v>
      </c>
      <c r="R358" s="2" t="inlineStr"/>
    </row>
    <row r="359" ht="15" customHeight="1">
      <c r="A359" t="inlineStr">
        <is>
          <t>A 30143-2024</t>
        </is>
      </c>
      <c r="B359" s="1" t="n">
        <v>45488</v>
      </c>
      <c r="C359" s="1" t="n">
        <v>45887</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30146-2024</t>
        </is>
      </c>
      <c r="B360" s="1" t="n">
        <v>45488</v>
      </c>
      <c r="C360" s="1" t="n">
        <v>45887</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45887</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5583-2025</t>
        </is>
      </c>
      <c r="B362" s="1" t="n">
        <v>45693.55244212963</v>
      </c>
      <c r="C362" s="1" t="n">
        <v>45887</v>
      </c>
      <c r="D362" t="inlineStr">
        <is>
          <t>DALARNAS LÄN</t>
        </is>
      </c>
      <c r="E362" t="inlineStr">
        <is>
          <t>ÄLVDALEN</t>
        </is>
      </c>
      <c r="G362" t="n">
        <v>0.9</v>
      </c>
      <c r="H362" t="n">
        <v>0</v>
      </c>
      <c r="I362" t="n">
        <v>0</v>
      </c>
      <c r="J362" t="n">
        <v>0</v>
      </c>
      <c r="K362" t="n">
        <v>0</v>
      </c>
      <c r="L362" t="n">
        <v>0</v>
      </c>
      <c r="M362" t="n">
        <v>0</v>
      </c>
      <c r="N362" t="n">
        <v>0</v>
      </c>
      <c r="O362" t="n">
        <v>0</v>
      </c>
      <c r="P362" t="n">
        <v>0</v>
      </c>
      <c r="Q362" t="n">
        <v>0</v>
      </c>
      <c r="R362" s="2" t="inlineStr"/>
    </row>
    <row r="363" ht="15" customHeight="1">
      <c r="A363" t="inlineStr">
        <is>
          <t>A 27090-2025</t>
        </is>
      </c>
      <c r="B363" s="1" t="n">
        <v>45811.66903935185</v>
      </c>
      <c r="C363" s="1" t="n">
        <v>45887</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47936-2024</t>
        </is>
      </c>
      <c r="B364" s="1" t="n">
        <v>45589.34738425926</v>
      </c>
      <c r="C364" s="1" t="n">
        <v>45887</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24009-2024</t>
        </is>
      </c>
      <c r="B365" s="1" t="n">
        <v>45456.40030092592</v>
      </c>
      <c r="C365" s="1" t="n">
        <v>45887</v>
      </c>
      <c r="D365" t="inlineStr">
        <is>
          <t>DALARNAS LÄN</t>
        </is>
      </c>
      <c r="E365" t="inlineStr">
        <is>
          <t>ÄLVDALEN</t>
        </is>
      </c>
      <c r="G365" t="n">
        <v>1.1</v>
      </c>
      <c r="H365" t="n">
        <v>0</v>
      </c>
      <c r="I365" t="n">
        <v>0</v>
      </c>
      <c r="J365" t="n">
        <v>0</v>
      </c>
      <c r="K365" t="n">
        <v>0</v>
      </c>
      <c r="L365" t="n">
        <v>0</v>
      </c>
      <c r="M365" t="n">
        <v>0</v>
      </c>
      <c r="N365" t="n">
        <v>0</v>
      </c>
      <c r="O365" t="n">
        <v>0</v>
      </c>
      <c r="P365" t="n">
        <v>0</v>
      </c>
      <c r="Q365" t="n">
        <v>0</v>
      </c>
      <c r="R365" s="2" t="inlineStr"/>
    </row>
    <row r="366" ht="15" customHeight="1">
      <c r="A366" t="inlineStr">
        <is>
          <t>A 29129-2024</t>
        </is>
      </c>
      <c r="B366" s="1" t="n">
        <v>45482.35762731481</v>
      </c>
      <c r="C366" s="1" t="n">
        <v>45887</v>
      </c>
      <c r="D366" t="inlineStr">
        <is>
          <t>DALARNAS LÄN</t>
        </is>
      </c>
      <c r="E366" t="inlineStr">
        <is>
          <t>ÄLVDALEN</t>
        </is>
      </c>
      <c r="F366" t="inlineStr">
        <is>
          <t>Allmännings- och besparingsskogar</t>
        </is>
      </c>
      <c r="G366" t="n">
        <v>19.8</v>
      </c>
      <c r="H366" t="n">
        <v>0</v>
      </c>
      <c r="I366" t="n">
        <v>0</v>
      </c>
      <c r="J366" t="n">
        <v>0</v>
      </c>
      <c r="K366" t="n">
        <v>0</v>
      </c>
      <c r="L366" t="n">
        <v>0</v>
      </c>
      <c r="M366" t="n">
        <v>0</v>
      </c>
      <c r="N366" t="n">
        <v>0</v>
      </c>
      <c r="O366" t="n">
        <v>0</v>
      </c>
      <c r="P366" t="n">
        <v>0</v>
      </c>
      <c r="Q366" t="n">
        <v>0</v>
      </c>
      <c r="R366" s="2" t="inlineStr"/>
    </row>
    <row r="367" ht="15" customHeight="1">
      <c r="A367" t="inlineStr">
        <is>
          <t>A 36640-2023</t>
        </is>
      </c>
      <c r="B367" s="1" t="n">
        <v>45153.54498842593</v>
      </c>
      <c r="C367" s="1" t="n">
        <v>45887</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9108-2024</t>
        </is>
      </c>
      <c r="B368" s="1" t="n">
        <v>45357.96072916667</v>
      </c>
      <c r="C368" s="1" t="n">
        <v>45887</v>
      </c>
      <c r="D368" t="inlineStr">
        <is>
          <t>DALARNAS LÄN</t>
        </is>
      </c>
      <c r="E368" t="inlineStr">
        <is>
          <t>ÄLVDALEN</t>
        </is>
      </c>
      <c r="F368" t="inlineStr">
        <is>
          <t>Övriga Aktiebolag</t>
        </is>
      </c>
      <c r="G368" t="n">
        <v>24.4</v>
      </c>
      <c r="H368" t="n">
        <v>0</v>
      </c>
      <c r="I368" t="n">
        <v>0</v>
      </c>
      <c r="J368" t="n">
        <v>0</v>
      </c>
      <c r="K368" t="n">
        <v>0</v>
      </c>
      <c r="L368" t="n">
        <v>0</v>
      </c>
      <c r="M368" t="n">
        <v>0</v>
      </c>
      <c r="N368" t="n">
        <v>0</v>
      </c>
      <c r="O368" t="n">
        <v>0</v>
      </c>
      <c r="P368" t="n">
        <v>0</v>
      </c>
      <c r="Q368" t="n">
        <v>0</v>
      </c>
      <c r="R368" s="2" t="inlineStr"/>
    </row>
    <row r="369" ht="15" customHeight="1">
      <c r="A369" t="inlineStr">
        <is>
          <t>A 39006-2024</t>
        </is>
      </c>
      <c r="B369" s="1" t="n">
        <v>45548.42846064815</v>
      </c>
      <c r="C369" s="1" t="n">
        <v>45887</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7913-2025</t>
        </is>
      </c>
      <c r="B370" s="1" t="n">
        <v>45707.34497685185</v>
      </c>
      <c r="C370" s="1" t="n">
        <v>45887</v>
      </c>
      <c r="D370" t="inlineStr">
        <is>
          <t>DALARNAS LÄN</t>
        </is>
      </c>
      <c r="E370" t="inlineStr">
        <is>
          <t>ÄLVDALEN</t>
        </is>
      </c>
      <c r="F370" t="inlineStr">
        <is>
          <t>Allmännings- och besparingsskogar</t>
        </is>
      </c>
      <c r="G370" t="n">
        <v>7.5</v>
      </c>
      <c r="H370" t="n">
        <v>0</v>
      </c>
      <c r="I370" t="n">
        <v>0</v>
      </c>
      <c r="J370" t="n">
        <v>0</v>
      </c>
      <c r="K370" t="n">
        <v>0</v>
      </c>
      <c r="L370" t="n">
        <v>0</v>
      </c>
      <c r="M370" t="n">
        <v>0</v>
      </c>
      <c r="N370" t="n">
        <v>0</v>
      </c>
      <c r="O370" t="n">
        <v>0</v>
      </c>
      <c r="P370" t="n">
        <v>0</v>
      </c>
      <c r="Q370" t="n">
        <v>0</v>
      </c>
      <c r="R370" s="2" t="inlineStr"/>
    </row>
    <row r="371" ht="15" customHeight="1">
      <c r="A371" t="inlineStr">
        <is>
          <t>A 42649-2023</t>
        </is>
      </c>
      <c r="B371" s="1" t="n">
        <v>45181.53310185186</v>
      </c>
      <c r="C371" s="1" t="n">
        <v>45887</v>
      </c>
      <c r="D371" t="inlineStr">
        <is>
          <t>DALARNAS LÄN</t>
        </is>
      </c>
      <c r="E371" t="inlineStr">
        <is>
          <t>ÄLVDALEN</t>
        </is>
      </c>
      <c r="G371" t="n">
        <v>5.3</v>
      </c>
      <c r="H371" t="n">
        <v>0</v>
      </c>
      <c r="I371" t="n">
        <v>0</v>
      </c>
      <c r="J371" t="n">
        <v>0</v>
      </c>
      <c r="K371" t="n">
        <v>0</v>
      </c>
      <c r="L371" t="n">
        <v>0</v>
      </c>
      <c r="M371" t="n">
        <v>0</v>
      </c>
      <c r="N371" t="n">
        <v>0</v>
      </c>
      <c r="O371" t="n">
        <v>0</v>
      </c>
      <c r="P371" t="n">
        <v>0</v>
      </c>
      <c r="Q371" t="n">
        <v>0</v>
      </c>
      <c r="R371" s="2" t="inlineStr"/>
    </row>
    <row r="372" ht="15" customHeight="1">
      <c r="A372" t="inlineStr">
        <is>
          <t>A 52060-2022</t>
        </is>
      </c>
      <c r="B372" s="1" t="n">
        <v>44873.34417824074</v>
      </c>
      <c r="C372" s="1" t="n">
        <v>45887</v>
      </c>
      <c r="D372" t="inlineStr">
        <is>
          <t>DALARNAS LÄN</t>
        </is>
      </c>
      <c r="E372" t="inlineStr">
        <is>
          <t>ÄLVDALEN</t>
        </is>
      </c>
      <c r="G372" t="n">
        <v>1</v>
      </c>
      <c r="H372" t="n">
        <v>0</v>
      </c>
      <c r="I372" t="n">
        <v>0</v>
      </c>
      <c r="J372" t="n">
        <v>0</v>
      </c>
      <c r="K372" t="n">
        <v>0</v>
      </c>
      <c r="L372" t="n">
        <v>0</v>
      </c>
      <c r="M372" t="n">
        <v>0</v>
      </c>
      <c r="N372" t="n">
        <v>0</v>
      </c>
      <c r="O372" t="n">
        <v>0</v>
      </c>
      <c r="P372" t="n">
        <v>0</v>
      </c>
      <c r="Q372" t="n">
        <v>0</v>
      </c>
      <c r="R372" s="2" t="inlineStr"/>
    </row>
    <row r="373" ht="15" customHeight="1">
      <c r="A373" t="inlineStr">
        <is>
          <t>A 7998-2024</t>
        </is>
      </c>
      <c r="B373" s="1" t="n">
        <v>45350.6433912037</v>
      </c>
      <c r="C373" s="1" t="n">
        <v>45887</v>
      </c>
      <c r="D373" t="inlineStr">
        <is>
          <t>DALARNAS LÄN</t>
        </is>
      </c>
      <c r="E373" t="inlineStr">
        <is>
          <t>ÄLVDALEN</t>
        </is>
      </c>
      <c r="F373" t="inlineStr">
        <is>
          <t>Kommuner</t>
        </is>
      </c>
      <c r="G373" t="n">
        <v>7.9</v>
      </c>
      <c r="H373" t="n">
        <v>0</v>
      </c>
      <c r="I373" t="n">
        <v>0</v>
      </c>
      <c r="J373" t="n">
        <v>0</v>
      </c>
      <c r="K373" t="n">
        <v>0</v>
      </c>
      <c r="L373" t="n">
        <v>0</v>
      </c>
      <c r="M373" t="n">
        <v>0</v>
      </c>
      <c r="N373" t="n">
        <v>0</v>
      </c>
      <c r="O373" t="n">
        <v>0</v>
      </c>
      <c r="P373" t="n">
        <v>0</v>
      </c>
      <c r="Q373" t="n">
        <v>0</v>
      </c>
      <c r="R373" s="2" t="inlineStr"/>
    </row>
    <row r="374" ht="15" customHeight="1">
      <c r="A374" t="inlineStr">
        <is>
          <t>A 33099-2023</t>
        </is>
      </c>
      <c r="B374" s="1" t="n">
        <v>45114</v>
      </c>
      <c r="C374" s="1" t="n">
        <v>45887</v>
      </c>
      <c r="D374" t="inlineStr">
        <is>
          <t>DALARNAS LÄN</t>
        </is>
      </c>
      <c r="E374" t="inlineStr">
        <is>
          <t>ÄLVDALEN</t>
        </is>
      </c>
      <c r="G374" t="n">
        <v>3.5</v>
      </c>
      <c r="H374" t="n">
        <v>0</v>
      </c>
      <c r="I374" t="n">
        <v>0</v>
      </c>
      <c r="J374" t="n">
        <v>0</v>
      </c>
      <c r="K374" t="n">
        <v>0</v>
      </c>
      <c r="L374" t="n">
        <v>0</v>
      </c>
      <c r="M374" t="n">
        <v>0</v>
      </c>
      <c r="N374" t="n">
        <v>0</v>
      </c>
      <c r="O374" t="n">
        <v>0</v>
      </c>
      <c r="P374" t="n">
        <v>0</v>
      </c>
      <c r="Q374" t="n">
        <v>0</v>
      </c>
      <c r="R374" s="2" t="inlineStr"/>
    </row>
    <row r="375" ht="15" customHeight="1">
      <c r="A375" t="inlineStr">
        <is>
          <t>A 33100-2023</t>
        </is>
      </c>
      <c r="B375" s="1" t="n">
        <v>45114</v>
      </c>
      <c r="C375" s="1" t="n">
        <v>45887</v>
      </c>
      <c r="D375" t="inlineStr">
        <is>
          <t>DALARNAS LÄN</t>
        </is>
      </c>
      <c r="E375" t="inlineStr">
        <is>
          <t>ÄLVDALEN</t>
        </is>
      </c>
      <c r="G375" t="n">
        <v>0.5</v>
      </c>
      <c r="H375" t="n">
        <v>0</v>
      </c>
      <c r="I375" t="n">
        <v>0</v>
      </c>
      <c r="J375" t="n">
        <v>0</v>
      </c>
      <c r="K375" t="n">
        <v>0</v>
      </c>
      <c r="L375" t="n">
        <v>0</v>
      </c>
      <c r="M375" t="n">
        <v>0</v>
      </c>
      <c r="N375" t="n">
        <v>0</v>
      </c>
      <c r="O375" t="n">
        <v>0</v>
      </c>
      <c r="P375" t="n">
        <v>0</v>
      </c>
      <c r="Q375" t="n">
        <v>0</v>
      </c>
      <c r="R375" s="2" t="inlineStr"/>
    </row>
    <row r="376" ht="15" customHeight="1">
      <c r="A376" t="inlineStr">
        <is>
          <t>A 62355-2022</t>
        </is>
      </c>
      <c r="B376" s="1" t="n">
        <v>44923</v>
      </c>
      <c r="C376" s="1" t="n">
        <v>45887</v>
      </c>
      <c r="D376" t="inlineStr">
        <is>
          <t>DALARNAS LÄN</t>
        </is>
      </c>
      <c r="E376" t="inlineStr">
        <is>
          <t>ÄLVDALEN</t>
        </is>
      </c>
      <c r="G376" t="n">
        <v>4.3</v>
      </c>
      <c r="H376" t="n">
        <v>0</v>
      </c>
      <c r="I376" t="n">
        <v>0</v>
      </c>
      <c r="J376" t="n">
        <v>0</v>
      </c>
      <c r="K376" t="n">
        <v>0</v>
      </c>
      <c r="L376" t="n">
        <v>0</v>
      </c>
      <c r="M376" t="n">
        <v>0</v>
      </c>
      <c r="N376" t="n">
        <v>0</v>
      </c>
      <c r="O376" t="n">
        <v>0</v>
      </c>
      <c r="P376" t="n">
        <v>0</v>
      </c>
      <c r="Q376" t="n">
        <v>0</v>
      </c>
      <c r="R376" s="2" t="inlineStr"/>
    </row>
    <row r="377" ht="15" customHeight="1">
      <c r="A377" t="inlineStr">
        <is>
          <t>A 27739-2025</t>
        </is>
      </c>
      <c r="B377" s="1" t="n">
        <v>45815.49082175926</v>
      </c>
      <c r="C377" s="1" t="n">
        <v>45887</v>
      </c>
      <c r="D377" t="inlineStr">
        <is>
          <t>DALARNAS LÄN</t>
        </is>
      </c>
      <c r="E377" t="inlineStr">
        <is>
          <t>ÄLVDALEN</t>
        </is>
      </c>
      <c r="F377" t="inlineStr">
        <is>
          <t>Bergvik skog väst AB</t>
        </is>
      </c>
      <c r="G377" t="n">
        <v>1.5</v>
      </c>
      <c r="H377" t="n">
        <v>0</v>
      </c>
      <c r="I377" t="n">
        <v>0</v>
      </c>
      <c r="J377" t="n">
        <v>0</v>
      </c>
      <c r="K377" t="n">
        <v>0</v>
      </c>
      <c r="L377" t="n">
        <v>0</v>
      </c>
      <c r="M377" t="n">
        <v>0</v>
      </c>
      <c r="N377" t="n">
        <v>0</v>
      </c>
      <c r="O377" t="n">
        <v>0</v>
      </c>
      <c r="P377" t="n">
        <v>0</v>
      </c>
      <c r="Q377" t="n">
        <v>0</v>
      </c>
      <c r="R377" s="2" t="inlineStr"/>
    </row>
    <row r="378" ht="15" customHeight="1">
      <c r="A378" t="inlineStr">
        <is>
          <t>A 68204-2021</t>
        </is>
      </c>
      <c r="B378" s="1" t="n">
        <v>44526</v>
      </c>
      <c r="C378" s="1" t="n">
        <v>45887</v>
      </c>
      <c r="D378" t="inlineStr">
        <is>
          <t>DALARNAS LÄN</t>
        </is>
      </c>
      <c r="E378" t="inlineStr">
        <is>
          <t>ÄLVDALEN</t>
        </is>
      </c>
      <c r="F378" t="inlineStr">
        <is>
          <t>Kyrkan</t>
        </is>
      </c>
      <c r="G378" t="n">
        <v>5</v>
      </c>
      <c r="H378" t="n">
        <v>0</v>
      </c>
      <c r="I378" t="n">
        <v>0</v>
      </c>
      <c r="J378" t="n">
        <v>0</v>
      </c>
      <c r="K378" t="n">
        <v>0</v>
      </c>
      <c r="L378" t="n">
        <v>0</v>
      </c>
      <c r="M378" t="n">
        <v>0</v>
      </c>
      <c r="N378" t="n">
        <v>0</v>
      </c>
      <c r="O378" t="n">
        <v>0</v>
      </c>
      <c r="P378" t="n">
        <v>0</v>
      </c>
      <c r="Q378" t="n">
        <v>0</v>
      </c>
      <c r="R378" s="2" t="inlineStr"/>
    </row>
    <row r="379" ht="15" customHeight="1">
      <c r="A379" t="inlineStr">
        <is>
          <t>A 61575-2024</t>
        </is>
      </c>
      <c r="B379" s="1" t="n">
        <v>45646.61907407407</v>
      </c>
      <c r="C379" s="1" t="n">
        <v>45887</v>
      </c>
      <c r="D379" t="inlineStr">
        <is>
          <t>DALARNAS LÄN</t>
        </is>
      </c>
      <c r="E379" t="inlineStr">
        <is>
          <t>ÄLVDALEN</t>
        </is>
      </c>
      <c r="G379" t="n">
        <v>0.6</v>
      </c>
      <c r="H379" t="n">
        <v>0</v>
      </c>
      <c r="I379" t="n">
        <v>0</v>
      </c>
      <c r="J379" t="n">
        <v>0</v>
      </c>
      <c r="K379" t="n">
        <v>0</v>
      </c>
      <c r="L379" t="n">
        <v>0</v>
      </c>
      <c r="M379" t="n">
        <v>0</v>
      </c>
      <c r="N379" t="n">
        <v>0</v>
      </c>
      <c r="O379" t="n">
        <v>0</v>
      </c>
      <c r="P379" t="n">
        <v>0</v>
      </c>
      <c r="Q379" t="n">
        <v>0</v>
      </c>
      <c r="R379" s="2" t="inlineStr"/>
    </row>
    <row r="380" ht="15" customHeight="1">
      <c r="A380" t="inlineStr">
        <is>
          <t>A 3904-2024</t>
        </is>
      </c>
      <c r="B380" s="1" t="n">
        <v>45322</v>
      </c>
      <c r="C380" s="1" t="n">
        <v>45887</v>
      </c>
      <c r="D380" t="inlineStr">
        <is>
          <t>DALARNAS LÄN</t>
        </is>
      </c>
      <c r="E380" t="inlineStr">
        <is>
          <t>ÄLVDALEN</t>
        </is>
      </c>
      <c r="G380" t="n">
        <v>1.5</v>
      </c>
      <c r="H380" t="n">
        <v>0</v>
      </c>
      <c r="I380" t="n">
        <v>0</v>
      </c>
      <c r="J380" t="n">
        <v>0</v>
      </c>
      <c r="K380" t="n">
        <v>0</v>
      </c>
      <c r="L380" t="n">
        <v>0</v>
      </c>
      <c r="M380" t="n">
        <v>0</v>
      </c>
      <c r="N380" t="n">
        <v>0</v>
      </c>
      <c r="O380" t="n">
        <v>0</v>
      </c>
      <c r="P380" t="n">
        <v>0</v>
      </c>
      <c r="Q380" t="n">
        <v>0</v>
      </c>
      <c r="R380" s="2" t="inlineStr"/>
    </row>
    <row r="381" ht="15" customHeight="1">
      <c r="A381" t="inlineStr">
        <is>
          <t>A 36462-2024</t>
        </is>
      </c>
      <c r="B381" s="1" t="n">
        <v>45537.35211805555</v>
      </c>
      <c r="C381" s="1" t="n">
        <v>45887</v>
      </c>
      <c r="D381" t="inlineStr">
        <is>
          <t>DALARNAS LÄN</t>
        </is>
      </c>
      <c r="E381" t="inlineStr">
        <is>
          <t>ÄLVDALEN</t>
        </is>
      </c>
      <c r="G381" t="n">
        <v>5</v>
      </c>
      <c r="H381" t="n">
        <v>0</v>
      </c>
      <c r="I381" t="n">
        <v>0</v>
      </c>
      <c r="J381" t="n">
        <v>0</v>
      </c>
      <c r="K381" t="n">
        <v>0</v>
      </c>
      <c r="L381" t="n">
        <v>0</v>
      </c>
      <c r="M381" t="n">
        <v>0</v>
      </c>
      <c r="N381" t="n">
        <v>0</v>
      </c>
      <c r="O381" t="n">
        <v>0</v>
      </c>
      <c r="P381" t="n">
        <v>0</v>
      </c>
      <c r="Q381" t="n">
        <v>0</v>
      </c>
      <c r="R381" s="2" t="inlineStr"/>
    </row>
    <row r="382" ht="15" customHeight="1">
      <c r="A382" t="inlineStr">
        <is>
          <t>A 19583-2025</t>
        </is>
      </c>
      <c r="B382" s="1" t="n">
        <v>45770</v>
      </c>
      <c r="C382" s="1" t="n">
        <v>45887</v>
      </c>
      <c r="D382" t="inlineStr">
        <is>
          <t>DALARNAS LÄN</t>
        </is>
      </c>
      <c r="E382" t="inlineStr">
        <is>
          <t>ÄLVDALEN</t>
        </is>
      </c>
      <c r="F382" t="inlineStr">
        <is>
          <t>Sveaskog</t>
        </is>
      </c>
      <c r="G382" t="n">
        <v>24.1</v>
      </c>
      <c r="H382" t="n">
        <v>0</v>
      </c>
      <c r="I382" t="n">
        <v>0</v>
      </c>
      <c r="J382" t="n">
        <v>0</v>
      </c>
      <c r="K382" t="n">
        <v>0</v>
      </c>
      <c r="L382" t="n">
        <v>0</v>
      </c>
      <c r="M382" t="n">
        <v>0</v>
      </c>
      <c r="N382" t="n">
        <v>0</v>
      </c>
      <c r="O382" t="n">
        <v>0</v>
      </c>
      <c r="P382" t="n">
        <v>0</v>
      </c>
      <c r="Q382" t="n">
        <v>0</v>
      </c>
      <c r="R382" s="2" t="inlineStr"/>
    </row>
    <row r="383" ht="15" customHeight="1">
      <c r="A383" t="inlineStr">
        <is>
          <t>A 50385-2024</t>
        </is>
      </c>
      <c r="B383" s="1" t="n">
        <v>45600</v>
      </c>
      <c r="C383" s="1" t="n">
        <v>45887</v>
      </c>
      <c r="D383" t="inlineStr">
        <is>
          <t>DALARNAS LÄN</t>
        </is>
      </c>
      <c r="E383" t="inlineStr">
        <is>
          <t>ÄLVDALEN</t>
        </is>
      </c>
      <c r="F383" t="inlineStr">
        <is>
          <t>Övriga statliga verk och myndigheter</t>
        </is>
      </c>
      <c r="G383" t="n">
        <v>13.9</v>
      </c>
      <c r="H383" t="n">
        <v>0</v>
      </c>
      <c r="I383" t="n">
        <v>0</v>
      </c>
      <c r="J383" t="n">
        <v>0</v>
      </c>
      <c r="K383" t="n">
        <v>0</v>
      </c>
      <c r="L383" t="n">
        <v>0</v>
      </c>
      <c r="M383" t="n">
        <v>0</v>
      </c>
      <c r="N383" t="n">
        <v>0</v>
      </c>
      <c r="O383" t="n">
        <v>0</v>
      </c>
      <c r="P383" t="n">
        <v>0</v>
      </c>
      <c r="Q383" t="n">
        <v>0</v>
      </c>
      <c r="R383" s="2" t="inlineStr"/>
    </row>
    <row r="384" ht="15" customHeight="1">
      <c r="A384" t="inlineStr">
        <is>
          <t>A 19578-2025</t>
        </is>
      </c>
      <c r="B384" s="1" t="n">
        <v>45770</v>
      </c>
      <c r="C384" s="1" t="n">
        <v>45887</v>
      </c>
      <c r="D384" t="inlineStr">
        <is>
          <t>DALARNAS LÄN</t>
        </is>
      </c>
      <c r="E384" t="inlineStr">
        <is>
          <t>ÄLVDALEN</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27918-2025</t>
        </is>
      </c>
      <c r="B385" s="1" t="n">
        <v>45817.48231481481</v>
      </c>
      <c r="C385" s="1" t="n">
        <v>45887</v>
      </c>
      <c r="D385" t="inlineStr">
        <is>
          <t>DALARNAS LÄN</t>
        </is>
      </c>
      <c r="E385" t="inlineStr">
        <is>
          <t>ÄLVDALEN</t>
        </is>
      </c>
      <c r="G385" t="n">
        <v>5.6</v>
      </c>
      <c r="H385" t="n">
        <v>0</v>
      </c>
      <c r="I385" t="n">
        <v>0</v>
      </c>
      <c r="J385" t="n">
        <v>0</v>
      </c>
      <c r="K385" t="n">
        <v>0</v>
      </c>
      <c r="L385" t="n">
        <v>0</v>
      </c>
      <c r="M385" t="n">
        <v>0</v>
      </c>
      <c r="N385" t="n">
        <v>0</v>
      </c>
      <c r="O385" t="n">
        <v>0</v>
      </c>
      <c r="P385" t="n">
        <v>0</v>
      </c>
      <c r="Q385" t="n">
        <v>0</v>
      </c>
      <c r="R385" s="2" t="inlineStr"/>
    </row>
    <row r="386" ht="15" customHeight="1">
      <c r="A386" t="inlineStr">
        <is>
          <t>A 49956-2020</t>
        </is>
      </c>
      <c r="B386" s="1" t="n">
        <v>44109</v>
      </c>
      <c r="C386" s="1" t="n">
        <v>45887</v>
      </c>
      <c r="D386" t="inlineStr">
        <is>
          <t>DALARNAS LÄN</t>
        </is>
      </c>
      <c r="E386" t="inlineStr">
        <is>
          <t>ÄLVDALEN</t>
        </is>
      </c>
      <c r="F386" t="inlineStr">
        <is>
          <t>Övriga Aktiebolag</t>
        </is>
      </c>
      <c r="G386" t="n">
        <v>25.8</v>
      </c>
      <c r="H386" t="n">
        <v>0</v>
      </c>
      <c r="I386" t="n">
        <v>0</v>
      </c>
      <c r="J386" t="n">
        <v>0</v>
      </c>
      <c r="K386" t="n">
        <v>0</v>
      </c>
      <c r="L386" t="n">
        <v>0</v>
      </c>
      <c r="M386" t="n">
        <v>0</v>
      </c>
      <c r="N386" t="n">
        <v>0</v>
      </c>
      <c r="O386" t="n">
        <v>0</v>
      </c>
      <c r="P386" t="n">
        <v>0</v>
      </c>
      <c r="Q386" t="n">
        <v>0</v>
      </c>
      <c r="R386" s="2" t="inlineStr"/>
    </row>
    <row r="387" ht="15" customHeight="1">
      <c r="A387" t="inlineStr">
        <is>
          <t>A 771-2025</t>
        </is>
      </c>
      <c r="B387" s="1" t="n">
        <v>45665.46518518519</v>
      </c>
      <c r="C387" s="1" t="n">
        <v>45887</v>
      </c>
      <c r="D387" t="inlineStr">
        <is>
          <t>DALARNAS LÄN</t>
        </is>
      </c>
      <c r="E387" t="inlineStr">
        <is>
          <t>ÄLVDALEN</t>
        </is>
      </c>
      <c r="G387" t="n">
        <v>1</v>
      </c>
      <c r="H387" t="n">
        <v>0</v>
      </c>
      <c r="I387" t="n">
        <v>0</v>
      </c>
      <c r="J387" t="n">
        <v>0</v>
      </c>
      <c r="K387" t="n">
        <v>0</v>
      </c>
      <c r="L387" t="n">
        <v>0</v>
      </c>
      <c r="M387" t="n">
        <v>0</v>
      </c>
      <c r="N387" t="n">
        <v>0</v>
      </c>
      <c r="O387" t="n">
        <v>0</v>
      </c>
      <c r="P387" t="n">
        <v>0</v>
      </c>
      <c r="Q387" t="n">
        <v>0</v>
      </c>
      <c r="R387" s="2" t="inlineStr"/>
    </row>
    <row r="388" ht="15" customHeight="1">
      <c r="A388" t="inlineStr">
        <is>
          <t>A 54338-2020</t>
        </is>
      </c>
      <c r="B388" s="1" t="n">
        <v>44126</v>
      </c>
      <c r="C388" s="1" t="n">
        <v>45887</v>
      </c>
      <c r="D388" t="inlineStr">
        <is>
          <t>DALARNAS LÄN</t>
        </is>
      </c>
      <c r="E388" t="inlineStr">
        <is>
          <t>ÄLVDALEN</t>
        </is>
      </c>
      <c r="G388" t="n">
        <v>3.4</v>
      </c>
      <c r="H388" t="n">
        <v>0</v>
      </c>
      <c r="I388" t="n">
        <v>0</v>
      </c>
      <c r="J388" t="n">
        <v>0</v>
      </c>
      <c r="K388" t="n">
        <v>0</v>
      </c>
      <c r="L388" t="n">
        <v>0</v>
      </c>
      <c r="M388" t="n">
        <v>0</v>
      </c>
      <c r="N388" t="n">
        <v>0</v>
      </c>
      <c r="O388" t="n">
        <v>0</v>
      </c>
      <c r="P388" t="n">
        <v>0</v>
      </c>
      <c r="Q388" t="n">
        <v>0</v>
      </c>
      <c r="R388" s="2" t="inlineStr"/>
    </row>
    <row r="389" ht="15" customHeight="1">
      <c r="A389" t="inlineStr">
        <is>
          <t>A 28838-2025</t>
        </is>
      </c>
      <c r="B389" s="1" t="n">
        <v>45820.56359953704</v>
      </c>
      <c r="C389" s="1" t="n">
        <v>45887</v>
      </c>
      <c r="D389" t="inlineStr">
        <is>
          <t>DALARNAS LÄN</t>
        </is>
      </c>
      <c r="E389" t="inlineStr">
        <is>
          <t>ÄLVDALEN</t>
        </is>
      </c>
      <c r="F389" t="inlineStr">
        <is>
          <t>Allmännings- och besparingsskogar</t>
        </is>
      </c>
      <c r="G389" t="n">
        <v>7.5</v>
      </c>
      <c r="H389" t="n">
        <v>0</v>
      </c>
      <c r="I389" t="n">
        <v>0</v>
      </c>
      <c r="J389" t="n">
        <v>0</v>
      </c>
      <c r="K389" t="n">
        <v>0</v>
      </c>
      <c r="L389" t="n">
        <v>0</v>
      </c>
      <c r="M389" t="n">
        <v>0</v>
      </c>
      <c r="N389" t="n">
        <v>0</v>
      </c>
      <c r="O389" t="n">
        <v>0</v>
      </c>
      <c r="P389" t="n">
        <v>0</v>
      </c>
      <c r="Q389" t="n">
        <v>0</v>
      </c>
      <c r="R389" s="2" t="inlineStr"/>
    </row>
    <row r="390" ht="15" customHeight="1">
      <c r="A390" t="inlineStr">
        <is>
          <t>A 28844-2025</t>
        </is>
      </c>
      <c r="B390" s="1" t="n">
        <v>45820.57053240741</v>
      </c>
      <c r="C390" s="1" t="n">
        <v>45887</v>
      </c>
      <c r="D390" t="inlineStr">
        <is>
          <t>DALARNAS LÄN</t>
        </is>
      </c>
      <c r="E390" t="inlineStr">
        <is>
          <t>ÄLVDALEN</t>
        </is>
      </c>
      <c r="F390" t="inlineStr">
        <is>
          <t>Allmännings- och besparingsskogar</t>
        </is>
      </c>
      <c r="G390" t="n">
        <v>1.3</v>
      </c>
      <c r="H390" t="n">
        <v>0</v>
      </c>
      <c r="I390" t="n">
        <v>0</v>
      </c>
      <c r="J390" t="n">
        <v>0</v>
      </c>
      <c r="K390" t="n">
        <v>0</v>
      </c>
      <c r="L390" t="n">
        <v>0</v>
      </c>
      <c r="M390" t="n">
        <v>0</v>
      </c>
      <c r="N390" t="n">
        <v>0</v>
      </c>
      <c r="O390" t="n">
        <v>0</v>
      </c>
      <c r="P390" t="n">
        <v>0</v>
      </c>
      <c r="Q390" t="n">
        <v>0</v>
      </c>
      <c r="R390" s="2" t="inlineStr"/>
    </row>
    <row r="391" ht="15" customHeight="1">
      <c r="A391" t="inlineStr">
        <is>
          <t>A 28842-2025</t>
        </is>
      </c>
      <c r="B391" s="1" t="n">
        <v>45820.56780092593</v>
      </c>
      <c r="C391" s="1" t="n">
        <v>45887</v>
      </c>
      <c r="D391" t="inlineStr">
        <is>
          <t>DALARNAS LÄN</t>
        </is>
      </c>
      <c r="E391" t="inlineStr">
        <is>
          <t>ÄLVDALEN</t>
        </is>
      </c>
      <c r="F391" t="inlineStr">
        <is>
          <t>Allmännings- och besparingsskogar</t>
        </is>
      </c>
      <c r="G391" t="n">
        <v>3.7</v>
      </c>
      <c r="H391" t="n">
        <v>0</v>
      </c>
      <c r="I391" t="n">
        <v>0</v>
      </c>
      <c r="J391" t="n">
        <v>0</v>
      </c>
      <c r="K391" t="n">
        <v>0</v>
      </c>
      <c r="L391" t="n">
        <v>0</v>
      </c>
      <c r="M391" t="n">
        <v>0</v>
      </c>
      <c r="N391" t="n">
        <v>0</v>
      </c>
      <c r="O391" t="n">
        <v>0</v>
      </c>
      <c r="P391" t="n">
        <v>0</v>
      </c>
      <c r="Q391" t="n">
        <v>0</v>
      </c>
      <c r="R391" s="2" t="inlineStr"/>
    </row>
    <row r="392" ht="15" customHeight="1">
      <c r="A392" t="inlineStr">
        <is>
          <t>A 7164-2021</t>
        </is>
      </c>
      <c r="B392" s="1" t="n">
        <v>44238</v>
      </c>
      <c r="C392" s="1" t="n">
        <v>45887</v>
      </c>
      <c r="D392" t="inlineStr">
        <is>
          <t>DALARNAS LÄN</t>
        </is>
      </c>
      <c r="E392" t="inlineStr">
        <is>
          <t>ÄLVDALEN</t>
        </is>
      </c>
      <c r="G392" t="n">
        <v>1.1</v>
      </c>
      <c r="H392" t="n">
        <v>0</v>
      </c>
      <c r="I392" t="n">
        <v>0</v>
      </c>
      <c r="J392" t="n">
        <v>0</v>
      </c>
      <c r="K392" t="n">
        <v>0</v>
      </c>
      <c r="L392" t="n">
        <v>0</v>
      </c>
      <c r="M392" t="n">
        <v>0</v>
      </c>
      <c r="N392" t="n">
        <v>0</v>
      </c>
      <c r="O392" t="n">
        <v>0</v>
      </c>
      <c r="P392" t="n">
        <v>0</v>
      </c>
      <c r="Q392" t="n">
        <v>0</v>
      </c>
      <c r="R392" s="2" t="inlineStr"/>
    </row>
    <row r="393" ht="15" customHeight="1">
      <c r="A393" t="inlineStr">
        <is>
          <t>A 3893-2024</t>
        </is>
      </c>
      <c r="B393" s="1" t="n">
        <v>45322</v>
      </c>
      <c r="C393" s="1" t="n">
        <v>45887</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37665-2023</t>
        </is>
      </c>
      <c r="B394" s="1" t="n">
        <v>45159.5371875</v>
      </c>
      <c r="C394" s="1" t="n">
        <v>45887</v>
      </c>
      <c r="D394" t="inlineStr">
        <is>
          <t>DALARNAS LÄN</t>
        </is>
      </c>
      <c r="E394" t="inlineStr">
        <is>
          <t>ÄLVDALEN</t>
        </is>
      </c>
      <c r="F394" t="inlineStr">
        <is>
          <t>Allmännings- och besparingsskogar</t>
        </is>
      </c>
      <c r="G394" t="n">
        <v>0.5</v>
      </c>
      <c r="H394" t="n">
        <v>0</v>
      </c>
      <c r="I394" t="n">
        <v>0</v>
      </c>
      <c r="J394" t="n">
        <v>0</v>
      </c>
      <c r="K394" t="n">
        <v>0</v>
      </c>
      <c r="L394" t="n">
        <v>0</v>
      </c>
      <c r="M394" t="n">
        <v>0</v>
      </c>
      <c r="N394" t="n">
        <v>0</v>
      </c>
      <c r="O394" t="n">
        <v>0</v>
      </c>
      <c r="P394" t="n">
        <v>0</v>
      </c>
      <c r="Q394" t="n">
        <v>0</v>
      </c>
      <c r="R394" s="2" t="inlineStr"/>
    </row>
    <row r="395" ht="15" customHeight="1">
      <c r="A395" t="inlineStr">
        <is>
          <t>A 1310-2024</t>
        </is>
      </c>
      <c r="B395" s="1" t="n">
        <v>45303</v>
      </c>
      <c r="C395" s="1" t="n">
        <v>45887</v>
      </c>
      <c r="D395" t="inlineStr">
        <is>
          <t>DALARNAS LÄN</t>
        </is>
      </c>
      <c r="E395" t="inlineStr">
        <is>
          <t>ÄLVDALEN</t>
        </is>
      </c>
      <c r="G395" t="n">
        <v>4.3</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45887</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41137-2024</t>
        </is>
      </c>
      <c r="B397" s="1" t="n">
        <v>45559.46734953704</v>
      </c>
      <c r="C397" s="1" t="n">
        <v>45887</v>
      </c>
      <c r="D397" t="inlineStr">
        <is>
          <t>DALARNAS LÄN</t>
        </is>
      </c>
      <c r="E397" t="inlineStr">
        <is>
          <t>ÄLVDALEN</t>
        </is>
      </c>
      <c r="G397" t="n">
        <v>4.8</v>
      </c>
      <c r="H397" t="n">
        <v>0</v>
      </c>
      <c r="I397" t="n">
        <v>0</v>
      </c>
      <c r="J397" t="n">
        <v>0</v>
      </c>
      <c r="K397" t="n">
        <v>0</v>
      </c>
      <c r="L397" t="n">
        <v>0</v>
      </c>
      <c r="M397" t="n">
        <v>0</v>
      </c>
      <c r="N397" t="n">
        <v>0</v>
      </c>
      <c r="O397" t="n">
        <v>0</v>
      </c>
      <c r="P397" t="n">
        <v>0</v>
      </c>
      <c r="Q397" t="n">
        <v>0</v>
      </c>
      <c r="R397" s="2" t="inlineStr"/>
    </row>
    <row r="398" ht="15" customHeight="1">
      <c r="A398" t="inlineStr">
        <is>
          <t>A 30025-2025</t>
        </is>
      </c>
      <c r="B398" s="1" t="n">
        <v>45826.56265046296</v>
      </c>
      <c r="C398" s="1" t="n">
        <v>45887</v>
      </c>
      <c r="D398" t="inlineStr">
        <is>
          <t>DALARNAS LÄN</t>
        </is>
      </c>
      <c r="E398" t="inlineStr">
        <is>
          <t>ÄLVDALEN</t>
        </is>
      </c>
      <c r="G398" t="n">
        <v>9</v>
      </c>
      <c r="H398" t="n">
        <v>0</v>
      </c>
      <c r="I398" t="n">
        <v>0</v>
      </c>
      <c r="J398" t="n">
        <v>0</v>
      </c>
      <c r="K398" t="n">
        <v>0</v>
      </c>
      <c r="L398" t="n">
        <v>0</v>
      </c>
      <c r="M398" t="n">
        <v>0</v>
      </c>
      <c r="N398" t="n">
        <v>0</v>
      </c>
      <c r="O398" t="n">
        <v>0</v>
      </c>
      <c r="P398" t="n">
        <v>0</v>
      </c>
      <c r="Q398" t="n">
        <v>0</v>
      </c>
      <c r="R398" s="2" t="inlineStr"/>
    </row>
    <row r="399" ht="15" customHeight="1">
      <c r="A399" t="inlineStr">
        <is>
          <t>A 30032-2025</t>
        </is>
      </c>
      <c r="B399" s="1" t="n">
        <v>45826.56873842593</v>
      </c>
      <c r="C399" s="1" t="n">
        <v>45887</v>
      </c>
      <c r="D399" t="inlineStr">
        <is>
          <t>DALARNAS LÄN</t>
        </is>
      </c>
      <c r="E399" t="inlineStr">
        <is>
          <t>ÄLVDALEN</t>
        </is>
      </c>
      <c r="G399" t="n">
        <v>5.5</v>
      </c>
      <c r="H399" t="n">
        <v>0</v>
      </c>
      <c r="I399" t="n">
        <v>0</v>
      </c>
      <c r="J399" t="n">
        <v>0</v>
      </c>
      <c r="K399" t="n">
        <v>0</v>
      </c>
      <c r="L399" t="n">
        <v>0</v>
      </c>
      <c r="M399" t="n">
        <v>0</v>
      </c>
      <c r="N399" t="n">
        <v>0</v>
      </c>
      <c r="O399" t="n">
        <v>0</v>
      </c>
      <c r="P399" t="n">
        <v>0</v>
      </c>
      <c r="Q399" t="n">
        <v>0</v>
      </c>
      <c r="R399" s="2" t="inlineStr"/>
    </row>
    <row r="400" ht="15" customHeight="1">
      <c r="A400" t="inlineStr">
        <is>
          <t>A 39064-2021</t>
        </is>
      </c>
      <c r="B400" s="1" t="n">
        <v>44411</v>
      </c>
      <c r="C400" s="1" t="n">
        <v>45887</v>
      </c>
      <c r="D400" t="inlineStr">
        <is>
          <t>DALARNAS LÄN</t>
        </is>
      </c>
      <c r="E400" t="inlineStr">
        <is>
          <t>ÄLVDALEN</t>
        </is>
      </c>
      <c r="F400" t="inlineStr">
        <is>
          <t>Övriga statliga verk och myndigheter</t>
        </is>
      </c>
      <c r="G400" t="n">
        <v>4.5</v>
      </c>
      <c r="H400" t="n">
        <v>0</v>
      </c>
      <c r="I400" t="n">
        <v>0</v>
      </c>
      <c r="J400" t="n">
        <v>0</v>
      </c>
      <c r="K400" t="n">
        <v>0</v>
      </c>
      <c r="L400" t="n">
        <v>0</v>
      </c>
      <c r="M400" t="n">
        <v>0</v>
      </c>
      <c r="N400" t="n">
        <v>0</v>
      </c>
      <c r="O400" t="n">
        <v>0</v>
      </c>
      <c r="P400" t="n">
        <v>0</v>
      </c>
      <c r="Q400" t="n">
        <v>0</v>
      </c>
      <c r="R400" s="2" t="inlineStr"/>
    </row>
    <row r="401" ht="15" customHeight="1">
      <c r="A401" t="inlineStr">
        <is>
          <t>A 36257-2025</t>
        </is>
      </c>
      <c r="B401" s="1" t="n">
        <v>45867.591875</v>
      </c>
      <c r="C401" s="1" t="n">
        <v>45887</v>
      </c>
      <c r="D401" t="inlineStr">
        <is>
          <t>DALARNAS LÄN</t>
        </is>
      </c>
      <c r="E401" t="inlineStr">
        <is>
          <t>ÄLVDALEN</t>
        </is>
      </c>
      <c r="F401" t="inlineStr">
        <is>
          <t>Allmännings- och besparingsskogar</t>
        </is>
      </c>
      <c r="G401" t="n">
        <v>1.9</v>
      </c>
      <c r="H401" t="n">
        <v>0</v>
      </c>
      <c r="I401" t="n">
        <v>0</v>
      </c>
      <c r="J401" t="n">
        <v>0</v>
      </c>
      <c r="K401" t="n">
        <v>0</v>
      </c>
      <c r="L401" t="n">
        <v>0</v>
      </c>
      <c r="M401" t="n">
        <v>0</v>
      </c>
      <c r="N401" t="n">
        <v>0</v>
      </c>
      <c r="O401" t="n">
        <v>0</v>
      </c>
      <c r="P401" t="n">
        <v>0</v>
      </c>
      <c r="Q401" t="n">
        <v>0</v>
      </c>
      <c r="R401" s="2" t="inlineStr"/>
    </row>
    <row r="402" ht="15" customHeight="1">
      <c r="A402" t="inlineStr">
        <is>
          <t>A 52469-2022</t>
        </is>
      </c>
      <c r="B402" s="1" t="n">
        <v>44874</v>
      </c>
      <c r="C402" s="1" t="n">
        <v>45887</v>
      </c>
      <c r="D402" t="inlineStr">
        <is>
          <t>DALARNAS LÄN</t>
        </is>
      </c>
      <c r="E402" t="inlineStr">
        <is>
          <t>ÄLVDALEN</t>
        </is>
      </c>
      <c r="G402" t="n">
        <v>1.7</v>
      </c>
      <c r="H402" t="n">
        <v>0</v>
      </c>
      <c r="I402" t="n">
        <v>0</v>
      </c>
      <c r="J402" t="n">
        <v>0</v>
      </c>
      <c r="K402" t="n">
        <v>0</v>
      </c>
      <c r="L402" t="n">
        <v>0</v>
      </c>
      <c r="M402" t="n">
        <v>0</v>
      </c>
      <c r="N402" t="n">
        <v>0</v>
      </c>
      <c r="O402" t="n">
        <v>0</v>
      </c>
      <c r="P402" t="n">
        <v>0</v>
      </c>
      <c r="Q402" t="n">
        <v>0</v>
      </c>
      <c r="R402" s="2" t="inlineStr"/>
    </row>
    <row r="403" ht="15" customHeight="1">
      <c r="A403" t="inlineStr">
        <is>
          <t>A 30411-2024</t>
        </is>
      </c>
      <c r="B403" s="1" t="n">
        <v>45491.62447916667</v>
      </c>
      <c r="C403" s="1" t="n">
        <v>45887</v>
      </c>
      <c r="D403" t="inlineStr">
        <is>
          <t>DALARNAS LÄN</t>
        </is>
      </c>
      <c r="E403" t="inlineStr">
        <is>
          <t>ÄLVDALEN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19527-2025</t>
        </is>
      </c>
      <c r="B404" s="1" t="n">
        <v>45770.46546296297</v>
      </c>
      <c r="C404" s="1" t="n">
        <v>45887</v>
      </c>
      <c r="D404" t="inlineStr">
        <is>
          <t>DALARNAS LÄN</t>
        </is>
      </c>
      <c r="E404" t="inlineStr">
        <is>
          <t>ÄLVDALEN</t>
        </is>
      </c>
      <c r="F404" t="inlineStr">
        <is>
          <t>Allmännings- och besparingsskogar</t>
        </is>
      </c>
      <c r="G404" t="n">
        <v>4.2</v>
      </c>
      <c r="H404" t="n">
        <v>0</v>
      </c>
      <c r="I404" t="n">
        <v>0</v>
      </c>
      <c r="J404" t="n">
        <v>0</v>
      </c>
      <c r="K404" t="n">
        <v>0</v>
      </c>
      <c r="L404" t="n">
        <v>0</v>
      </c>
      <c r="M404" t="n">
        <v>0</v>
      </c>
      <c r="N404" t="n">
        <v>0</v>
      </c>
      <c r="O404" t="n">
        <v>0</v>
      </c>
      <c r="P404" t="n">
        <v>0</v>
      </c>
      <c r="Q404" t="n">
        <v>0</v>
      </c>
      <c r="R404" s="2" t="inlineStr"/>
    </row>
    <row r="405" ht="15" customHeight="1">
      <c r="A405" t="inlineStr">
        <is>
          <t>A 32740-2024</t>
        </is>
      </c>
      <c r="B405" s="1" t="n">
        <v>45516.43834490741</v>
      </c>
      <c r="C405" s="1" t="n">
        <v>45887</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6001-2024</t>
        </is>
      </c>
      <c r="B406" s="1" t="n">
        <v>45336</v>
      </c>
      <c r="C406" s="1" t="n">
        <v>45887</v>
      </c>
      <c r="D406" t="inlineStr">
        <is>
          <t>DALARNAS LÄN</t>
        </is>
      </c>
      <c r="E406" t="inlineStr">
        <is>
          <t>ÄLVDALEN</t>
        </is>
      </c>
      <c r="G406" t="n">
        <v>1.4</v>
      </c>
      <c r="H406" t="n">
        <v>0</v>
      </c>
      <c r="I406" t="n">
        <v>0</v>
      </c>
      <c r="J406" t="n">
        <v>0</v>
      </c>
      <c r="K406" t="n">
        <v>0</v>
      </c>
      <c r="L406" t="n">
        <v>0</v>
      </c>
      <c r="M406" t="n">
        <v>0</v>
      </c>
      <c r="N406" t="n">
        <v>0</v>
      </c>
      <c r="O406" t="n">
        <v>0</v>
      </c>
      <c r="P406" t="n">
        <v>0</v>
      </c>
      <c r="Q406" t="n">
        <v>0</v>
      </c>
      <c r="R406" s="2" t="inlineStr"/>
    </row>
    <row r="407" ht="15" customHeight="1">
      <c r="A407" t="inlineStr">
        <is>
          <t>A 44119-2022</t>
        </is>
      </c>
      <c r="B407" s="1" t="n">
        <v>44839.39157407408</v>
      </c>
      <c r="C407" s="1" t="n">
        <v>45887</v>
      </c>
      <c r="D407" t="inlineStr">
        <is>
          <t>DALARNAS LÄN</t>
        </is>
      </c>
      <c r="E407" t="inlineStr">
        <is>
          <t>ÄLVDALEN</t>
        </is>
      </c>
      <c r="G407" t="n">
        <v>3.2</v>
      </c>
      <c r="H407" t="n">
        <v>0</v>
      </c>
      <c r="I407" t="n">
        <v>0</v>
      </c>
      <c r="J407" t="n">
        <v>0</v>
      </c>
      <c r="K407" t="n">
        <v>0</v>
      </c>
      <c r="L407" t="n">
        <v>0</v>
      </c>
      <c r="M407" t="n">
        <v>0</v>
      </c>
      <c r="N407" t="n">
        <v>0</v>
      </c>
      <c r="O407" t="n">
        <v>0</v>
      </c>
      <c r="P407" t="n">
        <v>0</v>
      </c>
      <c r="Q407" t="n">
        <v>0</v>
      </c>
      <c r="R407" s="2" t="inlineStr"/>
    </row>
    <row r="408" ht="15" customHeight="1">
      <c r="A408" t="inlineStr">
        <is>
          <t>A 61160-2020</t>
        </is>
      </c>
      <c r="B408" s="1" t="n">
        <v>44153</v>
      </c>
      <c r="C408" s="1" t="n">
        <v>45887</v>
      </c>
      <c r="D408" t="inlineStr">
        <is>
          <t>DALARNAS LÄN</t>
        </is>
      </c>
      <c r="E408" t="inlineStr">
        <is>
          <t>ÄLVDALEN</t>
        </is>
      </c>
      <c r="F408" t="inlineStr">
        <is>
          <t>Allmännings- och besparingsskogar</t>
        </is>
      </c>
      <c r="G408" t="n">
        <v>1.7</v>
      </c>
      <c r="H408" t="n">
        <v>0</v>
      </c>
      <c r="I408" t="n">
        <v>0</v>
      </c>
      <c r="J408" t="n">
        <v>0</v>
      </c>
      <c r="K408" t="n">
        <v>0</v>
      </c>
      <c r="L408" t="n">
        <v>0</v>
      </c>
      <c r="M408" t="n">
        <v>0</v>
      </c>
      <c r="N408" t="n">
        <v>0</v>
      </c>
      <c r="O408" t="n">
        <v>0</v>
      </c>
      <c r="P408" t="n">
        <v>0</v>
      </c>
      <c r="Q408" t="n">
        <v>0</v>
      </c>
      <c r="R408" s="2" t="inlineStr"/>
    </row>
    <row r="409" ht="15" customHeight="1">
      <c r="A409" t="inlineStr">
        <is>
          <t>A 68219-2021</t>
        </is>
      </c>
      <c r="B409" s="1" t="n">
        <v>44526.57060185185</v>
      </c>
      <c r="C409" s="1" t="n">
        <v>45887</v>
      </c>
      <c r="D409" t="inlineStr">
        <is>
          <t>DALARNAS LÄN</t>
        </is>
      </c>
      <c r="E409" t="inlineStr">
        <is>
          <t>ÄLVDALEN</t>
        </is>
      </c>
      <c r="F409" t="inlineStr">
        <is>
          <t>Kyrkan</t>
        </is>
      </c>
      <c r="G409" t="n">
        <v>2.7</v>
      </c>
      <c r="H409" t="n">
        <v>0</v>
      </c>
      <c r="I409" t="n">
        <v>0</v>
      </c>
      <c r="J409" t="n">
        <v>0</v>
      </c>
      <c r="K409" t="n">
        <v>0</v>
      </c>
      <c r="L409" t="n">
        <v>0</v>
      </c>
      <c r="M409" t="n">
        <v>0</v>
      </c>
      <c r="N409" t="n">
        <v>0</v>
      </c>
      <c r="O409" t="n">
        <v>0</v>
      </c>
      <c r="P409" t="n">
        <v>0</v>
      </c>
      <c r="Q409" t="n">
        <v>0</v>
      </c>
      <c r="R409" s="2" t="inlineStr"/>
    </row>
    <row r="410" ht="15" customHeight="1">
      <c r="A410" t="inlineStr">
        <is>
          <t>A 43900-2024</t>
        </is>
      </c>
      <c r="B410" s="1" t="n">
        <v>45572.41975694444</v>
      </c>
      <c r="C410" s="1" t="n">
        <v>45887</v>
      </c>
      <c r="D410" t="inlineStr">
        <is>
          <t>DALARNAS LÄN</t>
        </is>
      </c>
      <c r="E410" t="inlineStr">
        <is>
          <t>ÄLVDALEN</t>
        </is>
      </c>
      <c r="F410" t="inlineStr">
        <is>
          <t>Bergvik skog väst AB</t>
        </is>
      </c>
      <c r="G410" t="n">
        <v>7.3</v>
      </c>
      <c r="H410" t="n">
        <v>0</v>
      </c>
      <c r="I410" t="n">
        <v>0</v>
      </c>
      <c r="J410" t="n">
        <v>0</v>
      </c>
      <c r="K410" t="n">
        <v>0</v>
      </c>
      <c r="L410" t="n">
        <v>0</v>
      </c>
      <c r="M410" t="n">
        <v>0</v>
      </c>
      <c r="N410" t="n">
        <v>0</v>
      </c>
      <c r="O410" t="n">
        <v>0</v>
      </c>
      <c r="P410" t="n">
        <v>0</v>
      </c>
      <c r="Q410" t="n">
        <v>0</v>
      </c>
      <c r="R410" s="2" t="inlineStr"/>
    </row>
    <row r="411" ht="15" customHeight="1">
      <c r="A411" t="inlineStr">
        <is>
          <t>A 29610-2024</t>
        </is>
      </c>
      <c r="B411" s="1" t="n">
        <v>45484</v>
      </c>
      <c r="C411" s="1" t="n">
        <v>45887</v>
      </c>
      <c r="D411" t="inlineStr">
        <is>
          <t>DALARNAS LÄN</t>
        </is>
      </c>
      <c r="E411" t="inlineStr">
        <is>
          <t>ÄLVDALEN</t>
        </is>
      </c>
      <c r="G411" t="n">
        <v>1</v>
      </c>
      <c r="H411" t="n">
        <v>0</v>
      </c>
      <c r="I411" t="n">
        <v>0</v>
      </c>
      <c r="J411" t="n">
        <v>0</v>
      </c>
      <c r="K411" t="n">
        <v>0</v>
      </c>
      <c r="L411" t="n">
        <v>0</v>
      </c>
      <c r="M411" t="n">
        <v>0</v>
      </c>
      <c r="N411" t="n">
        <v>0</v>
      </c>
      <c r="O411" t="n">
        <v>0</v>
      </c>
      <c r="P411" t="n">
        <v>0</v>
      </c>
      <c r="Q411" t="n">
        <v>0</v>
      </c>
      <c r="R411" s="2" t="inlineStr"/>
    </row>
    <row r="412" ht="15" customHeight="1">
      <c r="A412" t="inlineStr">
        <is>
          <t>A 30502-2025</t>
        </is>
      </c>
      <c r="B412" s="1" t="n">
        <v>45830.82903935185</v>
      </c>
      <c r="C412" s="1" t="n">
        <v>45887</v>
      </c>
      <c r="D412" t="inlineStr">
        <is>
          <t>DALARNAS LÄN</t>
        </is>
      </c>
      <c r="E412" t="inlineStr">
        <is>
          <t>ÄLVDALEN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36830-2025</t>
        </is>
      </c>
      <c r="B413" s="1" t="n">
        <v>45874.34365740741</v>
      </c>
      <c r="C413" s="1" t="n">
        <v>45887</v>
      </c>
      <c r="D413" t="inlineStr">
        <is>
          <t>DALARNAS LÄN</t>
        </is>
      </c>
      <c r="E413" t="inlineStr">
        <is>
          <t>ÄLVDALEN</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59108-2022</t>
        </is>
      </c>
      <c r="B414" s="1" t="n">
        <v>44904</v>
      </c>
      <c r="C414" s="1" t="n">
        <v>45887</v>
      </c>
      <c r="D414" t="inlineStr">
        <is>
          <t>DALARNAS LÄN</t>
        </is>
      </c>
      <c r="E414" t="inlineStr">
        <is>
          <t>ÄLVDALEN</t>
        </is>
      </c>
      <c r="G414" t="n">
        <v>1.3</v>
      </c>
      <c r="H414" t="n">
        <v>0</v>
      </c>
      <c r="I414" t="n">
        <v>0</v>
      </c>
      <c r="J414" t="n">
        <v>0</v>
      </c>
      <c r="K414" t="n">
        <v>0</v>
      </c>
      <c r="L414" t="n">
        <v>0</v>
      </c>
      <c r="M414" t="n">
        <v>0</v>
      </c>
      <c r="N414" t="n">
        <v>0</v>
      </c>
      <c r="O414" t="n">
        <v>0</v>
      </c>
      <c r="P414" t="n">
        <v>0</v>
      </c>
      <c r="Q414" t="n">
        <v>0</v>
      </c>
      <c r="R414" s="2" t="inlineStr"/>
    </row>
    <row r="415" ht="15" customHeight="1">
      <c r="A415" t="inlineStr">
        <is>
          <t>A 59668-2024</t>
        </is>
      </c>
      <c r="B415" s="1" t="n">
        <v>45639.37899305556</v>
      </c>
      <c r="C415" s="1" t="n">
        <v>45887</v>
      </c>
      <c r="D415" t="inlineStr">
        <is>
          <t>DALARNAS LÄN</t>
        </is>
      </c>
      <c r="E415" t="inlineStr">
        <is>
          <t>ÄLVDALEN</t>
        </is>
      </c>
      <c r="G415" t="n">
        <v>2.5</v>
      </c>
      <c r="H415" t="n">
        <v>0</v>
      </c>
      <c r="I415" t="n">
        <v>0</v>
      </c>
      <c r="J415" t="n">
        <v>0</v>
      </c>
      <c r="K415" t="n">
        <v>0</v>
      </c>
      <c r="L415" t="n">
        <v>0</v>
      </c>
      <c r="M415" t="n">
        <v>0</v>
      </c>
      <c r="N415" t="n">
        <v>0</v>
      </c>
      <c r="O415" t="n">
        <v>0</v>
      </c>
      <c r="P415" t="n">
        <v>0</v>
      </c>
      <c r="Q415" t="n">
        <v>0</v>
      </c>
      <c r="R415" s="2" t="inlineStr"/>
    </row>
    <row r="416" ht="15" customHeight="1">
      <c r="A416" t="inlineStr">
        <is>
          <t>A 59671-2024</t>
        </is>
      </c>
      <c r="B416" s="1" t="n">
        <v>45639.3862962963</v>
      </c>
      <c r="C416" s="1" t="n">
        <v>45887</v>
      </c>
      <c r="D416" t="inlineStr">
        <is>
          <t>DALARNAS LÄN</t>
        </is>
      </c>
      <c r="E416" t="inlineStr">
        <is>
          <t>ÄLVDALEN</t>
        </is>
      </c>
      <c r="G416" t="n">
        <v>2.2</v>
      </c>
      <c r="H416" t="n">
        <v>0</v>
      </c>
      <c r="I416" t="n">
        <v>0</v>
      </c>
      <c r="J416" t="n">
        <v>0</v>
      </c>
      <c r="K416" t="n">
        <v>0</v>
      </c>
      <c r="L416" t="n">
        <v>0</v>
      </c>
      <c r="M416" t="n">
        <v>0</v>
      </c>
      <c r="N416" t="n">
        <v>0</v>
      </c>
      <c r="O416" t="n">
        <v>0</v>
      </c>
      <c r="P416" t="n">
        <v>0</v>
      </c>
      <c r="Q416" t="n">
        <v>0</v>
      </c>
      <c r="R416" s="2" t="inlineStr"/>
    </row>
    <row r="417" ht="15" customHeight="1">
      <c r="A417" t="inlineStr">
        <is>
          <t>A 3900-2024</t>
        </is>
      </c>
      <c r="B417" s="1" t="n">
        <v>45322</v>
      </c>
      <c r="C417" s="1" t="n">
        <v>45887</v>
      </c>
      <c r="D417" t="inlineStr">
        <is>
          <t>DALARNAS LÄN</t>
        </is>
      </c>
      <c r="E417" t="inlineStr">
        <is>
          <t>ÄLVDALEN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2375-2024</t>
        </is>
      </c>
      <c r="B418" s="1" t="n">
        <v>45310</v>
      </c>
      <c r="C418" s="1" t="n">
        <v>45887</v>
      </c>
      <c r="D418" t="inlineStr">
        <is>
          <t>DALARNAS LÄN</t>
        </is>
      </c>
      <c r="E418" t="inlineStr">
        <is>
          <t>ÄLVDALEN</t>
        </is>
      </c>
      <c r="G418" t="n">
        <v>5.4</v>
      </c>
      <c r="H418" t="n">
        <v>0</v>
      </c>
      <c r="I418" t="n">
        <v>0</v>
      </c>
      <c r="J418" t="n">
        <v>0</v>
      </c>
      <c r="K418" t="n">
        <v>0</v>
      </c>
      <c r="L418" t="n">
        <v>0</v>
      </c>
      <c r="M418" t="n">
        <v>0</v>
      </c>
      <c r="N418" t="n">
        <v>0</v>
      </c>
      <c r="O418" t="n">
        <v>0</v>
      </c>
      <c r="P418" t="n">
        <v>0</v>
      </c>
      <c r="Q418" t="n">
        <v>0</v>
      </c>
      <c r="R418" s="2" t="inlineStr"/>
    </row>
    <row r="419" ht="15" customHeight="1">
      <c r="A419" t="inlineStr">
        <is>
          <t>A 49723-2023</t>
        </is>
      </c>
      <c r="B419" s="1" t="n">
        <v>45212</v>
      </c>
      <c r="C419" s="1" t="n">
        <v>45887</v>
      </c>
      <c r="D419" t="inlineStr">
        <is>
          <t>DALARNAS LÄN</t>
        </is>
      </c>
      <c r="E419" t="inlineStr">
        <is>
          <t>ÄLVDALEN</t>
        </is>
      </c>
      <c r="F419" t="inlineStr">
        <is>
          <t>Bergvik skog väst AB</t>
        </is>
      </c>
      <c r="G419" t="n">
        <v>5</v>
      </c>
      <c r="H419" t="n">
        <v>0</v>
      </c>
      <c r="I419" t="n">
        <v>0</v>
      </c>
      <c r="J419" t="n">
        <v>0</v>
      </c>
      <c r="K419" t="n">
        <v>0</v>
      </c>
      <c r="L419" t="n">
        <v>0</v>
      </c>
      <c r="M419" t="n">
        <v>0</v>
      </c>
      <c r="N419" t="n">
        <v>0</v>
      </c>
      <c r="O419" t="n">
        <v>0</v>
      </c>
      <c r="P419" t="n">
        <v>0</v>
      </c>
      <c r="Q419" t="n">
        <v>0</v>
      </c>
      <c r="R419" s="2" t="inlineStr"/>
    </row>
    <row r="420" ht="15" customHeight="1">
      <c r="A420" t="inlineStr">
        <is>
          <t>A 43903-2024</t>
        </is>
      </c>
      <c r="B420" s="1" t="n">
        <v>45572</v>
      </c>
      <c r="C420" s="1" t="n">
        <v>45887</v>
      </c>
      <c r="D420" t="inlineStr">
        <is>
          <t>DALARNAS LÄN</t>
        </is>
      </c>
      <c r="E420" t="inlineStr">
        <is>
          <t>ÄLVDALEN</t>
        </is>
      </c>
      <c r="F420" t="inlineStr">
        <is>
          <t>Bergvik skog väst AB</t>
        </is>
      </c>
      <c r="G420" t="n">
        <v>0.7</v>
      </c>
      <c r="H420" t="n">
        <v>0</v>
      </c>
      <c r="I420" t="n">
        <v>0</v>
      </c>
      <c r="J420" t="n">
        <v>0</v>
      </c>
      <c r="K420" t="n">
        <v>0</v>
      </c>
      <c r="L420" t="n">
        <v>0</v>
      </c>
      <c r="M420" t="n">
        <v>0</v>
      </c>
      <c r="N420" t="n">
        <v>0</v>
      </c>
      <c r="O420" t="n">
        <v>0</v>
      </c>
      <c r="P420" t="n">
        <v>0</v>
      </c>
      <c r="Q420" t="n">
        <v>0</v>
      </c>
      <c r="R420" s="2" t="inlineStr"/>
    </row>
    <row r="421" ht="15" customHeight="1">
      <c r="A421" t="inlineStr">
        <is>
          <t>A 5885-2024</t>
        </is>
      </c>
      <c r="B421" s="1" t="n">
        <v>45335</v>
      </c>
      <c r="C421" s="1" t="n">
        <v>45887</v>
      </c>
      <c r="D421" t="inlineStr">
        <is>
          <t>DALARNAS LÄN</t>
        </is>
      </c>
      <c r="E421" t="inlineStr">
        <is>
          <t>ÄLVDALEN</t>
        </is>
      </c>
      <c r="G421" t="n">
        <v>0.8</v>
      </c>
      <c r="H421" t="n">
        <v>0</v>
      </c>
      <c r="I421" t="n">
        <v>0</v>
      </c>
      <c r="J421" t="n">
        <v>0</v>
      </c>
      <c r="K421" t="n">
        <v>0</v>
      </c>
      <c r="L421" t="n">
        <v>0</v>
      </c>
      <c r="M421" t="n">
        <v>0</v>
      </c>
      <c r="N421" t="n">
        <v>0</v>
      </c>
      <c r="O421" t="n">
        <v>0</v>
      </c>
      <c r="P421" t="n">
        <v>0</v>
      </c>
      <c r="Q421" t="n">
        <v>0</v>
      </c>
      <c r="R421" s="2" t="inlineStr"/>
    </row>
    <row r="422" ht="15" customHeight="1">
      <c r="A422" t="inlineStr">
        <is>
          <t>A 35161-2023</t>
        </is>
      </c>
      <c r="B422" s="1" t="n">
        <v>45145.57525462963</v>
      </c>
      <c r="C422" s="1" t="n">
        <v>45887</v>
      </c>
      <c r="D422" t="inlineStr">
        <is>
          <t>DALARNAS LÄN</t>
        </is>
      </c>
      <c r="E422" t="inlineStr">
        <is>
          <t>ÄLVDALEN</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31796-2025</t>
        </is>
      </c>
      <c r="B423" s="1" t="n">
        <v>45834.54943287037</v>
      </c>
      <c r="C423" s="1" t="n">
        <v>45887</v>
      </c>
      <c r="D423" t="inlineStr">
        <is>
          <t>DALARNAS LÄN</t>
        </is>
      </c>
      <c r="E423" t="inlineStr">
        <is>
          <t>ÄLVDALEN</t>
        </is>
      </c>
      <c r="G423" t="n">
        <v>65.5</v>
      </c>
      <c r="H423" t="n">
        <v>0</v>
      </c>
      <c r="I423" t="n">
        <v>0</v>
      </c>
      <c r="J423" t="n">
        <v>0</v>
      </c>
      <c r="K423" t="n">
        <v>0</v>
      </c>
      <c r="L423" t="n">
        <v>0</v>
      </c>
      <c r="M423" t="n">
        <v>0</v>
      </c>
      <c r="N423" t="n">
        <v>0</v>
      </c>
      <c r="O423" t="n">
        <v>0</v>
      </c>
      <c r="P423" t="n">
        <v>0</v>
      </c>
      <c r="Q423" t="n">
        <v>0</v>
      </c>
      <c r="R423" s="2" t="inlineStr"/>
    </row>
    <row r="424" ht="15" customHeight="1">
      <c r="A424" t="inlineStr">
        <is>
          <t>A 32063-2025</t>
        </is>
      </c>
      <c r="B424" s="1" t="n">
        <v>45835.44703703704</v>
      </c>
      <c r="C424" s="1" t="n">
        <v>45887</v>
      </c>
      <c r="D424" t="inlineStr">
        <is>
          <t>DALARNAS LÄN</t>
        </is>
      </c>
      <c r="E424" t="inlineStr">
        <is>
          <t>ÄLVDALEN</t>
        </is>
      </c>
      <c r="G424" t="n">
        <v>1.5</v>
      </c>
      <c r="H424" t="n">
        <v>0</v>
      </c>
      <c r="I424" t="n">
        <v>0</v>
      </c>
      <c r="J424" t="n">
        <v>0</v>
      </c>
      <c r="K424" t="n">
        <v>0</v>
      </c>
      <c r="L424" t="n">
        <v>0</v>
      </c>
      <c r="M424" t="n">
        <v>0</v>
      </c>
      <c r="N424" t="n">
        <v>0</v>
      </c>
      <c r="O424" t="n">
        <v>0</v>
      </c>
      <c r="P424" t="n">
        <v>0</v>
      </c>
      <c r="Q424" t="n">
        <v>0</v>
      </c>
      <c r="R424" s="2" t="inlineStr"/>
    </row>
    <row r="425" ht="15" customHeight="1">
      <c r="A425" t="inlineStr">
        <is>
          <t>A 47873-2023</t>
        </is>
      </c>
      <c r="B425" s="1" t="n">
        <v>45204</v>
      </c>
      <c r="C425" s="1" t="n">
        <v>45887</v>
      </c>
      <c r="D425" t="inlineStr">
        <is>
          <t>DALARNAS LÄN</t>
        </is>
      </c>
      <c r="E425" t="inlineStr">
        <is>
          <t>ÄLVDALEN</t>
        </is>
      </c>
      <c r="G425" t="n">
        <v>1.3</v>
      </c>
      <c r="H425" t="n">
        <v>0</v>
      </c>
      <c r="I425" t="n">
        <v>0</v>
      </c>
      <c r="J425" t="n">
        <v>0</v>
      </c>
      <c r="K425" t="n">
        <v>0</v>
      </c>
      <c r="L425" t="n">
        <v>0</v>
      </c>
      <c r="M425" t="n">
        <v>0</v>
      </c>
      <c r="N425" t="n">
        <v>0</v>
      </c>
      <c r="O425" t="n">
        <v>0</v>
      </c>
      <c r="P425" t="n">
        <v>0</v>
      </c>
      <c r="Q425" t="n">
        <v>0</v>
      </c>
      <c r="R425" s="2" t="inlineStr"/>
    </row>
    <row r="426" ht="15" customHeight="1">
      <c r="A426" t="inlineStr">
        <is>
          <t>A 31690-2024</t>
        </is>
      </c>
      <c r="B426" s="1" t="n">
        <v>45507</v>
      </c>
      <c r="C426" s="1" t="n">
        <v>45887</v>
      </c>
      <c r="D426" t="inlineStr">
        <is>
          <t>DALARNAS LÄN</t>
        </is>
      </c>
      <c r="E426" t="inlineStr">
        <is>
          <t>ÄLVDALEN</t>
        </is>
      </c>
      <c r="G426" t="n">
        <v>2.3</v>
      </c>
      <c r="H426" t="n">
        <v>0</v>
      </c>
      <c r="I426" t="n">
        <v>0</v>
      </c>
      <c r="J426" t="n">
        <v>0</v>
      </c>
      <c r="K426" t="n">
        <v>0</v>
      </c>
      <c r="L426" t="n">
        <v>0</v>
      </c>
      <c r="M426" t="n">
        <v>0</v>
      </c>
      <c r="N426" t="n">
        <v>0</v>
      </c>
      <c r="O426" t="n">
        <v>0</v>
      </c>
      <c r="P426" t="n">
        <v>0</v>
      </c>
      <c r="Q426" t="n">
        <v>0</v>
      </c>
      <c r="R426" s="2" t="inlineStr"/>
    </row>
    <row r="427" ht="15" customHeight="1">
      <c r="A427" t="inlineStr">
        <is>
          <t>A 23570-2023</t>
        </is>
      </c>
      <c r="B427" s="1" t="n">
        <v>45077</v>
      </c>
      <c r="C427" s="1" t="n">
        <v>45887</v>
      </c>
      <c r="D427" t="inlineStr">
        <is>
          <t>DALARNAS LÄN</t>
        </is>
      </c>
      <c r="E427" t="inlineStr">
        <is>
          <t>ÄLVDALEN</t>
        </is>
      </c>
      <c r="G427" t="n">
        <v>4.9</v>
      </c>
      <c r="H427" t="n">
        <v>0</v>
      </c>
      <c r="I427" t="n">
        <v>0</v>
      </c>
      <c r="J427" t="n">
        <v>0</v>
      </c>
      <c r="K427" t="n">
        <v>0</v>
      </c>
      <c r="L427" t="n">
        <v>0</v>
      </c>
      <c r="M427" t="n">
        <v>0</v>
      </c>
      <c r="N427" t="n">
        <v>0</v>
      </c>
      <c r="O427" t="n">
        <v>0</v>
      </c>
      <c r="P427" t="n">
        <v>0</v>
      </c>
      <c r="Q427" t="n">
        <v>0</v>
      </c>
      <c r="R427" s="2" t="inlineStr"/>
    </row>
    <row r="428" ht="15" customHeight="1">
      <c r="A428" t="inlineStr">
        <is>
          <t>A 39227-2024</t>
        </is>
      </c>
      <c r="B428" s="1" t="n">
        <v>45550.50548611111</v>
      </c>
      <c r="C428" s="1" t="n">
        <v>45887</v>
      </c>
      <c r="D428" t="inlineStr">
        <is>
          <t>DALARNAS LÄN</t>
        </is>
      </c>
      <c r="E428" t="inlineStr">
        <is>
          <t>ÄLVDALEN</t>
        </is>
      </c>
      <c r="G428" t="n">
        <v>0.2</v>
      </c>
      <c r="H428" t="n">
        <v>0</v>
      </c>
      <c r="I428" t="n">
        <v>0</v>
      </c>
      <c r="J428" t="n">
        <v>0</v>
      </c>
      <c r="K428" t="n">
        <v>0</v>
      </c>
      <c r="L428" t="n">
        <v>0</v>
      </c>
      <c r="M428" t="n">
        <v>0</v>
      </c>
      <c r="N428" t="n">
        <v>0</v>
      </c>
      <c r="O428" t="n">
        <v>0</v>
      </c>
      <c r="P428" t="n">
        <v>0</v>
      </c>
      <c r="Q428" t="n">
        <v>0</v>
      </c>
      <c r="R428" s="2" t="inlineStr"/>
    </row>
    <row r="429" ht="15" customHeight="1">
      <c r="A429" t="inlineStr">
        <is>
          <t>A 8492-2025</t>
        </is>
      </c>
      <c r="B429" s="1" t="n">
        <v>45709.50980324074</v>
      </c>
      <c r="C429" s="1" t="n">
        <v>45887</v>
      </c>
      <c r="D429" t="inlineStr">
        <is>
          <t>DALARNAS LÄN</t>
        </is>
      </c>
      <c r="E429" t="inlineStr">
        <is>
          <t>ÄLVDALEN</t>
        </is>
      </c>
      <c r="G429" t="n">
        <v>1.4</v>
      </c>
      <c r="H429" t="n">
        <v>0</v>
      </c>
      <c r="I429" t="n">
        <v>0</v>
      </c>
      <c r="J429" t="n">
        <v>0</v>
      </c>
      <c r="K429" t="n">
        <v>0</v>
      </c>
      <c r="L429" t="n">
        <v>0</v>
      </c>
      <c r="M429" t="n">
        <v>0</v>
      </c>
      <c r="N429" t="n">
        <v>0</v>
      </c>
      <c r="O429" t="n">
        <v>0</v>
      </c>
      <c r="P429" t="n">
        <v>0</v>
      </c>
      <c r="Q429" t="n">
        <v>0</v>
      </c>
      <c r="R429" s="2" t="inlineStr"/>
    </row>
    <row r="430" ht="15" customHeight="1">
      <c r="A430" t="inlineStr">
        <is>
          <t>A 32668-2025</t>
        </is>
      </c>
      <c r="B430" s="1" t="n">
        <v>45838.69678240741</v>
      </c>
      <c r="C430" s="1" t="n">
        <v>45887</v>
      </c>
      <c r="D430" t="inlineStr">
        <is>
          <t>DALARNAS LÄN</t>
        </is>
      </c>
      <c r="E430" t="inlineStr">
        <is>
          <t>ÄLVDALEN</t>
        </is>
      </c>
      <c r="F430" t="inlineStr">
        <is>
          <t>Övriga Aktiebolag</t>
        </is>
      </c>
      <c r="G430" t="n">
        <v>29.5</v>
      </c>
      <c r="H430" t="n">
        <v>0</v>
      </c>
      <c r="I430" t="n">
        <v>0</v>
      </c>
      <c r="J430" t="n">
        <v>0</v>
      </c>
      <c r="K430" t="n">
        <v>0</v>
      </c>
      <c r="L430" t="n">
        <v>0</v>
      </c>
      <c r="M430" t="n">
        <v>0</v>
      </c>
      <c r="N430" t="n">
        <v>0</v>
      </c>
      <c r="O430" t="n">
        <v>0</v>
      </c>
      <c r="P430" t="n">
        <v>0</v>
      </c>
      <c r="Q430" t="n">
        <v>0</v>
      </c>
      <c r="R430" s="2" t="inlineStr"/>
    </row>
    <row r="431" ht="15" customHeight="1">
      <c r="A431" t="inlineStr">
        <is>
          <t>A 510-2024</t>
        </is>
      </c>
      <c r="B431" s="1" t="n">
        <v>45299.39997685186</v>
      </c>
      <c r="C431" s="1" t="n">
        <v>45887</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4662-2024</t>
        </is>
      </c>
      <c r="B432" s="1" t="n">
        <v>45328.465625</v>
      </c>
      <c r="C432" s="1" t="n">
        <v>45887</v>
      </c>
      <c r="D432" t="inlineStr">
        <is>
          <t>DALARNAS LÄN</t>
        </is>
      </c>
      <c r="E432" t="inlineStr">
        <is>
          <t>ÄLVDALEN</t>
        </is>
      </c>
      <c r="G432" t="n">
        <v>4.9</v>
      </c>
      <c r="H432" t="n">
        <v>0</v>
      </c>
      <c r="I432" t="n">
        <v>0</v>
      </c>
      <c r="J432" t="n">
        <v>0</v>
      </c>
      <c r="K432" t="n">
        <v>0</v>
      </c>
      <c r="L432" t="n">
        <v>0</v>
      </c>
      <c r="M432" t="n">
        <v>0</v>
      </c>
      <c r="N432" t="n">
        <v>0</v>
      </c>
      <c r="O432" t="n">
        <v>0</v>
      </c>
      <c r="P432" t="n">
        <v>0</v>
      </c>
      <c r="Q432" t="n">
        <v>0</v>
      </c>
      <c r="R432" s="2" t="inlineStr"/>
    </row>
    <row r="433" ht="15" customHeight="1">
      <c r="A433" t="inlineStr">
        <is>
          <t>A 47087-2024</t>
        </is>
      </c>
      <c r="B433" s="1" t="n">
        <v>45586.50946759259</v>
      </c>
      <c r="C433" s="1" t="n">
        <v>45887</v>
      </c>
      <c r="D433" t="inlineStr">
        <is>
          <t>DALARNAS LÄN</t>
        </is>
      </c>
      <c r="E433" t="inlineStr">
        <is>
          <t>ÄLVDALEN</t>
        </is>
      </c>
      <c r="G433" t="n">
        <v>2.6</v>
      </c>
      <c r="H433" t="n">
        <v>0</v>
      </c>
      <c r="I433" t="n">
        <v>0</v>
      </c>
      <c r="J433" t="n">
        <v>0</v>
      </c>
      <c r="K433" t="n">
        <v>0</v>
      </c>
      <c r="L433" t="n">
        <v>0</v>
      </c>
      <c r="M433" t="n">
        <v>0</v>
      </c>
      <c r="N433" t="n">
        <v>0</v>
      </c>
      <c r="O433" t="n">
        <v>0</v>
      </c>
      <c r="P433" t="n">
        <v>0</v>
      </c>
      <c r="Q433" t="n">
        <v>0</v>
      </c>
      <c r="R433" s="2" t="inlineStr"/>
    </row>
    <row r="434" ht="15" customHeight="1">
      <c r="A434" t="inlineStr">
        <is>
          <t>A 5063-2025</t>
        </is>
      </c>
      <c r="B434" s="1" t="n">
        <v>45691.47466435185</v>
      </c>
      <c r="C434" s="1" t="n">
        <v>45887</v>
      </c>
      <c r="D434" t="inlineStr">
        <is>
          <t>DALARNAS LÄN</t>
        </is>
      </c>
      <c r="E434" t="inlineStr">
        <is>
          <t>ÄLVDALEN</t>
        </is>
      </c>
      <c r="F434" t="inlineStr">
        <is>
          <t>Bergvik skog väst AB</t>
        </is>
      </c>
      <c r="G434" t="n">
        <v>2.8</v>
      </c>
      <c r="H434" t="n">
        <v>0</v>
      </c>
      <c r="I434" t="n">
        <v>0</v>
      </c>
      <c r="J434" t="n">
        <v>0</v>
      </c>
      <c r="K434" t="n">
        <v>0</v>
      </c>
      <c r="L434" t="n">
        <v>0</v>
      </c>
      <c r="M434" t="n">
        <v>0</v>
      </c>
      <c r="N434" t="n">
        <v>0</v>
      </c>
      <c r="O434" t="n">
        <v>0</v>
      </c>
      <c r="P434" t="n">
        <v>0</v>
      </c>
      <c r="Q434" t="n">
        <v>0</v>
      </c>
      <c r="R434" s="2" t="inlineStr"/>
    </row>
    <row r="435" ht="15" customHeight="1">
      <c r="A435" t="inlineStr">
        <is>
          <t>A 37186-2025</t>
        </is>
      </c>
      <c r="B435" s="1" t="n">
        <v>45875.63905092593</v>
      </c>
      <c r="C435" s="1" t="n">
        <v>45887</v>
      </c>
      <c r="D435" t="inlineStr">
        <is>
          <t>DALARNAS LÄN</t>
        </is>
      </c>
      <c r="E435" t="inlineStr">
        <is>
          <t>ÄLVDALEN</t>
        </is>
      </c>
      <c r="G435" t="n">
        <v>0.5</v>
      </c>
      <c r="H435" t="n">
        <v>0</v>
      </c>
      <c r="I435" t="n">
        <v>0</v>
      </c>
      <c r="J435" t="n">
        <v>0</v>
      </c>
      <c r="K435" t="n">
        <v>0</v>
      </c>
      <c r="L435" t="n">
        <v>0</v>
      </c>
      <c r="M435" t="n">
        <v>0</v>
      </c>
      <c r="N435" t="n">
        <v>0</v>
      </c>
      <c r="O435" t="n">
        <v>0</v>
      </c>
      <c r="P435" t="n">
        <v>0</v>
      </c>
      <c r="Q435" t="n">
        <v>0</v>
      </c>
      <c r="R435" s="2" t="inlineStr"/>
    </row>
    <row r="436" ht="15" customHeight="1">
      <c r="A436" t="inlineStr">
        <is>
          <t>A 37873-2025</t>
        </is>
      </c>
      <c r="B436" s="1" t="n">
        <v>45881</v>
      </c>
      <c r="C436" s="1" t="n">
        <v>45887</v>
      </c>
      <c r="D436" t="inlineStr">
        <is>
          <t>DALARNAS LÄN</t>
        </is>
      </c>
      <c r="E436" t="inlineStr">
        <is>
          <t>ÄLVDALEN</t>
        </is>
      </c>
      <c r="F436" t="inlineStr">
        <is>
          <t>Övriga Aktiebolag</t>
        </is>
      </c>
      <c r="G436" t="n">
        <v>40.7</v>
      </c>
      <c r="H436" t="n">
        <v>0</v>
      </c>
      <c r="I436" t="n">
        <v>0</v>
      </c>
      <c r="J436" t="n">
        <v>0</v>
      </c>
      <c r="K436" t="n">
        <v>0</v>
      </c>
      <c r="L436" t="n">
        <v>0</v>
      </c>
      <c r="M436" t="n">
        <v>0</v>
      </c>
      <c r="N436" t="n">
        <v>0</v>
      </c>
      <c r="O436" t="n">
        <v>0</v>
      </c>
      <c r="P436" t="n">
        <v>0</v>
      </c>
      <c r="Q436" t="n">
        <v>0</v>
      </c>
      <c r="R436" s="2" t="inlineStr"/>
    </row>
    <row r="437" ht="15" customHeight="1">
      <c r="A437" t="inlineStr">
        <is>
          <t>A 37874-2025</t>
        </is>
      </c>
      <c r="B437" s="1" t="n">
        <v>45881</v>
      </c>
      <c r="C437" s="1" t="n">
        <v>45887</v>
      </c>
      <c r="D437" t="inlineStr">
        <is>
          <t>DALARNAS LÄN</t>
        </is>
      </c>
      <c r="E437" t="inlineStr">
        <is>
          <t>ÄLVDALEN</t>
        </is>
      </c>
      <c r="F437" t="inlineStr">
        <is>
          <t>Övriga Aktiebolag</t>
        </is>
      </c>
      <c r="G437" t="n">
        <v>33.5</v>
      </c>
      <c r="H437" t="n">
        <v>0</v>
      </c>
      <c r="I437" t="n">
        <v>0</v>
      </c>
      <c r="J437" t="n">
        <v>0</v>
      </c>
      <c r="K437" t="n">
        <v>0</v>
      </c>
      <c r="L437" t="n">
        <v>0</v>
      </c>
      <c r="M437" t="n">
        <v>0</v>
      </c>
      <c r="N437" t="n">
        <v>0</v>
      </c>
      <c r="O437" t="n">
        <v>0</v>
      </c>
      <c r="P437" t="n">
        <v>0</v>
      </c>
      <c r="Q437" t="n">
        <v>0</v>
      </c>
      <c r="R437" s="2" t="inlineStr"/>
    </row>
    <row r="438" ht="15" customHeight="1">
      <c r="A438" t="inlineStr">
        <is>
          <t>A 37438-2024</t>
        </is>
      </c>
      <c r="B438" s="1" t="n">
        <v>45540</v>
      </c>
      <c r="C438" s="1" t="n">
        <v>45887</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59209-2022</t>
        </is>
      </c>
      <c r="B439" s="1" t="n">
        <v>44904</v>
      </c>
      <c r="C439" s="1" t="n">
        <v>45887</v>
      </c>
      <c r="D439" t="inlineStr">
        <is>
          <t>DALARNAS LÄN</t>
        </is>
      </c>
      <c r="E439" t="inlineStr">
        <is>
          <t>ÄLVDALEN</t>
        </is>
      </c>
      <c r="G439" t="n">
        <v>2.6</v>
      </c>
      <c r="H439" t="n">
        <v>0</v>
      </c>
      <c r="I439" t="n">
        <v>0</v>
      </c>
      <c r="J439" t="n">
        <v>0</v>
      </c>
      <c r="K439" t="n">
        <v>0</v>
      </c>
      <c r="L439" t="n">
        <v>0</v>
      </c>
      <c r="M439" t="n">
        <v>0</v>
      </c>
      <c r="N439" t="n">
        <v>0</v>
      </c>
      <c r="O439" t="n">
        <v>0</v>
      </c>
      <c r="P439" t="n">
        <v>0</v>
      </c>
      <c r="Q439" t="n">
        <v>0</v>
      </c>
      <c r="R439" s="2" t="inlineStr"/>
    </row>
    <row r="440" ht="15" customHeight="1">
      <c r="A440" t="inlineStr">
        <is>
          <t>A 42679-2024</t>
        </is>
      </c>
      <c r="B440" s="1" t="n">
        <v>45566.37706018519</v>
      </c>
      <c r="C440" s="1" t="n">
        <v>45887</v>
      </c>
      <c r="D440" t="inlineStr">
        <is>
          <t>DALARNAS LÄN</t>
        </is>
      </c>
      <c r="E440" t="inlineStr">
        <is>
          <t>ÄLVDALEN</t>
        </is>
      </c>
      <c r="F440" t="inlineStr">
        <is>
          <t>Bergvik skog väst AB</t>
        </is>
      </c>
      <c r="G440" t="n">
        <v>1.5</v>
      </c>
      <c r="H440" t="n">
        <v>0</v>
      </c>
      <c r="I440" t="n">
        <v>0</v>
      </c>
      <c r="J440" t="n">
        <v>0</v>
      </c>
      <c r="K440" t="n">
        <v>0</v>
      </c>
      <c r="L440" t="n">
        <v>0</v>
      </c>
      <c r="M440" t="n">
        <v>0</v>
      </c>
      <c r="N440" t="n">
        <v>0</v>
      </c>
      <c r="O440" t="n">
        <v>0</v>
      </c>
      <c r="P440" t="n">
        <v>0</v>
      </c>
      <c r="Q440" t="n">
        <v>0</v>
      </c>
      <c r="R440" s="2" t="inlineStr"/>
    </row>
    <row r="441" ht="15" customHeight="1">
      <c r="A441" t="inlineStr">
        <is>
          <t>A 19553-2025</t>
        </is>
      </c>
      <c r="B441" s="1" t="n">
        <v>45770</v>
      </c>
      <c r="C441" s="1" t="n">
        <v>45887</v>
      </c>
      <c r="D441" t="inlineStr">
        <is>
          <t>DALARNAS LÄN</t>
        </is>
      </c>
      <c r="E441" t="inlineStr">
        <is>
          <t>ÄLVDALEN</t>
        </is>
      </c>
      <c r="F441" t="inlineStr">
        <is>
          <t>Sveaskog</t>
        </is>
      </c>
      <c r="G441" t="n">
        <v>25.2</v>
      </c>
      <c r="H441" t="n">
        <v>0</v>
      </c>
      <c r="I441" t="n">
        <v>0</v>
      </c>
      <c r="J441" t="n">
        <v>0</v>
      </c>
      <c r="K441" t="n">
        <v>0</v>
      </c>
      <c r="L441" t="n">
        <v>0</v>
      </c>
      <c r="M441" t="n">
        <v>0</v>
      </c>
      <c r="N441" t="n">
        <v>0</v>
      </c>
      <c r="O441" t="n">
        <v>0</v>
      </c>
      <c r="P441" t="n">
        <v>0</v>
      </c>
      <c r="Q441" t="n">
        <v>0</v>
      </c>
      <c r="R441" s="2" t="inlineStr"/>
    </row>
    <row r="442" ht="15" customHeight="1">
      <c r="A442" t="inlineStr">
        <is>
          <t>A 4380-2024</t>
        </is>
      </c>
      <c r="B442" s="1" t="n">
        <v>45327</v>
      </c>
      <c r="C442" s="1" t="n">
        <v>45887</v>
      </c>
      <c r="D442" t="inlineStr">
        <is>
          <t>DALARNAS LÄN</t>
        </is>
      </c>
      <c r="E442" t="inlineStr">
        <is>
          <t>ÄLVDALEN</t>
        </is>
      </c>
      <c r="G442" t="n">
        <v>6.3</v>
      </c>
      <c r="H442" t="n">
        <v>0</v>
      </c>
      <c r="I442" t="n">
        <v>0</v>
      </c>
      <c r="J442" t="n">
        <v>0</v>
      </c>
      <c r="K442" t="n">
        <v>0</v>
      </c>
      <c r="L442" t="n">
        <v>0</v>
      </c>
      <c r="M442" t="n">
        <v>0</v>
      </c>
      <c r="N442" t="n">
        <v>0</v>
      </c>
      <c r="O442" t="n">
        <v>0</v>
      </c>
      <c r="P442" t="n">
        <v>0</v>
      </c>
      <c r="Q442" t="n">
        <v>0</v>
      </c>
      <c r="R442" s="2" t="inlineStr"/>
    </row>
    <row r="443" ht="15" customHeight="1">
      <c r="A443" t="inlineStr">
        <is>
          <t>A 43351-2024</t>
        </is>
      </c>
      <c r="B443" s="1" t="n">
        <v>45568.56023148148</v>
      </c>
      <c r="C443" s="1" t="n">
        <v>45887</v>
      </c>
      <c r="D443" t="inlineStr">
        <is>
          <t>DALARNAS LÄN</t>
        </is>
      </c>
      <c r="E443" t="inlineStr">
        <is>
          <t>ÄLVDALEN</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28664-2022</t>
        </is>
      </c>
      <c r="B444" s="1" t="n">
        <v>44748</v>
      </c>
      <c r="C444" s="1" t="n">
        <v>45887</v>
      </c>
      <c r="D444" t="inlineStr">
        <is>
          <t>DALARNAS LÄN</t>
        </is>
      </c>
      <c r="E444" t="inlineStr">
        <is>
          <t>ÄLVDALEN</t>
        </is>
      </c>
      <c r="F444" t="inlineStr">
        <is>
          <t>Bergvik skog öst AB</t>
        </is>
      </c>
      <c r="G444" t="n">
        <v>4.7</v>
      </c>
      <c r="H444" t="n">
        <v>0</v>
      </c>
      <c r="I444" t="n">
        <v>0</v>
      </c>
      <c r="J444" t="n">
        <v>0</v>
      </c>
      <c r="K444" t="n">
        <v>0</v>
      </c>
      <c r="L444" t="n">
        <v>0</v>
      </c>
      <c r="M444" t="n">
        <v>0</v>
      </c>
      <c r="N444" t="n">
        <v>0</v>
      </c>
      <c r="O444" t="n">
        <v>0</v>
      </c>
      <c r="P444" t="n">
        <v>0</v>
      </c>
      <c r="Q444" t="n">
        <v>0</v>
      </c>
      <c r="R444" s="2" t="inlineStr"/>
    </row>
    <row r="445" ht="15" customHeight="1">
      <c r="A445" t="inlineStr">
        <is>
          <t>A 41446-2024</t>
        </is>
      </c>
      <c r="B445" s="1" t="n">
        <v>45560.39483796297</v>
      </c>
      <c r="C445" s="1" t="n">
        <v>45887</v>
      </c>
      <c r="D445" t="inlineStr">
        <is>
          <t>DALARNAS LÄN</t>
        </is>
      </c>
      <c r="E445" t="inlineStr">
        <is>
          <t>ÄLVDALEN</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54493-2023</t>
        </is>
      </c>
      <c r="B446" s="1" t="n">
        <v>45233.50606481481</v>
      </c>
      <c r="C446" s="1" t="n">
        <v>45887</v>
      </c>
      <c r="D446" t="inlineStr">
        <is>
          <t>DALARNAS LÄN</t>
        </is>
      </c>
      <c r="E446" t="inlineStr">
        <is>
          <t>ÄLVDALEN</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45155-2023</t>
        </is>
      </c>
      <c r="B447" s="1" t="n">
        <v>45187</v>
      </c>
      <c r="C447" s="1" t="n">
        <v>45887</v>
      </c>
      <c r="D447" t="inlineStr">
        <is>
          <t>DALARNAS LÄN</t>
        </is>
      </c>
      <c r="E447" t="inlineStr">
        <is>
          <t>ÄLVDALEN</t>
        </is>
      </c>
      <c r="G447" t="n">
        <v>40.1</v>
      </c>
      <c r="H447" t="n">
        <v>0</v>
      </c>
      <c r="I447" t="n">
        <v>0</v>
      </c>
      <c r="J447" t="n">
        <v>0</v>
      </c>
      <c r="K447" t="n">
        <v>0</v>
      </c>
      <c r="L447" t="n">
        <v>0</v>
      </c>
      <c r="M447" t="n">
        <v>0</v>
      </c>
      <c r="N447" t="n">
        <v>0</v>
      </c>
      <c r="O447" t="n">
        <v>0</v>
      </c>
      <c r="P447" t="n">
        <v>0</v>
      </c>
      <c r="Q447" t="n">
        <v>0</v>
      </c>
      <c r="R447" s="2" t="inlineStr"/>
    </row>
    <row r="448" ht="15" customHeight="1">
      <c r="A448" t="inlineStr">
        <is>
          <t>A 17346-2022</t>
        </is>
      </c>
      <c r="B448" s="1" t="n">
        <v>44678.56600694444</v>
      </c>
      <c r="C448" s="1" t="n">
        <v>45887</v>
      </c>
      <c r="D448" t="inlineStr">
        <is>
          <t>DALARNAS LÄN</t>
        </is>
      </c>
      <c r="E448" t="inlineStr">
        <is>
          <t>ÄLVDALEN</t>
        </is>
      </c>
      <c r="G448" t="n">
        <v>4.4</v>
      </c>
      <c r="H448" t="n">
        <v>0</v>
      </c>
      <c r="I448" t="n">
        <v>0</v>
      </c>
      <c r="J448" t="n">
        <v>0</v>
      </c>
      <c r="K448" t="n">
        <v>0</v>
      </c>
      <c r="L448" t="n">
        <v>0</v>
      </c>
      <c r="M448" t="n">
        <v>0</v>
      </c>
      <c r="N448" t="n">
        <v>0</v>
      </c>
      <c r="O448" t="n">
        <v>0</v>
      </c>
      <c r="P448" t="n">
        <v>0</v>
      </c>
      <c r="Q448" t="n">
        <v>0</v>
      </c>
      <c r="R448" s="2" t="inlineStr"/>
    </row>
    <row r="449" ht="15" customHeight="1">
      <c r="A449" t="inlineStr">
        <is>
          <t>A 61450-2022</t>
        </is>
      </c>
      <c r="B449" s="1" t="n">
        <v>44910</v>
      </c>
      <c r="C449" s="1" t="n">
        <v>45887</v>
      </c>
      <c r="D449" t="inlineStr">
        <is>
          <t>DALARNAS LÄN</t>
        </is>
      </c>
      <c r="E449" t="inlineStr">
        <is>
          <t>ÄLVDALEN</t>
        </is>
      </c>
      <c r="G449" t="n">
        <v>0.7</v>
      </c>
      <c r="H449" t="n">
        <v>0</v>
      </c>
      <c r="I449" t="n">
        <v>0</v>
      </c>
      <c r="J449" t="n">
        <v>0</v>
      </c>
      <c r="K449" t="n">
        <v>0</v>
      </c>
      <c r="L449" t="n">
        <v>0</v>
      </c>
      <c r="M449" t="n">
        <v>0</v>
      </c>
      <c r="N449" t="n">
        <v>0</v>
      </c>
      <c r="O449" t="n">
        <v>0</v>
      </c>
      <c r="P449" t="n">
        <v>0</v>
      </c>
      <c r="Q449" t="n">
        <v>0</v>
      </c>
      <c r="R449" s="2" t="inlineStr"/>
    </row>
    <row r="450" ht="15" customHeight="1">
      <c r="A450" t="inlineStr">
        <is>
          <t>A 63296-2020</t>
        </is>
      </c>
      <c r="B450" s="1" t="n">
        <v>44165</v>
      </c>
      <c r="C450" s="1" t="n">
        <v>45887</v>
      </c>
      <c r="D450" t="inlineStr">
        <is>
          <t>DALARNAS LÄN</t>
        </is>
      </c>
      <c r="E450" t="inlineStr">
        <is>
          <t>ÄLVDALEN</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19588-2025</t>
        </is>
      </c>
      <c r="B451" s="1" t="n">
        <v>45770</v>
      </c>
      <c r="C451" s="1" t="n">
        <v>45887</v>
      </c>
      <c r="D451" t="inlineStr">
        <is>
          <t>DALARNAS LÄN</t>
        </is>
      </c>
      <c r="E451" t="inlineStr">
        <is>
          <t>ÄLVDALEN</t>
        </is>
      </c>
      <c r="F451" t="inlineStr">
        <is>
          <t>Sveaskog</t>
        </is>
      </c>
      <c r="G451" t="n">
        <v>5.1</v>
      </c>
      <c r="H451" t="n">
        <v>0</v>
      </c>
      <c r="I451" t="n">
        <v>0</v>
      </c>
      <c r="J451" t="n">
        <v>0</v>
      </c>
      <c r="K451" t="n">
        <v>0</v>
      </c>
      <c r="L451" t="n">
        <v>0</v>
      </c>
      <c r="M451" t="n">
        <v>0</v>
      </c>
      <c r="N451" t="n">
        <v>0</v>
      </c>
      <c r="O451" t="n">
        <v>0</v>
      </c>
      <c r="P451" t="n">
        <v>0</v>
      </c>
      <c r="Q451" t="n">
        <v>0</v>
      </c>
      <c r="R451" s="2" t="inlineStr"/>
    </row>
    <row r="452" ht="15" customHeight="1">
      <c r="A452" t="inlineStr">
        <is>
          <t>A 7917-2025</t>
        </is>
      </c>
      <c r="B452" s="1" t="n">
        <v>45707.35225694445</v>
      </c>
      <c r="C452" s="1" t="n">
        <v>45887</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7937-2025</t>
        </is>
      </c>
      <c r="B453" s="1" t="n">
        <v>45707.3953125</v>
      </c>
      <c r="C453" s="1" t="n">
        <v>45887</v>
      </c>
      <c r="D453" t="inlineStr">
        <is>
          <t>DALARNAS LÄN</t>
        </is>
      </c>
      <c r="E453" t="inlineStr">
        <is>
          <t>ÄLVDALEN</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32009-2021</t>
        </is>
      </c>
      <c r="B454" s="1" t="n">
        <v>44370.63354166667</v>
      </c>
      <c r="C454" s="1" t="n">
        <v>45887</v>
      </c>
      <c r="D454" t="inlineStr">
        <is>
          <t>DALARNAS LÄN</t>
        </is>
      </c>
      <c r="E454" t="inlineStr">
        <is>
          <t>ÄLVDALEN</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39283-2024</t>
        </is>
      </c>
      <c r="B455" s="1" t="n">
        <v>45551.36314814815</v>
      </c>
      <c r="C455" s="1" t="n">
        <v>45887</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59207-2022</t>
        </is>
      </c>
      <c r="B456" s="1" t="n">
        <v>44904</v>
      </c>
      <c r="C456" s="1" t="n">
        <v>45887</v>
      </c>
      <c r="D456" t="inlineStr">
        <is>
          <t>DALARNAS LÄN</t>
        </is>
      </c>
      <c r="E456" t="inlineStr">
        <is>
          <t>ÄLVDALEN</t>
        </is>
      </c>
      <c r="G456" t="n">
        <v>4.7</v>
      </c>
      <c r="H456" t="n">
        <v>0</v>
      </c>
      <c r="I456" t="n">
        <v>0</v>
      </c>
      <c r="J456" t="n">
        <v>0</v>
      </c>
      <c r="K456" t="n">
        <v>0</v>
      </c>
      <c r="L456" t="n">
        <v>0</v>
      </c>
      <c r="M456" t="n">
        <v>0</v>
      </c>
      <c r="N456" t="n">
        <v>0</v>
      </c>
      <c r="O456" t="n">
        <v>0</v>
      </c>
      <c r="P456" t="n">
        <v>0</v>
      </c>
      <c r="Q456" t="n">
        <v>0</v>
      </c>
      <c r="R456" s="2" t="inlineStr"/>
    </row>
    <row r="457" ht="15" customHeight="1">
      <c r="A457" t="inlineStr">
        <is>
          <t>A 57821-2023</t>
        </is>
      </c>
      <c r="B457" s="1" t="n">
        <v>45247</v>
      </c>
      <c r="C457" s="1" t="n">
        <v>45887</v>
      </c>
      <c r="D457" t="inlineStr">
        <is>
          <t>DALARNAS LÄN</t>
        </is>
      </c>
      <c r="E457" t="inlineStr">
        <is>
          <t>ÄLVDALEN</t>
        </is>
      </c>
      <c r="G457" t="n">
        <v>0.7</v>
      </c>
      <c r="H457" t="n">
        <v>0</v>
      </c>
      <c r="I457" t="n">
        <v>0</v>
      </c>
      <c r="J457" t="n">
        <v>0</v>
      </c>
      <c r="K457" t="n">
        <v>0</v>
      </c>
      <c r="L457" t="n">
        <v>0</v>
      </c>
      <c r="M457" t="n">
        <v>0</v>
      </c>
      <c r="N457" t="n">
        <v>0</v>
      </c>
      <c r="O457" t="n">
        <v>0</v>
      </c>
      <c r="P457" t="n">
        <v>0</v>
      </c>
      <c r="Q457" t="n">
        <v>0</v>
      </c>
      <c r="R457" s="2" t="inlineStr"/>
    </row>
    <row r="458" ht="15" customHeight="1">
      <c r="A458" t="inlineStr">
        <is>
          <t>A 26734-2021</t>
        </is>
      </c>
      <c r="B458" s="1" t="n">
        <v>44349.39537037037</v>
      </c>
      <c r="C458" s="1" t="n">
        <v>45887</v>
      </c>
      <c r="D458" t="inlineStr">
        <is>
          <t>DALARNAS LÄN</t>
        </is>
      </c>
      <c r="E458" t="inlineStr">
        <is>
          <t>ÄLVDALEN</t>
        </is>
      </c>
      <c r="F458" t="inlineStr">
        <is>
          <t>Bergvik skog väst AB</t>
        </is>
      </c>
      <c r="G458" t="n">
        <v>0.8</v>
      </c>
      <c r="H458" t="n">
        <v>0</v>
      </c>
      <c r="I458" t="n">
        <v>0</v>
      </c>
      <c r="J458" t="n">
        <v>0</v>
      </c>
      <c r="K458" t="n">
        <v>0</v>
      </c>
      <c r="L458" t="n">
        <v>0</v>
      </c>
      <c r="M458" t="n">
        <v>0</v>
      </c>
      <c r="N458" t="n">
        <v>0</v>
      </c>
      <c r="O458" t="n">
        <v>0</v>
      </c>
      <c r="P458" t="n">
        <v>0</v>
      </c>
      <c r="Q458" t="n">
        <v>0</v>
      </c>
      <c r="R458" s="2" t="inlineStr"/>
    </row>
    <row r="459" ht="15" customHeight="1">
      <c r="A459" t="inlineStr">
        <is>
          <t>A 24762-2023</t>
        </is>
      </c>
      <c r="B459" s="1" t="n">
        <v>45084.6283912037</v>
      </c>
      <c r="C459" s="1" t="n">
        <v>45887</v>
      </c>
      <c r="D459" t="inlineStr">
        <is>
          <t>DALARNAS LÄN</t>
        </is>
      </c>
      <c r="E459" t="inlineStr">
        <is>
          <t>ÄLVDALEN</t>
        </is>
      </c>
      <c r="F459" t="inlineStr">
        <is>
          <t>Sveaskog</t>
        </is>
      </c>
      <c r="G459" t="n">
        <v>4.1</v>
      </c>
      <c r="H459" t="n">
        <v>0</v>
      </c>
      <c r="I459" t="n">
        <v>0</v>
      </c>
      <c r="J459" t="n">
        <v>0</v>
      </c>
      <c r="K459" t="n">
        <v>0</v>
      </c>
      <c r="L459" t="n">
        <v>0</v>
      </c>
      <c r="M459" t="n">
        <v>0</v>
      </c>
      <c r="N459" t="n">
        <v>0</v>
      </c>
      <c r="O459" t="n">
        <v>0</v>
      </c>
      <c r="P459" t="n">
        <v>0</v>
      </c>
      <c r="Q459" t="n">
        <v>0</v>
      </c>
      <c r="R459" s="2" t="inlineStr"/>
    </row>
    <row r="460" ht="15" customHeight="1">
      <c r="A460" t="inlineStr">
        <is>
          <t>A 7576-2024</t>
        </is>
      </c>
      <c r="B460" s="1" t="n">
        <v>45348.47555555555</v>
      </c>
      <c r="C460" s="1" t="n">
        <v>45887</v>
      </c>
      <c r="D460" t="inlineStr">
        <is>
          <t>DALARNAS LÄN</t>
        </is>
      </c>
      <c r="E460" t="inlineStr">
        <is>
          <t>ÄLVDALEN</t>
        </is>
      </c>
      <c r="G460" t="n">
        <v>11.1</v>
      </c>
      <c r="H460" t="n">
        <v>0</v>
      </c>
      <c r="I460" t="n">
        <v>0</v>
      </c>
      <c r="J460" t="n">
        <v>0</v>
      </c>
      <c r="K460" t="n">
        <v>0</v>
      </c>
      <c r="L460" t="n">
        <v>0</v>
      </c>
      <c r="M460" t="n">
        <v>0</v>
      </c>
      <c r="N460" t="n">
        <v>0</v>
      </c>
      <c r="O460" t="n">
        <v>0</v>
      </c>
      <c r="P460" t="n">
        <v>0</v>
      </c>
      <c r="Q460" t="n">
        <v>0</v>
      </c>
      <c r="R460" s="2" t="inlineStr"/>
    </row>
    <row r="461" ht="15" customHeight="1">
      <c r="A461" t="inlineStr">
        <is>
          <t>A 62315-2022</t>
        </is>
      </c>
      <c r="B461" s="1" t="n">
        <v>44916</v>
      </c>
      <c r="C461" s="1" t="n">
        <v>45887</v>
      </c>
      <c r="D461" t="inlineStr">
        <is>
          <t>DALARNAS LÄN</t>
        </is>
      </c>
      <c r="E461" t="inlineStr">
        <is>
          <t>ÄLVDALEN</t>
        </is>
      </c>
      <c r="G461" t="n">
        <v>2.1</v>
      </c>
      <c r="H461" t="n">
        <v>0</v>
      </c>
      <c r="I461" t="n">
        <v>0</v>
      </c>
      <c r="J461" t="n">
        <v>0</v>
      </c>
      <c r="K461" t="n">
        <v>0</v>
      </c>
      <c r="L461" t="n">
        <v>0</v>
      </c>
      <c r="M461" t="n">
        <v>0</v>
      </c>
      <c r="N461" t="n">
        <v>0</v>
      </c>
      <c r="O461" t="n">
        <v>0</v>
      </c>
      <c r="P461" t="n">
        <v>0</v>
      </c>
      <c r="Q461" t="n">
        <v>0</v>
      </c>
      <c r="R461" s="2" t="inlineStr"/>
    </row>
    <row r="462" ht="15" customHeight="1">
      <c r="A462" t="inlineStr">
        <is>
          <t>A 23129-2023</t>
        </is>
      </c>
      <c r="B462" s="1" t="n">
        <v>45075</v>
      </c>
      <c r="C462" s="1" t="n">
        <v>45887</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1790-2024</t>
        </is>
      </c>
      <c r="B463" s="1" t="n">
        <v>45307.5731712963</v>
      </c>
      <c r="C463" s="1" t="n">
        <v>45887</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57467-2023</t>
        </is>
      </c>
      <c r="B464" s="1" t="n">
        <v>45246.36751157408</v>
      </c>
      <c r="C464" s="1" t="n">
        <v>45887</v>
      </c>
      <c r="D464" t="inlineStr">
        <is>
          <t>DALARNAS LÄN</t>
        </is>
      </c>
      <c r="E464" t="inlineStr">
        <is>
          <t>ÄLVDALEN</t>
        </is>
      </c>
      <c r="G464" t="n">
        <v>0.2</v>
      </c>
      <c r="H464" t="n">
        <v>0</v>
      </c>
      <c r="I464" t="n">
        <v>0</v>
      </c>
      <c r="J464" t="n">
        <v>0</v>
      </c>
      <c r="K464" t="n">
        <v>0</v>
      </c>
      <c r="L464" t="n">
        <v>0</v>
      </c>
      <c r="M464" t="n">
        <v>0</v>
      </c>
      <c r="N464" t="n">
        <v>0</v>
      </c>
      <c r="O464" t="n">
        <v>0</v>
      </c>
      <c r="P464" t="n">
        <v>0</v>
      </c>
      <c r="Q464" t="n">
        <v>0</v>
      </c>
      <c r="R464" s="2" t="inlineStr"/>
    </row>
    <row r="465" ht="15" customHeight="1">
      <c r="A465" t="inlineStr">
        <is>
          <t>A 22847-2023</t>
        </is>
      </c>
      <c r="B465" s="1" t="n">
        <v>45072</v>
      </c>
      <c r="C465" s="1" t="n">
        <v>45887</v>
      </c>
      <c r="D465" t="inlineStr">
        <is>
          <t>DALARNAS LÄN</t>
        </is>
      </c>
      <c r="E465" t="inlineStr">
        <is>
          <t>ÄLVDALEN</t>
        </is>
      </c>
      <c r="F465" t="inlineStr">
        <is>
          <t>Bergvik skog väst AB</t>
        </is>
      </c>
      <c r="G465" t="n">
        <v>8.1</v>
      </c>
      <c r="H465" t="n">
        <v>0</v>
      </c>
      <c r="I465" t="n">
        <v>0</v>
      </c>
      <c r="J465" t="n">
        <v>0</v>
      </c>
      <c r="K465" t="n">
        <v>0</v>
      </c>
      <c r="L465" t="n">
        <v>0</v>
      </c>
      <c r="M465" t="n">
        <v>0</v>
      </c>
      <c r="N465" t="n">
        <v>0</v>
      </c>
      <c r="O465" t="n">
        <v>0</v>
      </c>
      <c r="P465" t="n">
        <v>0</v>
      </c>
      <c r="Q465" t="n">
        <v>0</v>
      </c>
      <c r="R465" s="2" t="inlineStr"/>
    </row>
    <row r="466" ht="15" customHeight="1">
      <c r="A466" t="inlineStr">
        <is>
          <t>A 52167-2024</t>
        </is>
      </c>
      <c r="B466" s="1" t="n">
        <v>45608.53949074074</v>
      </c>
      <c r="C466" s="1" t="n">
        <v>45887</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42426-2023</t>
        </is>
      </c>
      <c r="B467" s="1" t="n">
        <v>45175</v>
      </c>
      <c r="C467" s="1" t="n">
        <v>45887</v>
      </c>
      <c r="D467" t="inlineStr">
        <is>
          <t>DALARNAS LÄN</t>
        </is>
      </c>
      <c r="E467" t="inlineStr">
        <is>
          <t>ÄLVDALEN</t>
        </is>
      </c>
      <c r="G467" t="n">
        <v>3.6</v>
      </c>
      <c r="H467" t="n">
        <v>0</v>
      </c>
      <c r="I467" t="n">
        <v>0</v>
      </c>
      <c r="J467" t="n">
        <v>0</v>
      </c>
      <c r="K467" t="n">
        <v>0</v>
      </c>
      <c r="L467" t="n">
        <v>0</v>
      </c>
      <c r="M467" t="n">
        <v>0</v>
      </c>
      <c r="N467" t="n">
        <v>0</v>
      </c>
      <c r="O467" t="n">
        <v>0</v>
      </c>
      <c r="P467" t="n">
        <v>0</v>
      </c>
      <c r="Q467" t="n">
        <v>0</v>
      </c>
      <c r="R467" s="2" t="inlineStr"/>
    </row>
    <row r="468" ht="15" customHeight="1">
      <c r="A468" t="inlineStr">
        <is>
          <t>A 32362-2021</t>
        </is>
      </c>
      <c r="B468" s="1" t="n">
        <v>44371</v>
      </c>
      <c r="C468" s="1" t="n">
        <v>45887</v>
      </c>
      <c r="D468" t="inlineStr">
        <is>
          <t>DALARNAS LÄN</t>
        </is>
      </c>
      <c r="E468" t="inlineStr">
        <is>
          <t>ÄLVDALEN</t>
        </is>
      </c>
      <c r="F468" t="inlineStr">
        <is>
          <t>Sveaskog</t>
        </is>
      </c>
      <c r="G468" t="n">
        <v>3.7</v>
      </c>
      <c r="H468" t="n">
        <v>0</v>
      </c>
      <c r="I468" t="n">
        <v>0</v>
      </c>
      <c r="J468" t="n">
        <v>0</v>
      </c>
      <c r="K468" t="n">
        <v>0</v>
      </c>
      <c r="L468" t="n">
        <v>0</v>
      </c>
      <c r="M468" t="n">
        <v>0</v>
      </c>
      <c r="N468" t="n">
        <v>0</v>
      </c>
      <c r="O468" t="n">
        <v>0</v>
      </c>
      <c r="P468" t="n">
        <v>0</v>
      </c>
      <c r="Q468" t="n">
        <v>0</v>
      </c>
      <c r="R468" s="2" t="inlineStr"/>
    </row>
    <row r="469" ht="15" customHeight="1">
      <c r="A469" t="inlineStr">
        <is>
          <t>A 443-2025</t>
        </is>
      </c>
      <c r="B469" s="1" t="n">
        <v>45664.39349537037</v>
      </c>
      <c r="C469" s="1" t="n">
        <v>45887</v>
      </c>
      <c r="D469" t="inlineStr">
        <is>
          <t>DALARNAS LÄN</t>
        </is>
      </c>
      <c r="E469" t="inlineStr">
        <is>
          <t>ÄLVDALEN</t>
        </is>
      </c>
      <c r="G469" t="n">
        <v>0.8</v>
      </c>
      <c r="H469" t="n">
        <v>0</v>
      </c>
      <c r="I469" t="n">
        <v>0</v>
      </c>
      <c r="J469" t="n">
        <v>0</v>
      </c>
      <c r="K469" t="n">
        <v>0</v>
      </c>
      <c r="L469" t="n">
        <v>0</v>
      </c>
      <c r="M469" t="n">
        <v>0</v>
      </c>
      <c r="N469" t="n">
        <v>0</v>
      </c>
      <c r="O469" t="n">
        <v>0</v>
      </c>
      <c r="P469" t="n">
        <v>0</v>
      </c>
      <c r="Q469" t="n">
        <v>0</v>
      </c>
      <c r="R469" s="2" t="inlineStr"/>
    </row>
    <row r="470" ht="15" customHeight="1">
      <c r="A470" t="inlineStr">
        <is>
          <t>A 29710-2022</t>
        </is>
      </c>
      <c r="B470" s="1" t="n">
        <v>44755</v>
      </c>
      <c r="C470" s="1" t="n">
        <v>45887</v>
      </c>
      <c r="D470" t="inlineStr">
        <is>
          <t>DALARNAS LÄN</t>
        </is>
      </c>
      <c r="E470" t="inlineStr">
        <is>
          <t>ÄLVDALEN</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60642-2021</t>
        </is>
      </c>
      <c r="B471" s="1" t="n">
        <v>44496.61677083333</v>
      </c>
      <c r="C471" s="1" t="n">
        <v>45887</v>
      </c>
      <c r="D471" t="inlineStr">
        <is>
          <t>DALARNAS LÄN</t>
        </is>
      </c>
      <c r="E471" t="inlineStr">
        <is>
          <t>ÄLVDALEN</t>
        </is>
      </c>
      <c r="F471" t="inlineStr">
        <is>
          <t>Allmännings- och besparingsskogar</t>
        </is>
      </c>
      <c r="G471" t="n">
        <v>0.9</v>
      </c>
      <c r="H471" t="n">
        <v>0</v>
      </c>
      <c r="I471" t="n">
        <v>0</v>
      </c>
      <c r="J471" t="n">
        <v>0</v>
      </c>
      <c r="K471" t="n">
        <v>0</v>
      </c>
      <c r="L471" t="n">
        <v>0</v>
      </c>
      <c r="M471" t="n">
        <v>0</v>
      </c>
      <c r="N471" t="n">
        <v>0</v>
      </c>
      <c r="O471" t="n">
        <v>0</v>
      </c>
      <c r="P471" t="n">
        <v>0</v>
      </c>
      <c r="Q471" t="n">
        <v>0</v>
      </c>
      <c r="R471" s="2" t="inlineStr"/>
    </row>
    <row r="472" ht="15" customHeight="1">
      <c r="A472" t="inlineStr">
        <is>
          <t>A 44386-2021</t>
        </is>
      </c>
      <c r="B472" s="1" t="n">
        <v>44435</v>
      </c>
      <c r="C472" s="1" t="n">
        <v>45887</v>
      </c>
      <c r="D472" t="inlineStr">
        <is>
          <t>DALARNAS LÄN</t>
        </is>
      </c>
      <c r="E472" t="inlineStr">
        <is>
          <t>ÄLVDALEN</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59444-2024</t>
        </is>
      </c>
      <c r="B473" s="1" t="n">
        <v>45638.45292824074</v>
      </c>
      <c r="C473" s="1" t="n">
        <v>45887</v>
      </c>
      <c r="D473" t="inlineStr">
        <is>
          <t>DALARNAS LÄN</t>
        </is>
      </c>
      <c r="E473" t="inlineStr">
        <is>
          <t>ÄLVDALEN</t>
        </is>
      </c>
      <c r="G473" t="n">
        <v>3.9</v>
      </c>
      <c r="H473" t="n">
        <v>0</v>
      </c>
      <c r="I473" t="n">
        <v>0</v>
      </c>
      <c r="J473" t="n">
        <v>0</v>
      </c>
      <c r="K473" t="n">
        <v>0</v>
      </c>
      <c r="L473" t="n">
        <v>0</v>
      </c>
      <c r="M473" t="n">
        <v>0</v>
      </c>
      <c r="N473" t="n">
        <v>0</v>
      </c>
      <c r="O473" t="n">
        <v>0</v>
      </c>
      <c r="P473" t="n">
        <v>0</v>
      </c>
      <c r="Q473" t="n">
        <v>0</v>
      </c>
      <c r="R473" s="2" t="inlineStr"/>
    </row>
    <row r="474" ht="15" customHeight="1">
      <c r="A474" t="inlineStr">
        <is>
          <t>A 59483-2024</t>
        </is>
      </c>
      <c r="B474" s="1" t="n">
        <v>45638.52847222222</v>
      </c>
      <c r="C474" s="1" t="n">
        <v>45887</v>
      </c>
      <c r="D474" t="inlineStr">
        <is>
          <t>DALARNAS LÄN</t>
        </is>
      </c>
      <c r="E474" t="inlineStr">
        <is>
          <t>ÄLVDALEN</t>
        </is>
      </c>
      <c r="F474" t="inlineStr">
        <is>
          <t>Allmännings- och besparingsskogar</t>
        </is>
      </c>
      <c r="G474" t="n">
        <v>6.9</v>
      </c>
      <c r="H474" t="n">
        <v>0</v>
      </c>
      <c r="I474" t="n">
        <v>0</v>
      </c>
      <c r="J474" t="n">
        <v>0</v>
      </c>
      <c r="K474" t="n">
        <v>0</v>
      </c>
      <c r="L474" t="n">
        <v>0</v>
      </c>
      <c r="M474" t="n">
        <v>0</v>
      </c>
      <c r="N474" t="n">
        <v>0</v>
      </c>
      <c r="O474" t="n">
        <v>0</v>
      </c>
      <c r="P474" t="n">
        <v>0</v>
      </c>
      <c r="Q474" t="n">
        <v>0</v>
      </c>
      <c r="R474" s="2" t="inlineStr"/>
    </row>
    <row r="475" ht="15" customHeight="1">
      <c r="A475" t="inlineStr">
        <is>
          <t>A 49906-2024</t>
        </is>
      </c>
      <c r="B475" s="1" t="n">
        <v>45597.55230324074</v>
      </c>
      <c r="C475" s="1" t="n">
        <v>45887</v>
      </c>
      <c r="D475" t="inlineStr">
        <is>
          <t>DALARNAS LÄN</t>
        </is>
      </c>
      <c r="E475" t="inlineStr">
        <is>
          <t>ÄLVDALEN</t>
        </is>
      </c>
      <c r="G475" t="n">
        <v>4.2</v>
      </c>
      <c r="H475" t="n">
        <v>0</v>
      </c>
      <c r="I475" t="n">
        <v>0</v>
      </c>
      <c r="J475" t="n">
        <v>0</v>
      </c>
      <c r="K475" t="n">
        <v>0</v>
      </c>
      <c r="L475" t="n">
        <v>0</v>
      </c>
      <c r="M475" t="n">
        <v>0</v>
      </c>
      <c r="N475" t="n">
        <v>0</v>
      </c>
      <c r="O475" t="n">
        <v>0</v>
      </c>
      <c r="P475" t="n">
        <v>0</v>
      </c>
      <c r="Q475" t="n">
        <v>0</v>
      </c>
      <c r="R475" s="2" t="inlineStr"/>
    </row>
    <row r="476" ht="15" customHeight="1">
      <c r="A476" t="inlineStr">
        <is>
          <t>A 61072-2024</t>
        </is>
      </c>
      <c r="B476" s="1" t="n">
        <v>45645.50583333334</v>
      </c>
      <c r="C476" s="1" t="n">
        <v>45887</v>
      </c>
      <c r="D476" t="inlineStr">
        <is>
          <t>DALARNAS LÄN</t>
        </is>
      </c>
      <c r="E476" t="inlineStr">
        <is>
          <t>ÄLVDALEN</t>
        </is>
      </c>
      <c r="G476" t="n">
        <v>3.9</v>
      </c>
      <c r="H476" t="n">
        <v>0</v>
      </c>
      <c r="I476" t="n">
        <v>0</v>
      </c>
      <c r="J476" t="n">
        <v>0</v>
      </c>
      <c r="K476" t="n">
        <v>0</v>
      </c>
      <c r="L476" t="n">
        <v>0</v>
      </c>
      <c r="M476" t="n">
        <v>0</v>
      </c>
      <c r="N476" t="n">
        <v>0</v>
      </c>
      <c r="O476" t="n">
        <v>0</v>
      </c>
      <c r="P476" t="n">
        <v>0</v>
      </c>
      <c r="Q476" t="n">
        <v>0</v>
      </c>
      <c r="R476" s="2" t="inlineStr"/>
    </row>
    <row r="477" ht="15" customHeight="1">
      <c r="A477" t="inlineStr">
        <is>
          <t>A 8784-2024</t>
        </is>
      </c>
      <c r="B477" s="1" t="n">
        <v>45356.58180555556</v>
      </c>
      <c r="C477" s="1" t="n">
        <v>45887</v>
      </c>
      <c r="D477" t="inlineStr">
        <is>
          <t>DALARNAS LÄN</t>
        </is>
      </c>
      <c r="E477" t="inlineStr">
        <is>
          <t>ÄLVDALEN</t>
        </is>
      </c>
      <c r="G477" t="n">
        <v>1.6</v>
      </c>
      <c r="H477" t="n">
        <v>0</v>
      </c>
      <c r="I477" t="n">
        <v>0</v>
      </c>
      <c r="J477" t="n">
        <v>0</v>
      </c>
      <c r="K477" t="n">
        <v>0</v>
      </c>
      <c r="L477" t="n">
        <v>0</v>
      </c>
      <c r="M477" t="n">
        <v>0</v>
      </c>
      <c r="N477" t="n">
        <v>0</v>
      </c>
      <c r="O477" t="n">
        <v>0</v>
      </c>
      <c r="P477" t="n">
        <v>0</v>
      </c>
      <c r="Q477" t="n">
        <v>0</v>
      </c>
      <c r="R477" s="2" t="inlineStr"/>
    </row>
    <row r="478" ht="15" customHeight="1">
      <c r="A478" t="inlineStr">
        <is>
          <t>A 31332-2023</t>
        </is>
      </c>
      <c r="B478" s="1" t="n">
        <v>45114</v>
      </c>
      <c r="C478" s="1" t="n">
        <v>45887</v>
      </c>
      <c r="D478" t="inlineStr">
        <is>
          <t>DALARNAS LÄN</t>
        </is>
      </c>
      <c r="E478" t="inlineStr">
        <is>
          <t>ÄLVDALEN</t>
        </is>
      </c>
      <c r="F478" t="inlineStr">
        <is>
          <t>Övriga statliga verk och myndigheter</t>
        </is>
      </c>
      <c r="G478" t="n">
        <v>0.5</v>
      </c>
      <c r="H478" t="n">
        <v>0</v>
      </c>
      <c r="I478" t="n">
        <v>0</v>
      </c>
      <c r="J478" t="n">
        <v>0</v>
      </c>
      <c r="K478" t="n">
        <v>0</v>
      </c>
      <c r="L478" t="n">
        <v>0</v>
      </c>
      <c r="M478" t="n">
        <v>0</v>
      </c>
      <c r="N478" t="n">
        <v>0</v>
      </c>
      <c r="O478" t="n">
        <v>0</v>
      </c>
      <c r="P478" t="n">
        <v>0</v>
      </c>
      <c r="Q478" t="n">
        <v>0</v>
      </c>
      <c r="R478" s="2" t="inlineStr"/>
    </row>
    <row r="479" ht="15" customHeight="1">
      <c r="A479" t="inlineStr">
        <is>
          <t>A 8146-2025</t>
        </is>
      </c>
      <c r="B479" s="1" t="n">
        <v>45708.30415509259</v>
      </c>
      <c r="C479" s="1" t="n">
        <v>45887</v>
      </c>
      <c r="D479" t="inlineStr">
        <is>
          <t>DALARNAS LÄN</t>
        </is>
      </c>
      <c r="E479" t="inlineStr">
        <is>
          <t>ÄLVDALEN</t>
        </is>
      </c>
      <c r="F479" t="inlineStr">
        <is>
          <t>Allmännings- och besparingsskogar</t>
        </is>
      </c>
      <c r="G479" t="n">
        <v>1</v>
      </c>
      <c r="H479" t="n">
        <v>0</v>
      </c>
      <c r="I479" t="n">
        <v>0</v>
      </c>
      <c r="J479" t="n">
        <v>0</v>
      </c>
      <c r="K479" t="n">
        <v>0</v>
      </c>
      <c r="L479" t="n">
        <v>0</v>
      </c>
      <c r="M479" t="n">
        <v>0</v>
      </c>
      <c r="N479" t="n">
        <v>0</v>
      </c>
      <c r="O479" t="n">
        <v>0</v>
      </c>
      <c r="P479" t="n">
        <v>0</v>
      </c>
      <c r="Q479" t="n">
        <v>0</v>
      </c>
      <c r="R479" s="2" t="inlineStr"/>
    </row>
    <row r="480" ht="15" customHeight="1">
      <c r="A480" t="inlineStr">
        <is>
          <t>A 15952-2021</t>
        </is>
      </c>
      <c r="B480" s="1" t="n">
        <v>44286</v>
      </c>
      <c r="C480" s="1" t="n">
        <v>45887</v>
      </c>
      <c r="D480" t="inlineStr">
        <is>
          <t>DALARNAS LÄN</t>
        </is>
      </c>
      <c r="E480" t="inlineStr">
        <is>
          <t>ÄLVDALEN</t>
        </is>
      </c>
      <c r="F480" t="inlineStr">
        <is>
          <t>Övriga statliga verk och myndigheter</t>
        </is>
      </c>
      <c r="G480" t="n">
        <v>6.6</v>
      </c>
      <c r="H480" t="n">
        <v>0</v>
      </c>
      <c r="I480" t="n">
        <v>0</v>
      </c>
      <c r="J480" t="n">
        <v>0</v>
      </c>
      <c r="K480" t="n">
        <v>0</v>
      </c>
      <c r="L480" t="n">
        <v>0</v>
      </c>
      <c r="M480" t="n">
        <v>0</v>
      </c>
      <c r="N480" t="n">
        <v>0</v>
      </c>
      <c r="O480" t="n">
        <v>0</v>
      </c>
      <c r="P480" t="n">
        <v>0</v>
      </c>
      <c r="Q480" t="n">
        <v>0</v>
      </c>
      <c r="R480" s="2" t="inlineStr"/>
    </row>
    <row r="481" ht="15" customHeight="1">
      <c r="A481" t="inlineStr">
        <is>
          <t>A 61070-2024</t>
        </is>
      </c>
      <c r="B481" s="1" t="n">
        <v>45645.50170138889</v>
      </c>
      <c r="C481" s="1" t="n">
        <v>45887</v>
      </c>
      <c r="D481" t="inlineStr">
        <is>
          <t>DALARNAS LÄN</t>
        </is>
      </c>
      <c r="E481" t="inlineStr">
        <is>
          <t>ÄLVDALEN</t>
        </is>
      </c>
      <c r="G481" t="n">
        <v>5.6</v>
      </c>
      <c r="H481" t="n">
        <v>0</v>
      </c>
      <c r="I481" t="n">
        <v>0</v>
      </c>
      <c r="J481" t="n">
        <v>0</v>
      </c>
      <c r="K481" t="n">
        <v>0</v>
      </c>
      <c r="L481" t="n">
        <v>0</v>
      </c>
      <c r="M481" t="n">
        <v>0</v>
      </c>
      <c r="N481" t="n">
        <v>0</v>
      </c>
      <c r="O481" t="n">
        <v>0</v>
      </c>
      <c r="P481" t="n">
        <v>0</v>
      </c>
      <c r="Q481" t="n">
        <v>0</v>
      </c>
      <c r="R481" s="2" t="inlineStr"/>
    </row>
    <row r="482" ht="15" customHeight="1">
      <c r="A482" t="inlineStr">
        <is>
          <t>A 45203-2024</t>
        </is>
      </c>
      <c r="B482" s="1" t="n">
        <v>45575</v>
      </c>
      <c r="C482" s="1" t="n">
        <v>45887</v>
      </c>
      <c r="D482" t="inlineStr">
        <is>
          <t>DALARNAS LÄN</t>
        </is>
      </c>
      <c r="E482" t="inlineStr">
        <is>
          <t>ÄLVDALEN</t>
        </is>
      </c>
      <c r="G482" t="n">
        <v>7.3</v>
      </c>
      <c r="H482" t="n">
        <v>0</v>
      </c>
      <c r="I482" t="n">
        <v>0</v>
      </c>
      <c r="J482" t="n">
        <v>0</v>
      </c>
      <c r="K482" t="n">
        <v>0</v>
      </c>
      <c r="L482" t="n">
        <v>0</v>
      </c>
      <c r="M482" t="n">
        <v>0</v>
      </c>
      <c r="N482" t="n">
        <v>0</v>
      </c>
      <c r="O482" t="n">
        <v>0</v>
      </c>
      <c r="P482" t="n">
        <v>0</v>
      </c>
      <c r="Q482" t="n">
        <v>0</v>
      </c>
      <c r="R482" s="2" t="inlineStr"/>
    </row>
    <row r="483" ht="15" customHeight="1">
      <c r="A483" t="inlineStr">
        <is>
          <t>A 31857-2023</t>
        </is>
      </c>
      <c r="B483" s="1" t="n">
        <v>45106</v>
      </c>
      <c r="C483" s="1" t="n">
        <v>45887</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19761-2021</t>
        </is>
      </c>
      <c r="B484" s="1" t="n">
        <v>44309</v>
      </c>
      <c r="C484" s="1" t="n">
        <v>45887</v>
      </c>
      <c r="D484" t="inlineStr">
        <is>
          <t>DALARNAS LÄN</t>
        </is>
      </c>
      <c r="E484" t="inlineStr">
        <is>
          <t>ÄLVDALEN</t>
        </is>
      </c>
      <c r="G484" t="n">
        <v>4.3</v>
      </c>
      <c r="H484" t="n">
        <v>0</v>
      </c>
      <c r="I484" t="n">
        <v>0</v>
      </c>
      <c r="J484" t="n">
        <v>0</v>
      </c>
      <c r="K484" t="n">
        <v>0</v>
      </c>
      <c r="L484" t="n">
        <v>0</v>
      </c>
      <c r="M484" t="n">
        <v>0</v>
      </c>
      <c r="N484" t="n">
        <v>0</v>
      </c>
      <c r="O484" t="n">
        <v>0</v>
      </c>
      <c r="P484" t="n">
        <v>0</v>
      </c>
      <c r="Q484" t="n">
        <v>0</v>
      </c>
      <c r="R484" s="2" t="inlineStr"/>
    </row>
    <row r="485" ht="15" customHeight="1">
      <c r="A485" t="inlineStr">
        <is>
          <t>A 29713-2022</t>
        </is>
      </c>
      <c r="B485" s="1" t="n">
        <v>44755</v>
      </c>
      <c r="C485" s="1" t="n">
        <v>45887</v>
      </c>
      <c r="D485" t="inlineStr">
        <is>
          <t>DALARNAS LÄN</t>
        </is>
      </c>
      <c r="E485" t="inlineStr">
        <is>
          <t>ÄLVDALEN</t>
        </is>
      </c>
      <c r="G485" t="n">
        <v>2.8</v>
      </c>
      <c r="H485" t="n">
        <v>0</v>
      </c>
      <c r="I485" t="n">
        <v>0</v>
      </c>
      <c r="J485" t="n">
        <v>0</v>
      </c>
      <c r="K485" t="n">
        <v>0</v>
      </c>
      <c r="L485" t="n">
        <v>0</v>
      </c>
      <c r="M485" t="n">
        <v>0</v>
      </c>
      <c r="N485" t="n">
        <v>0</v>
      </c>
      <c r="O485" t="n">
        <v>0</v>
      </c>
      <c r="P485" t="n">
        <v>0</v>
      </c>
      <c r="Q485" t="n">
        <v>0</v>
      </c>
      <c r="R485" s="2" t="inlineStr"/>
    </row>
    <row r="486" ht="15" customHeight="1">
      <c r="A486" t="inlineStr">
        <is>
          <t>A 627-2025</t>
        </is>
      </c>
      <c r="B486" s="1" t="n">
        <v>45660</v>
      </c>
      <c r="C486" s="1" t="n">
        <v>45887</v>
      </c>
      <c r="D486" t="inlineStr">
        <is>
          <t>DALARNAS LÄN</t>
        </is>
      </c>
      <c r="E486" t="inlineStr">
        <is>
          <t>ÄLVDALEN</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14489-2025</t>
        </is>
      </c>
      <c r="B487" s="1" t="n">
        <v>45741.60680555556</v>
      </c>
      <c r="C487" s="1" t="n">
        <v>45887</v>
      </c>
      <c r="D487" t="inlineStr">
        <is>
          <t>DALARNAS LÄN</t>
        </is>
      </c>
      <c r="E487" t="inlineStr">
        <is>
          <t>ÄLVDALEN</t>
        </is>
      </c>
      <c r="G487" t="n">
        <v>7.9</v>
      </c>
      <c r="H487" t="n">
        <v>0</v>
      </c>
      <c r="I487" t="n">
        <v>0</v>
      </c>
      <c r="J487" t="n">
        <v>0</v>
      </c>
      <c r="K487" t="n">
        <v>0</v>
      </c>
      <c r="L487" t="n">
        <v>0</v>
      </c>
      <c r="M487" t="n">
        <v>0</v>
      </c>
      <c r="N487" t="n">
        <v>0</v>
      </c>
      <c r="O487" t="n">
        <v>0</v>
      </c>
      <c r="P487" t="n">
        <v>0</v>
      </c>
      <c r="Q487" t="n">
        <v>0</v>
      </c>
      <c r="R487" s="2" t="inlineStr"/>
    </row>
    <row r="488" ht="15" customHeight="1">
      <c r="A488" t="inlineStr">
        <is>
          <t>A 10817-2025</t>
        </is>
      </c>
      <c r="B488" s="1" t="n">
        <v>45722.54625</v>
      </c>
      <c r="C488" s="1" t="n">
        <v>45887</v>
      </c>
      <c r="D488" t="inlineStr">
        <is>
          <t>DALARNAS LÄN</t>
        </is>
      </c>
      <c r="E488" t="inlineStr">
        <is>
          <t>ÄLVDALEN</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10831-2025</t>
        </is>
      </c>
      <c r="B489" s="1" t="n">
        <v>45722.56425925926</v>
      </c>
      <c r="C489" s="1" t="n">
        <v>45887</v>
      </c>
      <c r="D489" t="inlineStr">
        <is>
          <t>DALARNAS LÄN</t>
        </is>
      </c>
      <c r="E489" t="inlineStr">
        <is>
          <t>ÄLVDALEN</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49236-2023</t>
        </is>
      </c>
      <c r="B490" s="1" t="n">
        <v>45210.63995370371</v>
      </c>
      <c r="C490" s="1" t="n">
        <v>45887</v>
      </c>
      <c r="D490" t="inlineStr">
        <is>
          <t>DALARNAS LÄN</t>
        </is>
      </c>
      <c r="E490" t="inlineStr">
        <is>
          <t>ÄLVDALEN</t>
        </is>
      </c>
      <c r="F490" t="inlineStr">
        <is>
          <t>Bergvik skog väst AB</t>
        </is>
      </c>
      <c r="G490" t="n">
        <v>4.4</v>
      </c>
      <c r="H490" t="n">
        <v>0</v>
      </c>
      <c r="I490" t="n">
        <v>0</v>
      </c>
      <c r="J490" t="n">
        <v>0</v>
      </c>
      <c r="K490" t="n">
        <v>0</v>
      </c>
      <c r="L490" t="n">
        <v>0</v>
      </c>
      <c r="M490" t="n">
        <v>0</v>
      </c>
      <c r="N490" t="n">
        <v>0</v>
      </c>
      <c r="O490" t="n">
        <v>0</v>
      </c>
      <c r="P490" t="n">
        <v>0</v>
      </c>
      <c r="Q490" t="n">
        <v>0</v>
      </c>
      <c r="R490" s="2" t="inlineStr"/>
    </row>
    <row r="491" ht="15" customHeight="1">
      <c r="A491" t="inlineStr">
        <is>
          <t>A 15251-2021</t>
        </is>
      </c>
      <c r="B491" s="1" t="n">
        <v>44284</v>
      </c>
      <c r="C491" s="1" t="n">
        <v>45887</v>
      </c>
      <c r="D491" t="inlineStr">
        <is>
          <t>DALARNAS LÄN</t>
        </is>
      </c>
      <c r="E491" t="inlineStr">
        <is>
          <t>ÄLVDALEN</t>
        </is>
      </c>
      <c r="G491" t="n">
        <v>6.1</v>
      </c>
      <c r="H491" t="n">
        <v>0</v>
      </c>
      <c r="I491" t="n">
        <v>0</v>
      </c>
      <c r="J491" t="n">
        <v>0</v>
      </c>
      <c r="K491" t="n">
        <v>0</v>
      </c>
      <c r="L491" t="n">
        <v>0</v>
      </c>
      <c r="M491" t="n">
        <v>0</v>
      </c>
      <c r="N491" t="n">
        <v>0</v>
      </c>
      <c r="O491" t="n">
        <v>0</v>
      </c>
      <c r="P491" t="n">
        <v>0</v>
      </c>
      <c r="Q491" t="n">
        <v>0</v>
      </c>
      <c r="R491" s="2" t="inlineStr"/>
    </row>
    <row r="492" ht="15" customHeight="1">
      <c r="A492" t="inlineStr">
        <is>
          <t>A 48552-2024</t>
        </is>
      </c>
      <c r="B492" s="1" t="n">
        <v>45593.37266203704</v>
      </c>
      <c r="C492" s="1" t="n">
        <v>45887</v>
      </c>
      <c r="D492" t="inlineStr">
        <is>
          <t>DALARNAS LÄN</t>
        </is>
      </c>
      <c r="E492" t="inlineStr">
        <is>
          <t>ÄLVDALEN</t>
        </is>
      </c>
      <c r="G492" t="n">
        <v>4.1</v>
      </c>
      <c r="H492" t="n">
        <v>0</v>
      </c>
      <c r="I492" t="n">
        <v>0</v>
      </c>
      <c r="J492" t="n">
        <v>0</v>
      </c>
      <c r="K492" t="n">
        <v>0</v>
      </c>
      <c r="L492" t="n">
        <v>0</v>
      </c>
      <c r="M492" t="n">
        <v>0</v>
      </c>
      <c r="N492" t="n">
        <v>0</v>
      </c>
      <c r="O492" t="n">
        <v>0</v>
      </c>
      <c r="P492" t="n">
        <v>0</v>
      </c>
      <c r="Q492" t="n">
        <v>0</v>
      </c>
      <c r="R492" s="2" t="inlineStr"/>
    </row>
    <row r="493" ht="15" customHeight="1">
      <c r="A493" t="inlineStr">
        <is>
          <t>A 47081-2023</t>
        </is>
      </c>
      <c r="B493" s="1" t="n">
        <v>45201.61148148148</v>
      </c>
      <c r="C493" s="1" t="n">
        <v>45887</v>
      </c>
      <c r="D493" t="inlineStr">
        <is>
          <t>DALARNAS LÄN</t>
        </is>
      </c>
      <c r="E493" t="inlineStr">
        <is>
          <t>ÄLVDALEN</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23369-2023</t>
        </is>
      </c>
      <c r="B494" s="1" t="n">
        <v>45076</v>
      </c>
      <c r="C494" s="1" t="n">
        <v>45887</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59676-2024</t>
        </is>
      </c>
      <c r="B495" s="1" t="n">
        <v>45639.39060185185</v>
      </c>
      <c r="C495" s="1" t="n">
        <v>45887</v>
      </c>
      <c r="D495" t="inlineStr">
        <is>
          <t>DALARNAS LÄN</t>
        </is>
      </c>
      <c r="E495" t="inlineStr">
        <is>
          <t>ÄLVDALEN</t>
        </is>
      </c>
      <c r="G495" t="n">
        <v>2.7</v>
      </c>
      <c r="H495" t="n">
        <v>0</v>
      </c>
      <c r="I495" t="n">
        <v>0</v>
      </c>
      <c r="J495" t="n">
        <v>0</v>
      </c>
      <c r="K495" t="n">
        <v>0</v>
      </c>
      <c r="L495" t="n">
        <v>0</v>
      </c>
      <c r="M495" t="n">
        <v>0</v>
      </c>
      <c r="N495" t="n">
        <v>0</v>
      </c>
      <c r="O495" t="n">
        <v>0</v>
      </c>
      <c r="P495" t="n">
        <v>0</v>
      </c>
      <c r="Q495" t="n">
        <v>0</v>
      </c>
      <c r="R495" s="2" t="inlineStr"/>
    </row>
    <row r="496" ht="15" customHeight="1">
      <c r="A496" t="inlineStr">
        <is>
          <t>A 9719-2023</t>
        </is>
      </c>
      <c r="B496" s="1" t="n">
        <v>44978</v>
      </c>
      <c r="C496" s="1" t="n">
        <v>45887</v>
      </c>
      <c r="D496" t="inlineStr">
        <is>
          <t>DALARNAS LÄN</t>
        </is>
      </c>
      <c r="E496" t="inlineStr">
        <is>
          <t>ÄLVDALEN</t>
        </is>
      </c>
      <c r="G496" t="n">
        <v>20.2</v>
      </c>
      <c r="H496" t="n">
        <v>0</v>
      </c>
      <c r="I496" t="n">
        <v>0</v>
      </c>
      <c r="J496" t="n">
        <v>0</v>
      </c>
      <c r="K496" t="n">
        <v>0</v>
      </c>
      <c r="L496" t="n">
        <v>0</v>
      </c>
      <c r="M496" t="n">
        <v>0</v>
      </c>
      <c r="N496" t="n">
        <v>0</v>
      </c>
      <c r="O496" t="n">
        <v>0</v>
      </c>
      <c r="P496" t="n">
        <v>0</v>
      </c>
      <c r="Q496" t="n">
        <v>0</v>
      </c>
      <c r="R496" s="2" t="inlineStr"/>
    </row>
    <row r="497" ht="15" customHeight="1">
      <c r="A497" t="inlineStr">
        <is>
          <t>A 40003-2022</t>
        </is>
      </c>
      <c r="B497" s="1" t="n">
        <v>44820.36509259259</v>
      </c>
      <c r="C497" s="1" t="n">
        <v>45887</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431-2023</t>
        </is>
      </c>
      <c r="B498" s="1" t="n">
        <v>44923</v>
      </c>
      <c r="C498" s="1" t="n">
        <v>45887</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55589-2022</t>
        </is>
      </c>
      <c r="B499" s="1" t="n">
        <v>44888.40673611111</v>
      </c>
      <c r="C499" s="1" t="n">
        <v>45887</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48849-2022</t>
        </is>
      </c>
      <c r="B500" s="1" t="n">
        <v>44859</v>
      </c>
      <c r="C500" s="1" t="n">
        <v>45887</v>
      </c>
      <c r="D500" t="inlineStr">
        <is>
          <t>DALARNAS LÄN</t>
        </is>
      </c>
      <c r="E500" t="inlineStr">
        <is>
          <t>ÄLVDALEN</t>
        </is>
      </c>
      <c r="F500" t="inlineStr">
        <is>
          <t>Allmännings- och besparingsskogar</t>
        </is>
      </c>
      <c r="G500" t="n">
        <v>2.4</v>
      </c>
      <c r="H500" t="n">
        <v>0</v>
      </c>
      <c r="I500" t="n">
        <v>0</v>
      </c>
      <c r="J500" t="n">
        <v>0</v>
      </c>
      <c r="K500" t="n">
        <v>0</v>
      </c>
      <c r="L500" t="n">
        <v>0</v>
      </c>
      <c r="M500" t="n">
        <v>0</v>
      </c>
      <c r="N500" t="n">
        <v>0</v>
      </c>
      <c r="O500" t="n">
        <v>0</v>
      </c>
      <c r="P500" t="n">
        <v>0</v>
      </c>
      <c r="Q500" t="n">
        <v>0</v>
      </c>
      <c r="R500" s="2" t="inlineStr"/>
    </row>
    <row r="501" ht="15" customHeight="1">
      <c r="A501" t="inlineStr">
        <is>
          <t>A 29819-2024</t>
        </is>
      </c>
      <c r="B501" s="1" t="n">
        <v>45485.55760416666</v>
      </c>
      <c r="C501" s="1" t="n">
        <v>45887</v>
      </c>
      <c r="D501" t="inlineStr">
        <is>
          <t>DALARNAS LÄN</t>
        </is>
      </c>
      <c r="E501" t="inlineStr">
        <is>
          <t>ÄLVDALEN</t>
        </is>
      </c>
      <c r="G501" t="n">
        <v>1.4</v>
      </c>
      <c r="H501" t="n">
        <v>0</v>
      </c>
      <c r="I501" t="n">
        <v>0</v>
      </c>
      <c r="J501" t="n">
        <v>0</v>
      </c>
      <c r="K501" t="n">
        <v>0</v>
      </c>
      <c r="L501" t="n">
        <v>0</v>
      </c>
      <c r="M501" t="n">
        <v>0</v>
      </c>
      <c r="N501" t="n">
        <v>0</v>
      </c>
      <c r="O501" t="n">
        <v>0</v>
      </c>
      <c r="P501" t="n">
        <v>0</v>
      </c>
      <c r="Q501" t="n">
        <v>0</v>
      </c>
      <c r="R501" s="2" t="inlineStr"/>
    </row>
    <row r="502" ht="15" customHeight="1">
      <c r="A502" t="inlineStr">
        <is>
          <t>A 52483-2023</t>
        </is>
      </c>
      <c r="B502" s="1" t="n">
        <v>45225</v>
      </c>
      <c r="C502" s="1" t="n">
        <v>45887</v>
      </c>
      <c r="D502" t="inlineStr">
        <is>
          <t>DALARNAS LÄN</t>
        </is>
      </c>
      <c r="E502" t="inlineStr">
        <is>
          <t>ÄLVDALEN</t>
        </is>
      </c>
      <c r="F502" t="inlineStr">
        <is>
          <t>Allmännings- och besparingsskogar</t>
        </is>
      </c>
      <c r="G502" t="n">
        <v>30.9</v>
      </c>
      <c r="H502" t="n">
        <v>0</v>
      </c>
      <c r="I502" t="n">
        <v>0</v>
      </c>
      <c r="J502" t="n">
        <v>0</v>
      </c>
      <c r="K502" t="n">
        <v>0</v>
      </c>
      <c r="L502" t="n">
        <v>0</v>
      </c>
      <c r="M502" t="n">
        <v>0</v>
      </c>
      <c r="N502" t="n">
        <v>0</v>
      </c>
      <c r="O502" t="n">
        <v>0</v>
      </c>
      <c r="P502" t="n">
        <v>0</v>
      </c>
      <c r="Q502" t="n">
        <v>0</v>
      </c>
      <c r="R502" s="2" t="inlineStr"/>
      <c r="U502">
        <f>HYPERLINK("https://klasma.github.io/Logging_2039/knärot/A 52483-2023 karta knärot.png", "A 52483-2023")</f>
        <v/>
      </c>
      <c r="V502">
        <f>HYPERLINK("https://klasma.github.io/Logging_2039/klagomål/A 52483-2023 FSC-klagomål.docx", "A 52483-2023")</f>
        <v/>
      </c>
      <c r="W502">
        <f>HYPERLINK("https://klasma.github.io/Logging_2039/klagomålsmail/A 52483-2023 FSC-klagomål mail.docx", "A 52483-2023")</f>
        <v/>
      </c>
      <c r="X502">
        <f>HYPERLINK("https://klasma.github.io/Logging_2039/tillsyn/A 52483-2023 tillsynsbegäran.docx", "A 52483-2023")</f>
        <v/>
      </c>
      <c r="Y502">
        <f>HYPERLINK("https://klasma.github.io/Logging_2039/tillsynsmail/A 52483-2023 tillsynsbegäran mail.docx", "A 52483-2023")</f>
        <v/>
      </c>
    </row>
    <row r="503" ht="15" customHeight="1">
      <c r="A503" t="inlineStr">
        <is>
          <t>A 52107-2022</t>
        </is>
      </c>
      <c r="B503" s="1" t="n">
        <v>44873.41295138889</v>
      </c>
      <c r="C503" s="1" t="n">
        <v>45887</v>
      </c>
      <c r="D503" t="inlineStr">
        <is>
          <t>DALARNAS LÄN</t>
        </is>
      </c>
      <c r="E503" t="inlineStr">
        <is>
          <t>ÄLVDALEN</t>
        </is>
      </c>
      <c r="G503" t="n">
        <v>1.8</v>
      </c>
      <c r="H503" t="n">
        <v>0</v>
      </c>
      <c r="I503" t="n">
        <v>0</v>
      </c>
      <c r="J503" t="n">
        <v>0</v>
      </c>
      <c r="K503" t="n">
        <v>0</v>
      </c>
      <c r="L503" t="n">
        <v>0</v>
      </c>
      <c r="M503" t="n">
        <v>0</v>
      </c>
      <c r="N503" t="n">
        <v>0</v>
      </c>
      <c r="O503" t="n">
        <v>0</v>
      </c>
      <c r="P503" t="n">
        <v>0</v>
      </c>
      <c r="Q503" t="n">
        <v>0</v>
      </c>
      <c r="R503" s="2" t="inlineStr"/>
    </row>
    <row r="504" ht="15" customHeight="1">
      <c r="A504" t="inlineStr">
        <is>
          <t>A 36593-2023</t>
        </is>
      </c>
      <c r="B504" s="1" t="n">
        <v>45153.47732638889</v>
      </c>
      <c r="C504" s="1" t="n">
        <v>45887</v>
      </c>
      <c r="D504" t="inlineStr">
        <is>
          <t>DALARNAS LÄN</t>
        </is>
      </c>
      <c r="E504" t="inlineStr">
        <is>
          <t>ÄLVDALEN</t>
        </is>
      </c>
      <c r="G504" t="n">
        <v>0.9</v>
      </c>
      <c r="H504" t="n">
        <v>0</v>
      </c>
      <c r="I504" t="n">
        <v>0</v>
      </c>
      <c r="J504" t="n">
        <v>0</v>
      </c>
      <c r="K504" t="n">
        <v>0</v>
      </c>
      <c r="L504" t="n">
        <v>0</v>
      </c>
      <c r="M504" t="n">
        <v>0</v>
      </c>
      <c r="N504" t="n">
        <v>0</v>
      </c>
      <c r="O504" t="n">
        <v>0</v>
      </c>
      <c r="P504" t="n">
        <v>0</v>
      </c>
      <c r="Q504" t="n">
        <v>0</v>
      </c>
      <c r="R504" s="2" t="inlineStr"/>
    </row>
    <row r="505" ht="15" customHeight="1">
      <c r="A505" t="inlineStr">
        <is>
          <t>A 59547-2023</t>
        </is>
      </c>
      <c r="B505" s="1" t="n">
        <v>45254.55645833333</v>
      </c>
      <c r="C505" s="1" t="n">
        <v>45887</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8538-2025</t>
        </is>
      </c>
      <c r="B506" s="1" t="n">
        <v>45709.59030092593</v>
      </c>
      <c r="C506" s="1" t="n">
        <v>45887</v>
      </c>
      <c r="D506" t="inlineStr">
        <is>
          <t>DALARNAS LÄN</t>
        </is>
      </c>
      <c r="E506" t="inlineStr">
        <is>
          <t>ÄLVDALEN</t>
        </is>
      </c>
      <c r="F506" t="inlineStr">
        <is>
          <t>Allmännings- och besparingsskogar</t>
        </is>
      </c>
      <c r="G506" t="n">
        <v>0.6</v>
      </c>
      <c r="H506" t="n">
        <v>0</v>
      </c>
      <c r="I506" t="n">
        <v>0</v>
      </c>
      <c r="J506" t="n">
        <v>0</v>
      </c>
      <c r="K506" t="n">
        <v>0</v>
      </c>
      <c r="L506" t="n">
        <v>0</v>
      </c>
      <c r="M506" t="n">
        <v>0</v>
      </c>
      <c r="N506" t="n">
        <v>0</v>
      </c>
      <c r="O506" t="n">
        <v>0</v>
      </c>
      <c r="P506" t="n">
        <v>0</v>
      </c>
      <c r="Q506" t="n">
        <v>0</v>
      </c>
      <c r="R506" s="2" t="inlineStr"/>
    </row>
    <row r="507" ht="15" customHeight="1">
      <c r="A507" t="inlineStr">
        <is>
          <t>A 36284-2024</t>
        </is>
      </c>
      <c r="B507" s="1" t="n">
        <v>45534.5897337963</v>
      </c>
      <c r="C507" s="1" t="n">
        <v>45887</v>
      </c>
      <c r="D507" t="inlineStr">
        <is>
          <t>DALARNAS LÄN</t>
        </is>
      </c>
      <c r="E507" t="inlineStr">
        <is>
          <t>ÄLVDALEN</t>
        </is>
      </c>
      <c r="G507" t="n">
        <v>3.4</v>
      </c>
      <c r="H507" t="n">
        <v>0</v>
      </c>
      <c r="I507" t="n">
        <v>0</v>
      </c>
      <c r="J507" t="n">
        <v>0</v>
      </c>
      <c r="K507" t="n">
        <v>0</v>
      </c>
      <c r="L507" t="n">
        <v>0</v>
      </c>
      <c r="M507" t="n">
        <v>0</v>
      </c>
      <c r="N507" t="n">
        <v>0</v>
      </c>
      <c r="O507" t="n">
        <v>0</v>
      </c>
      <c r="P507" t="n">
        <v>0</v>
      </c>
      <c r="Q507" t="n">
        <v>0</v>
      </c>
      <c r="R507" s="2" t="inlineStr"/>
    </row>
    <row r="508" ht="15" customHeight="1">
      <c r="A508" t="inlineStr">
        <is>
          <t>A 59692-2024</t>
        </is>
      </c>
      <c r="B508" s="1" t="n">
        <v>45639.40686342592</v>
      </c>
      <c r="C508" s="1" t="n">
        <v>45887</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54632-2021</t>
        </is>
      </c>
      <c r="B509" s="1" t="n">
        <v>44473</v>
      </c>
      <c r="C509" s="1" t="n">
        <v>45887</v>
      </c>
      <c r="D509" t="inlineStr">
        <is>
          <t>DALARNAS LÄN</t>
        </is>
      </c>
      <c r="E509" t="inlineStr">
        <is>
          <t>ÄLVDALEN</t>
        </is>
      </c>
      <c r="G509" t="n">
        <v>0.5</v>
      </c>
      <c r="H509" t="n">
        <v>0</v>
      </c>
      <c r="I509" t="n">
        <v>0</v>
      </c>
      <c r="J509" t="n">
        <v>0</v>
      </c>
      <c r="K509" t="n">
        <v>0</v>
      </c>
      <c r="L509" t="n">
        <v>0</v>
      </c>
      <c r="M509" t="n">
        <v>0</v>
      </c>
      <c r="N509" t="n">
        <v>0</v>
      </c>
      <c r="O509" t="n">
        <v>0</v>
      </c>
      <c r="P509" t="n">
        <v>0</v>
      </c>
      <c r="Q509" t="n">
        <v>0</v>
      </c>
      <c r="R509" s="2" t="inlineStr"/>
      <c r="T509">
        <f>HYPERLINK("https://klasma.github.io/Logging_2039/kartor/A 54632-2021 karta.png", "A 54632-2021")</f>
        <v/>
      </c>
      <c r="V509">
        <f>HYPERLINK("https://klasma.github.io/Logging_2039/klagomål/A 54632-2021 FSC-klagomål.docx", "A 54632-2021")</f>
        <v/>
      </c>
      <c r="W509">
        <f>HYPERLINK("https://klasma.github.io/Logging_2039/klagomålsmail/A 54632-2021 FSC-klagomål mail.docx", "A 54632-2021")</f>
        <v/>
      </c>
      <c r="X509">
        <f>HYPERLINK("https://klasma.github.io/Logging_2039/tillsyn/A 54632-2021 tillsynsbegäran.docx", "A 54632-2021")</f>
        <v/>
      </c>
      <c r="Y509">
        <f>HYPERLINK("https://klasma.github.io/Logging_2039/tillsynsmail/A 54632-2021 tillsynsbegäran mail.docx", "A 54632-2021")</f>
        <v/>
      </c>
    </row>
    <row r="510" ht="15" customHeight="1">
      <c r="A510" t="inlineStr">
        <is>
          <t>A 8069-2025</t>
        </is>
      </c>
      <c r="B510" s="1" t="n">
        <v>45707.64342592593</v>
      </c>
      <c r="C510" s="1" t="n">
        <v>45887</v>
      </c>
      <c r="D510" t="inlineStr">
        <is>
          <t>DALARNAS LÄN</t>
        </is>
      </c>
      <c r="E510" t="inlineStr">
        <is>
          <t>ÄLVDALEN</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19587-2025</t>
        </is>
      </c>
      <c r="B511" s="1" t="n">
        <v>45770.56820601852</v>
      </c>
      <c r="C511" s="1" t="n">
        <v>45887</v>
      </c>
      <c r="D511" t="inlineStr">
        <is>
          <t>DALARNAS LÄN</t>
        </is>
      </c>
      <c r="E511" t="inlineStr">
        <is>
          <t>ÄLVDALEN</t>
        </is>
      </c>
      <c r="F511" t="inlineStr">
        <is>
          <t>Allmännings- och besparingsskogar</t>
        </is>
      </c>
      <c r="G511" t="n">
        <v>1.4</v>
      </c>
      <c r="H511" t="n">
        <v>0</v>
      </c>
      <c r="I511" t="n">
        <v>0</v>
      </c>
      <c r="J511" t="n">
        <v>0</v>
      </c>
      <c r="K511" t="n">
        <v>0</v>
      </c>
      <c r="L511" t="n">
        <v>0</v>
      </c>
      <c r="M511" t="n">
        <v>0</v>
      </c>
      <c r="N511" t="n">
        <v>0</v>
      </c>
      <c r="O511" t="n">
        <v>0</v>
      </c>
      <c r="P511" t="n">
        <v>0</v>
      </c>
      <c r="Q511" t="n">
        <v>0</v>
      </c>
      <c r="R511" s="2" t="inlineStr"/>
    </row>
    <row r="512" ht="15" customHeight="1">
      <c r="A512" t="inlineStr">
        <is>
          <t>A 15738-2025</t>
        </is>
      </c>
      <c r="B512" s="1" t="n">
        <v>45748.54524305555</v>
      </c>
      <c r="C512" s="1" t="n">
        <v>45887</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747-2025</t>
        </is>
      </c>
      <c r="B513" s="1" t="n">
        <v>45665.43965277778</v>
      </c>
      <c r="C513" s="1" t="n">
        <v>45887</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3196-2025</t>
        </is>
      </c>
      <c r="B514" s="1" t="n">
        <v>45679.42957175926</v>
      </c>
      <c r="C514" s="1" t="n">
        <v>45887</v>
      </c>
      <c r="D514" t="inlineStr">
        <is>
          <t>DALARNAS LÄN</t>
        </is>
      </c>
      <c r="E514" t="inlineStr">
        <is>
          <t>ÄLVDALEN</t>
        </is>
      </c>
      <c r="G514" t="n">
        <v>5.2</v>
      </c>
      <c r="H514" t="n">
        <v>0</v>
      </c>
      <c r="I514" t="n">
        <v>0</v>
      </c>
      <c r="J514" t="n">
        <v>0</v>
      </c>
      <c r="K514" t="n">
        <v>0</v>
      </c>
      <c r="L514" t="n">
        <v>0</v>
      </c>
      <c r="M514" t="n">
        <v>0</v>
      </c>
      <c r="N514" t="n">
        <v>0</v>
      </c>
      <c r="O514" t="n">
        <v>0</v>
      </c>
      <c r="P514" t="n">
        <v>0</v>
      </c>
      <c r="Q514" t="n">
        <v>0</v>
      </c>
      <c r="R514" s="2" t="inlineStr"/>
    </row>
    <row r="515" ht="15" customHeight="1">
      <c r="A515" t="inlineStr">
        <is>
          <t>A 28467-2024</t>
        </is>
      </c>
      <c r="B515" s="1" t="n">
        <v>45477.71173611111</v>
      </c>
      <c r="C515" s="1" t="n">
        <v>45887</v>
      </c>
      <c r="D515" t="inlineStr">
        <is>
          <t>DALARNAS LÄN</t>
        </is>
      </c>
      <c r="E515" t="inlineStr">
        <is>
          <t>ÄLVDALEN</t>
        </is>
      </c>
      <c r="G515" t="n">
        <v>4</v>
      </c>
      <c r="H515" t="n">
        <v>0</v>
      </c>
      <c r="I515" t="n">
        <v>0</v>
      </c>
      <c r="J515" t="n">
        <v>0</v>
      </c>
      <c r="K515" t="n">
        <v>0</v>
      </c>
      <c r="L515" t="n">
        <v>0</v>
      </c>
      <c r="M515" t="n">
        <v>0</v>
      </c>
      <c r="N515" t="n">
        <v>0</v>
      </c>
      <c r="O515" t="n">
        <v>0</v>
      </c>
      <c r="P515" t="n">
        <v>0</v>
      </c>
      <c r="Q515" t="n">
        <v>0</v>
      </c>
      <c r="R515" s="2" t="inlineStr"/>
    </row>
    <row r="516" ht="15" customHeight="1">
      <c r="A516" t="inlineStr">
        <is>
          <t>A 19182-2023</t>
        </is>
      </c>
      <c r="B516" s="1" t="n">
        <v>45048</v>
      </c>
      <c r="C516" s="1" t="n">
        <v>45887</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46927-2024</t>
        </is>
      </c>
      <c r="B517" s="1" t="n">
        <v>45584.69063657407</v>
      </c>
      <c r="C517" s="1" t="n">
        <v>45887</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58848-2022</t>
        </is>
      </c>
      <c r="B518" s="1" t="n">
        <v>44896</v>
      </c>
      <c r="C518" s="1" t="n">
        <v>45887</v>
      </c>
      <c r="D518" t="inlineStr">
        <is>
          <t>DALARNAS LÄN</t>
        </is>
      </c>
      <c r="E518" t="inlineStr">
        <is>
          <t>ÄLVDALEN</t>
        </is>
      </c>
      <c r="F518" t="inlineStr">
        <is>
          <t>Övriga statliga verk och myndigheter</t>
        </is>
      </c>
      <c r="G518" t="n">
        <v>18.1</v>
      </c>
      <c r="H518" t="n">
        <v>0</v>
      </c>
      <c r="I518" t="n">
        <v>0</v>
      </c>
      <c r="J518" t="n">
        <v>0</v>
      </c>
      <c r="K518" t="n">
        <v>0</v>
      </c>
      <c r="L518" t="n">
        <v>0</v>
      </c>
      <c r="M518" t="n">
        <v>0</v>
      </c>
      <c r="N518" t="n">
        <v>0</v>
      </c>
      <c r="O518" t="n">
        <v>0</v>
      </c>
      <c r="P518" t="n">
        <v>0</v>
      </c>
      <c r="Q518" t="n">
        <v>0</v>
      </c>
      <c r="R518" s="2" t="inlineStr"/>
    </row>
    <row r="519" ht="15" customHeight="1">
      <c r="A519" t="inlineStr">
        <is>
          <t>A 52249-2022</t>
        </is>
      </c>
      <c r="B519" s="1" t="n">
        <v>44873</v>
      </c>
      <c r="C519" s="1" t="n">
        <v>45887</v>
      </c>
      <c r="D519" t="inlineStr">
        <is>
          <t>DALARNAS LÄN</t>
        </is>
      </c>
      <c r="E519" t="inlineStr">
        <is>
          <t>ÄLVDALEN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6230-2024</t>
        </is>
      </c>
      <c r="B520" s="1" t="n">
        <v>45337</v>
      </c>
      <c r="C520" s="1" t="n">
        <v>45887</v>
      </c>
      <c r="D520" t="inlineStr">
        <is>
          <t>DALARNAS LÄN</t>
        </is>
      </c>
      <c r="E520" t="inlineStr">
        <is>
          <t>ÄLVDALEN</t>
        </is>
      </c>
      <c r="G520" t="n">
        <v>6.2</v>
      </c>
      <c r="H520" t="n">
        <v>0</v>
      </c>
      <c r="I520" t="n">
        <v>0</v>
      </c>
      <c r="J520" t="n">
        <v>0</v>
      </c>
      <c r="K520" t="n">
        <v>0</v>
      </c>
      <c r="L520" t="n">
        <v>0</v>
      </c>
      <c r="M520" t="n">
        <v>0</v>
      </c>
      <c r="N520" t="n">
        <v>0</v>
      </c>
      <c r="O520" t="n">
        <v>0</v>
      </c>
      <c r="P520" t="n">
        <v>0</v>
      </c>
      <c r="Q520" t="n">
        <v>0</v>
      </c>
      <c r="R520" s="2" t="inlineStr"/>
    </row>
    <row r="521" ht="15" customHeight="1">
      <c r="A521" t="inlineStr">
        <is>
          <t>A 68383-2021</t>
        </is>
      </c>
      <c r="B521" s="1" t="n">
        <v>44529</v>
      </c>
      <c r="C521" s="1" t="n">
        <v>45887</v>
      </c>
      <c r="D521" t="inlineStr">
        <is>
          <t>DALARNAS LÄN</t>
        </is>
      </c>
      <c r="E521" t="inlineStr">
        <is>
          <t>ÄLVDALEN</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30225-2023</t>
        </is>
      </c>
      <c r="B522" s="1" t="n">
        <v>45110.64971064815</v>
      </c>
      <c r="C522" s="1" t="n">
        <v>45887</v>
      </c>
      <c r="D522" t="inlineStr">
        <is>
          <t>DALARNAS LÄN</t>
        </is>
      </c>
      <c r="E522" t="inlineStr">
        <is>
          <t>ÄLVDALEN</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46926-2024</t>
        </is>
      </c>
      <c r="B523" s="1" t="n">
        <v>45584.68275462963</v>
      </c>
      <c r="C523" s="1" t="n">
        <v>45887</v>
      </c>
      <c r="D523" t="inlineStr">
        <is>
          <t>DALARNAS LÄN</t>
        </is>
      </c>
      <c r="E523" t="inlineStr">
        <is>
          <t>ÄLVDALEN</t>
        </is>
      </c>
      <c r="G523" t="n">
        <v>4.4</v>
      </c>
      <c r="H523" t="n">
        <v>0</v>
      </c>
      <c r="I523" t="n">
        <v>0</v>
      </c>
      <c r="J523" t="n">
        <v>0</v>
      </c>
      <c r="K523" t="n">
        <v>0</v>
      </c>
      <c r="L523" t="n">
        <v>0</v>
      </c>
      <c r="M523" t="n">
        <v>0</v>
      </c>
      <c r="N523" t="n">
        <v>0</v>
      </c>
      <c r="O523" t="n">
        <v>0</v>
      </c>
      <c r="P523" t="n">
        <v>0</v>
      </c>
      <c r="Q523" t="n">
        <v>0</v>
      </c>
      <c r="R523" s="2" t="inlineStr"/>
    </row>
    <row r="524" ht="15" customHeight="1">
      <c r="A524" t="inlineStr">
        <is>
          <t>A 19567-2025</t>
        </is>
      </c>
      <c r="B524" s="1" t="n">
        <v>45770.5349537037</v>
      </c>
      <c r="C524" s="1" t="n">
        <v>45887</v>
      </c>
      <c r="D524" t="inlineStr">
        <is>
          <t>DALARNAS LÄN</t>
        </is>
      </c>
      <c r="E524" t="inlineStr">
        <is>
          <t>ÄLVDALEN</t>
        </is>
      </c>
      <c r="F524" t="inlineStr">
        <is>
          <t>Allmännings- och besparingsskogar</t>
        </is>
      </c>
      <c r="G524" t="n">
        <v>3.7</v>
      </c>
      <c r="H524" t="n">
        <v>0</v>
      </c>
      <c r="I524" t="n">
        <v>0</v>
      </c>
      <c r="J524" t="n">
        <v>0</v>
      </c>
      <c r="K524" t="n">
        <v>0</v>
      </c>
      <c r="L524" t="n">
        <v>0</v>
      </c>
      <c r="M524" t="n">
        <v>0</v>
      </c>
      <c r="N524" t="n">
        <v>0</v>
      </c>
      <c r="O524" t="n">
        <v>0</v>
      </c>
      <c r="P524" t="n">
        <v>0</v>
      </c>
      <c r="Q524" t="n">
        <v>0</v>
      </c>
      <c r="R524" s="2" t="inlineStr"/>
    </row>
    <row r="525" ht="15" customHeight="1">
      <c r="A525" t="inlineStr">
        <is>
          <t>A 14089-2022</t>
        </is>
      </c>
      <c r="B525" s="1" t="n">
        <v>44651</v>
      </c>
      <c r="C525" s="1" t="n">
        <v>45887</v>
      </c>
      <c r="D525" t="inlineStr">
        <is>
          <t>DALARNAS LÄN</t>
        </is>
      </c>
      <c r="E525" t="inlineStr">
        <is>
          <t>ÄLVDALEN</t>
        </is>
      </c>
      <c r="F525" t="inlineStr">
        <is>
          <t>Kommuner</t>
        </is>
      </c>
      <c r="G525" t="n">
        <v>2.1</v>
      </c>
      <c r="H525" t="n">
        <v>0</v>
      </c>
      <c r="I525" t="n">
        <v>0</v>
      </c>
      <c r="J525" t="n">
        <v>0</v>
      </c>
      <c r="K525" t="n">
        <v>0</v>
      </c>
      <c r="L525" t="n">
        <v>0</v>
      </c>
      <c r="M525" t="n">
        <v>0</v>
      </c>
      <c r="N525" t="n">
        <v>0</v>
      </c>
      <c r="O525" t="n">
        <v>0</v>
      </c>
      <c r="P525" t="n">
        <v>0</v>
      </c>
      <c r="Q525" t="n">
        <v>0</v>
      </c>
      <c r="R525" s="2" t="inlineStr"/>
    </row>
    <row r="526" ht="15" customHeight="1">
      <c r="A526" t="inlineStr">
        <is>
          <t>A 57560-2024</t>
        </is>
      </c>
      <c r="B526" s="1" t="n">
        <v>45630.4566550926</v>
      </c>
      <c r="C526" s="1" t="n">
        <v>45887</v>
      </c>
      <c r="D526" t="inlineStr">
        <is>
          <t>DALARNAS LÄN</t>
        </is>
      </c>
      <c r="E526" t="inlineStr">
        <is>
          <t>ÄLVDALEN</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63329-2023</t>
        </is>
      </c>
      <c r="B527" s="1" t="n">
        <v>45274.38255787037</v>
      </c>
      <c r="C527" s="1" t="n">
        <v>45887</v>
      </c>
      <c r="D527" t="inlineStr">
        <is>
          <t>DALARNAS LÄN</t>
        </is>
      </c>
      <c r="E527" t="inlineStr">
        <is>
          <t>ÄLVDALEN</t>
        </is>
      </c>
      <c r="G527" t="n">
        <v>0.6</v>
      </c>
      <c r="H527" t="n">
        <v>0</v>
      </c>
      <c r="I527" t="n">
        <v>0</v>
      </c>
      <c r="J527" t="n">
        <v>0</v>
      </c>
      <c r="K527" t="n">
        <v>0</v>
      </c>
      <c r="L527" t="n">
        <v>0</v>
      </c>
      <c r="M527" t="n">
        <v>0</v>
      </c>
      <c r="N527" t="n">
        <v>0</v>
      </c>
      <c r="O527" t="n">
        <v>0</v>
      </c>
      <c r="P527" t="n">
        <v>0</v>
      </c>
      <c r="Q527" t="n">
        <v>0</v>
      </c>
      <c r="R527" s="2" t="inlineStr"/>
    </row>
    <row r="528" ht="15" customHeight="1">
      <c r="A528" t="inlineStr">
        <is>
          <t>A 20584-2025</t>
        </is>
      </c>
      <c r="B528" s="1" t="n">
        <v>45775.695</v>
      </c>
      <c r="C528" s="1" t="n">
        <v>45887</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70140-2021</t>
        </is>
      </c>
      <c r="B529" s="1" t="n">
        <v>44533</v>
      </c>
      <c r="C529" s="1" t="n">
        <v>45887</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32031-2023</t>
        </is>
      </c>
      <c r="B530" s="1" t="n">
        <v>45107</v>
      </c>
      <c r="C530" s="1" t="n">
        <v>45887</v>
      </c>
      <c r="D530" t="inlineStr">
        <is>
          <t>DALARNAS LÄN</t>
        </is>
      </c>
      <c r="E530" t="inlineStr">
        <is>
          <t>ÄLVDALEN</t>
        </is>
      </c>
      <c r="G530" t="n">
        <v>2.7</v>
      </c>
      <c r="H530" t="n">
        <v>0</v>
      </c>
      <c r="I530" t="n">
        <v>0</v>
      </c>
      <c r="J530" t="n">
        <v>0</v>
      </c>
      <c r="K530" t="n">
        <v>0</v>
      </c>
      <c r="L530" t="n">
        <v>0</v>
      </c>
      <c r="M530" t="n">
        <v>0</v>
      </c>
      <c r="N530" t="n">
        <v>0</v>
      </c>
      <c r="O530" t="n">
        <v>0</v>
      </c>
      <c r="P530" t="n">
        <v>0</v>
      </c>
      <c r="Q530" t="n">
        <v>0</v>
      </c>
      <c r="R530" s="2" t="inlineStr"/>
    </row>
    <row r="531" ht="15" customHeight="1">
      <c r="A531" t="inlineStr">
        <is>
          <t>A 3903-2024</t>
        </is>
      </c>
      <c r="B531" s="1" t="n">
        <v>45322</v>
      </c>
      <c r="C531" s="1" t="n">
        <v>45887</v>
      </c>
      <c r="D531" t="inlineStr">
        <is>
          <t>DALARNAS LÄN</t>
        </is>
      </c>
      <c r="E531" t="inlineStr">
        <is>
          <t>ÄLVDALEN</t>
        </is>
      </c>
      <c r="G531" t="n">
        <v>0.7</v>
      </c>
      <c r="H531" t="n">
        <v>0</v>
      </c>
      <c r="I531" t="n">
        <v>0</v>
      </c>
      <c r="J531" t="n">
        <v>0</v>
      </c>
      <c r="K531" t="n">
        <v>0</v>
      </c>
      <c r="L531" t="n">
        <v>0</v>
      </c>
      <c r="M531" t="n">
        <v>0</v>
      </c>
      <c r="N531" t="n">
        <v>0</v>
      </c>
      <c r="O531" t="n">
        <v>0</v>
      </c>
      <c r="P531" t="n">
        <v>0</v>
      </c>
      <c r="Q531" t="n">
        <v>0</v>
      </c>
      <c r="R531" s="2" t="inlineStr"/>
    </row>
    <row r="532" ht="15" customHeight="1">
      <c r="A532" t="inlineStr">
        <is>
          <t>A 3914-2024</t>
        </is>
      </c>
      <c r="B532" s="1" t="n">
        <v>45322</v>
      </c>
      <c r="C532" s="1" t="n">
        <v>45887</v>
      </c>
      <c r="D532" t="inlineStr">
        <is>
          <t>DALARNAS LÄN</t>
        </is>
      </c>
      <c r="E532" t="inlineStr">
        <is>
          <t>ÄLVDALEN</t>
        </is>
      </c>
      <c r="G532" t="n">
        <v>0.3</v>
      </c>
      <c r="H532" t="n">
        <v>0</v>
      </c>
      <c r="I532" t="n">
        <v>0</v>
      </c>
      <c r="J532" t="n">
        <v>0</v>
      </c>
      <c r="K532" t="n">
        <v>0</v>
      </c>
      <c r="L532" t="n">
        <v>0</v>
      </c>
      <c r="M532" t="n">
        <v>0</v>
      </c>
      <c r="N532" t="n">
        <v>0</v>
      </c>
      <c r="O532" t="n">
        <v>0</v>
      </c>
      <c r="P532" t="n">
        <v>0</v>
      </c>
      <c r="Q532" t="n">
        <v>0</v>
      </c>
      <c r="R532" s="2" t="inlineStr"/>
    </row>
    <row r="533" ht="15" customHeight="1">
      <c r="A533" t="inlineStr">
        <is>
          <t>A 39010-2024</t>
        </is>
      </c>
      <c r="B533" s="1" t="n">
        <v>45548</v>
      </c>
      <c r="C533" s="1" t="n">
        <v>45887</v>
      </c>
      <c r="D533" t="inlineStr">
        <is>
          <t>DALARNAS LÄN</t>
        </is>
      </c>
      <c r="E533" t="inlineStr">
        <is>
          <t>ÄLVDALEN</t>
        </is>
      </c>
      <c r="G533" t="n">
        <v>1.7</v>
      </c>
      <c r="H533" t="n">
        <v>0</v>
      </c>
      <c r="I533" t="n">
        <v>0</v>
      </c>
      <c r="J533" t="n">
        <v>0</v>
      </c>
      <c r="K533" t="n">
        <v>0</v>
      </c>
      <c r="L533" t="n">
        <v>0</v>
      </c>
      <c r="M533" t="n">
        <v>0</v>
      </c>
      <c r="N533" t="n">
        <v>0</v>
      </c>
      <c r="O533" t="n">
        <v>0</v>
      </c>
      <c r="P533" t="n">
        <v>0</v>
      </c>
      <c r="Q533" t="n">
        <v>0</v>
      </c>
      <c r="R533" s="2" t="inlineStr"/>
    </row>
    <row r="534" ht="15" customHeight="1">
      <c r="A534" t="inlineStr">
        <is>
          <t>A 45122-2023</t>
        </is>
      </c>
      <c r="B534" s="1" t="n">
        <v>45191.44871527778</v>
      </c>
      <c r="C534" s="1" t="n">
        <v>45887</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6791-2025</t>
        </is>
      </c>
      <c r="B535" s="1" t="n">
        <v>45700.66315972222</v>
      </c>
      <c r="C535" s="1" t="n">
        <v>45887</v>
      </c>
      <c r="D535" t="inlineStr">
        <is>
          <t>DALARNAS LÄN</t>
        </is>
      </c>
      <c r="E535" t="inlineStr">
        <is>
          <t>ÄLVDALEN</t>
        </is>
      </c>
      <c r="G535" t="n">
        <v>30.2</v>
      </c>
      <c r="H535" t="n">
        <v>0</v>
      </c>
      <c r="I535" t="n">
        <v>0</v>
      </c>
      <c r="J535" t="n">
        <v>0</v>
      </c>
      <c r="K535" t="n">
        <v>0</v>
      </c>
      <c r="L535" t="n">
        <v>0</v>
      </c>
      <c r="M535" t="n">
        <v>0</v>
      </c>
      <c r="N535" t="n">
        <v>0</v>
      </c>
      <c r="O535" t="n">
        <v>0</v>
      </c>
      <c r="P535" t="n">
        <v>0</v>
      </c>
      <c r="Q535" t="n">
        <v>0</v>
      </c>
      <c r="R535" s="2" t="inlineStr"/>
    </row>
    <row r="536" ht="15" customHeight="1">
      <c r="A536" t="inlineStr">
        <is>
          <t>A 1804-2024</t>
        </is>
      </c>
      <c r="B536" s="1" t="n">
        <v>45307.59216435185</v>
      </c>
      <c r="C536" s="1" t="n">
        <v>45887</v>
      </c>
      <c r="D536" t="inlineStr">
        <is>
          <t>DALARNAS LÄN</t>
        </is>
      </c>
      <c r="E536" t="inlineStr">
        <is>
          <t>ÄLVDALEN</t>
        </is>
      </c>
      <c r="G536" t="n">
        <v>1.9</v>
      </c>
      <c r="H536" t="n">
        <v>0</v>
      </c>
      <c r="I536" t="n">
        <v>0</v>
      </c>
      <c r="J536" t="n">
        <v>0</v>
      </c>
      <c r="K536" t="n">
        <v>0</v>
      </c>
      <c r="L536" t="n">
        <v>0</v>
      </c>
      <c r="M536" t="n">
        <v>0</v>
      </c>
      <c r="N536" t="n">
        <v>0</v>
      </c>
      <c r="O536" t="n">
        <v>0</v>
      </c>
      <c r="P536" t="n">
        <v>0</v>
      </c>
      <c r="Q536" t="n">
        <v>0</v>
      </c>
      <c r="R536" s="2" t="inlineStr"/>
    </row>
    <row r="537" ht="15" customHeight="1">
      <c r="A537" t="inlineStr">
        <is>
          <t>A 57817-2023</t>
        </is>
      </c>
      <c r="B537" s="1" t="n">
        <v>45247</v>
      </c>
      <c r="C537" s="1" t="n">
        <v>45887</v>
      </c>
      <c r="D537" t="inlineStr">
        <is>
          <t>DALARNAS LÄN</t>
        </is>
      </c>
      <c r="E537" t="inlineStr">
        <is>
          <t>ÄLVDALEN</t>
        </is>
      </c>
      <c r="G537" t="n">
        <v>6.4</v>
      </c>
      <c r="H537" t="n">
        <v>0</v>
      </c>
      <c r="I537" t="n">
        <v>0</v>
      </c>
      <c r="J537" t="n">
        <v>0</v>
      </c>
      <c r="K537" t="n">
        <v>0</v>
      </c>
      <c r="L537" t="n">
        <v>0</v>
      </c>
      <c r="M537" t="n">
        <v>0</v>
      </c>
      <c r="N537" t="n">
        <v>0</v>
      </c>
      <c r="O537" t="n">
        <v>0</v>
      </c>
      <c r="P537" t="n">
        <v>0</v>
      </c>
      <c r="Q537" t="n">
        <v>0</v>
      </c>
      <c r="R537" s="2" t="inlineStr"/>
    </row>
    <row r="538" ht="15" customHeight="1">
      <c r="A538" t="inlineStr">
        <is>
          <t>A 47743-2024</t>
        </is>
      </c>
      <c r="B538" s="1" t="n">
        <v>45588.52550925926</v>
      </c>
      <c r="C538" s="1" t="n">
        <v>45887</v>
      </c>
      <c r="D538" t="inlineStr">
        <is>
          <t>DALARNAS LÄN</t>
        </is>
      </c>
      <c r="E538" t="inlineStr">
        <is>
          <t>ÄLVDALEN</t>
        </is>
      </c>
      <c r="G538" t="n">
        <v>4.4</v>
      </c>
      <c r="H538" t="n">
        <v>0</v>
      </c>
      <c r="I538" t="n">
        <v>0</v>
      </c>
      <c r="J538" t="n">
        <v>0</v>
      </c>
      <c r="K538" t="n">
        <v>0</v>
      </c>
      <c r="L538" t="n">
        <v>0</v>
      </c>
      <c r="M538" t="n">
        <v>0</v>
      </c>
      <c r="N538" t="n">
        <v>0</v>
      </c>
      <c r="O538" t="n">
        <v>0</v>
      </c>
      <c r="P538" t="n">
        <v>0</v>
      </c>
      <c r="Q538" t="n">
        <v>0</v>
      </c>
      <c r="R538" s="2" t="inlineStr"/>
    </row>
    <row r="539" ht="15" customHeight="1">
      <c r="A539" t="inlineStr">
        <is>
          <t>A 8496-2025</t>
        </is>
      </c>
      <c r="B539" s="1" t="n">
        <v>45709.51084490741</v>
      </c>
      <c r="C539" s="1" t="n">
        <v>45887</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58004-2020</t>
        </is>
      </c>
      <c r="B540" s="1" t="n">
        <v>44140</v>
      </c>
      <c r="C540" s="1" t="n">
        <v>45887</v>
      </c>
      <c r="D540" t="inlineStr">
        <is>
          <t>DALARNAS LÄN</t>
        </is>
      </c>
      <c r="E540" t="inlineStr">
        <is>
          <t>ÄLVDALEN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28884-2023</t>
        </is>
      </c>
      <c r="B541" s="1" t="n">
        <v>45104.48320601852</v>
      </c>
      <c r="C541" s="1" t="n">
        <v>45887</v>
      </c>
      <c r="D541" t="inlineStr">
        <is>
          <t>DALARNAS LÄN</t>
        </is>
      </c>
      <c r="E541" t="inlineStr">
        <is>
          <t>ÄLVDALEN</t>
        </is>
      </c>
      <c r="F541" t="inlineStr">
        <is>
          <t>Allmännings- och besparingsskogar</t>
        </is>
      </c>
      <c r="G541" t="n">
        <v>1.1</v>
      </c>
      <c r="H541" t="n">
        <v>0</v>
      </c>
      <c r="I541" t="n">
        <v>0</v>
      </c>
      <c r="J541" t="n">
        <v>0</v>
      </c>
      <c r="K541" t="n">
        <v>0</v>
      </c>
      <c r="L541" t="n">
        <v>0</v>
      </c>
      <c r="M541" t="n">
        <v>0</v>
      </c>
      <c r="N541" t="n">
        <v>0</v>
      </c>
      <c r="O541" t="n">
        <v>0</v>
      </c>
      <c r="P541" t="n">
        <v>0</v>
      </c>
      <c r="Q541" t="n">
        <v>0</v>
      </c>
      <c r="R541" s="2" t="inlineStr"/>
    </row>
    <row r="542" ht="15" customHeight="1">
      <c r="A542" t="inlineStr">
        <is>
          <t>A 32838-2023</t>
        </is>
      </c>
      <c r="B542" s="1" t="n">
        <v>45124</v>
      </c>
      <c r="C542" s="1" t="n">
        <v>45887</v>
      </c>
      <c r="D542" t="inlineStr">
        <is>
          <t>DALARNAS LÄN</t>
        </is>
      </c>
      <c r="E542" t="inlineStr">
        <is>
          <t>ÄLVDALEN</t>
        </is>
      </c>
      <c r="G542" t="n">
        <v>3.7</v>
      </c>
      <c r="H542" t="n">
        <v>0</v>
      </c>
      <c r="I542" t="n">
        <v>0</v>
      </c>
      <c r="J542" t="n">
        <v>0</v>
      </c>
      <c r="K542" t="n">
        <v>0</v>
      </c>
      <c r="L542" t="n">
        <v>0</v>
      </c>
      <c r="M542" t="n">
        <v>0</v>
      </c>
      <c r="N542" t="n">
        <v>0</v>
      </c>
      <c r="O542" t="n">
        <v>0</v>
      </c>
      <c r="P542" t="n">
        <v>0</v>
      </c>
      <c r="Q542" t="n">
        <v>0</v>
      </c>
      <c r="R542" s="2" t="inlineStr"/>
    </row>
    <row r="543" ht="15" customHeight="1">
      <c r="A543" t="inlineStr">
        <is>
          <t>A 505-2024</t>
        </is>
      </c>
      <c r="B543" s="1" t="n">
        <v>45299</v>
      </c>
      <c r="C543" s="1" t="n">
        <v>45887</v>
      </c>
      <c r="D543" t="inlineStr">
        <is>
          <t>DALARNAS LÄN</t>
        </is>
      </c>
      <c r="E543" t="inlineStr">
        <is>
          <t>ÄLVDALEN</t>
        </is>
      </c>
      <c r="G543" t="n">
        <v>1.4</v>
      </c>
      <c r="H543" t="n">
        <v>0</v>
      </c>
      <c r="I543" t="n">
        <v>0</v>
      </c>
      <c r="J543" t="n">
        <v>0</v>
      </c>
      <c r="K543" t="n">
        <v>0</v>
      </c>
      <c r="L543" t="n">
        <v>0</v>
      </c>
      <c r="M543" t="n">
        <v>0</v>
      </c>
      <c r="N543" t="n">
        <v>0</v>
      </c>
      <c r="O543" t="n">
        <v>0</v>
      </c>
      <c r="P543" t="n">
        <v>0</v>
      </c>
      <c r="Q543" t="n">
        <v>0</v>
      </c>
      <c r="R543" s="2" t="inlineStr"/>
    </row>
    <row r="544" ht="15" customHeight="1">
      <c r="A544" t="inlineStr">
        <is>
          <t>A 48954-2023</t>
        </is>
      </c>
      <c r="B544" s="1" t="n">
        <v>45209.58488425926</v>
      </c>
      <c r="C544" s="1" t="n">
        <v>45887</v>
      </c>
      <c r="D544" t="inlineStr">
        <is>
          <t>DALARNAS LÄN</t>
        </is>
      </c>
      <c r="E544" t="inlineStr">
        <is>
          <t>ÄLVDALEN</t>
        </is>
      </c>
      <c r="G544" t="n">
        <v>7</v>
      </c>
      <c r="H544" t="n">
        <v>0</v>
      </c>
      <c r="I544" t="n">
        <v>0</v>
      </c>
      <c r="J544" t="n">
        <v>0</v>
      </c>
      <c r="K544" t="n">
        <v>0</v>
      </c>
      <c r="L544" t="n">
        <v>0</v>
      </c>
      <c r="M544" t="n">
        <v>0</v>
      </c>
      <c r="N544" t="n">
        <v>0</v>
      </c>
      <c r="O544" t="n">
        <v>0</v>
      </c>
      <c r="P544" t="n">
        <v>0</v>
      </c>
      <c r="Q544" t="n">
        <v>0</v>
      </c>
      <c r="R544" s="2" t="inlineStr"/>
    </row>
    <row r="545" ht="15" customHeight="1">
      <c r="A545" t="inlineStr">
        <is>
          <t>A 57539-2024</t>
        </is>
      </c>
      <c r="B545" s="1" t="n">
        <v>45630.43707175926</v>
      </c>
      <c r="C545" s="1" t="n">
        <v>45887</v>
      </c>
      <c r="D545" t="inlineStr">
        <is>
          <t>DALARNAS LÄN</t>
        </is>
      </c>
      <c r="E545" t="inlineStr">
        <is>
          <t>ÄLVDALEN</t>
        </is>
      </c>
      <c r="G545" t="n">
        <v>6.7</v>
      </c>
      <c r="H545" t="n">
        <v>0</v>
      </c>
      <c r="I545" t="n">
        <v>0</v>
      </c>
      <c r="J545" t="n">
        <v>0</v>
      </c>
      <c r="K545" t="n">
        <v>0</v>
      </c>
      <c r="L545" t="n">
        <v>0</v>
      </c>
      <c r="M545" t="n">
        <v>0</v>
      </c>
      <c r="N545" t="n">
        <v>0</v>
      </c>
      <c r="O545" t="n">
        <v>0</v>
      </c>
      <c r="P545" t="n">
        <v>0</v>
      </c>
      <c r="Q545" t="n">
        <v>0</v>
      </c>
      <c r="R545" s="2" t="inlineStr"/>
    </row>
    <row r="546" ht="15" customHeight="1">
      <c r="A546" t="inlineStr">
        <is>
          <t>A 60793-2022</t>
        </is>
      </c>
      <c r="B546" s="1" t="n">
        <v>44911</v>
      </c>
      <c r="C546" s="1" t="n">
        <v>45887</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33-2021</t>
        </is>
      </c>
      <c r="B547" s="1" t="n">
        <v>44198</v>
      </c>
      <c r="C547" s="1" t="n">
        <v>45887</v>
      </c>
      <c r="D547" t="inlineStr">
        <is>
          <t>DALARNAS LÄN</t>
        </is>
      </c>
      <c r="E547" t="inlineStr">
        <is>
          <t>ÄLVDALEN</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42332-2023</t>
        </is>
      </c>
      <c r="B548" s="1" t="n">
        <v>45175</v>
      </c>
      <c r="C548" s="1" t="n">
        <v>45887</v>
      </c>
      <c r="D548" t="inlineStr">
        <is>
          <t>DALARNAS LÄN</t>
        </is>
      </c>
      <c r="E548" t="inlineStr">
        <is>
          <t>ÄLVDALEN</t>
        </is>
      </c>
      <c r="G548" t="n">
        <v>2.7</v>
      </c>
      <c r="H548" t="n">
        <v>0</v>
      </c>
      <c r="I548" t="n">
        <v>0</v>
      </c>
      <c r="J548" t="n">
        <v>0</v>
      </c>
      <c r="K548" t="n">
        <v>0</v>
      </c>
      <c r="L548" t="n">
        <v>0</v>
      </c>
      <c r="M548" t="n">
        <v>0</v>
      </c>
      <c r="N548" t="n">
        <v>0</v>
      </c>
      <c r="O548" t="n">
        <v>0</v>
      </c>
      <c r="P548" t="n">
        <v>0</v>
      </c>
      <c r="Q548" t="n">
        <v>0</v>
      </c>
      <c r="R548" s="2" t="inlineStr"/>
    </row>
    <row r="549" ht="15" customHeight="1">
      <c r="A549" t="inlineStr">
        <is>
          <t>A 36285-2024</t>
        </is>
      </c>
      <c r="B549" s="1" t="n">
        <v>45534.59008101852</v>
      </c>
      <c r="C549" s="1" t="n">
        <v>45887</v>
      </c>
      <c r="D549" t="inlineStr">
        <is>
          <t>DALARNAS LÄN</t>
        </is>
      </c>
      <c r="E549" t="inlineStr">
        <is>
          <t>ÄLVDALEN</t>
        </is>
      </c>
      <c r="G549" t="n">
        <v>4.9</v>
      </c>
      <c r="H549" t="n">
        <v>0</v>
      </c>
      <c r="I549" t="n">
        <v>0</v>
      </c>
      <c r="J549" t="n">
        <v>0</v>
      </c>
      <c r="K549" t="n">
        <v>0</v>
      </c>
      <c r="L549" t="n">
        <v>0</v>
      </c>
      <c r="M549" t="n">
        <v>0</v>
      </c>
      <c r="N549" t="n">
        <v>0</v>
      </c>
      <c r="O549" t="n">
        <v>0</v>
      </c>
      <c r="P549" t="n">
        <v>0</v>
      </c>
      <c r="Q549" t="n">
        <v>0</v>
      </c>
      <c r="R549" s="2" t="inlineStr"/>
    </row>
    <row r="550" ht="15" customHeight="1">
      <c r="A550" t="inlineStr">
        <is>
          <t>A 37439-2024</t>
        </is>
      </c>
      <c r="B550" s="1" t="n">
        <v>45540</v>
      </c>
      <c r="C550" s="1" t="n">
        <v>45887</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59177-2023</t>
        </is>
      </c>
      <c r="B551" s="1" t="n">
        <v>45253</v>
      </c>
      <c r="C551" s="1" t="n">
        <v>45887</v>
      </c>
      <c r="D551" t="inlineStr">
        <is>
          <t>DALARNAS LÄN</t>
        </is>
      </c>
      <c r="E551" t="inlineStr">
        <is>
          <t>ÄLVDALEN</t>
        </is>
      </c>
      <c r="G551" t="n">
        <v>0.6</v>
      </c>
      <c r="H551" t="n">
        <v>0</v>
      </c>
      <c r="I551" t="n">
        <v>0</v>
      </c>
      <c r="J551" t="n">
        <v>0</v>
      </c>
      <c r="K551" t="n">
        <v>0</v>
      </c>
      <c r="L551" t="n">
        <v>0</v>
      </c>
      <c r="M551" t="n">
        <v>0</v>
      </c>
      <c r="N551" t="n">
        <v>0</v>
      </c>
      <c r="O551" t="n">
        <v>0</v>
      </c>
      <c r="P551" t="n">
        <v>0</v>
      </c>
      <c r="Q551" t="n">
        <v>0</v>
      </c>
      <c r="R551" s="2" t="inlineStr"/>
    </row>
    <row r="552" ht="15" customHeight="1">
      <c r="A552" t="inlineStr">
        <is>
          <t>A 47869-2023</t>
        </is>
      </c>
      <c r="B552" s="1" t="n">
        <v>45204</v>
      </c>
      <c r="C552" s="1" t="n">
        <v>45887</v>
      </c>
      <c r="D552" t="inlineStr">
        <is>
          <t>DALARNAS LÄN</t>
        </is>
      </c>
      <c r="E552" t="inlineStr">
        <is>
          <t>ÄLVDALEN</t>
        </is>
      </c>
      <c r="G552" t="n">
        <v>11</v>
      </c>
      <c r="H552" t="n">
        <v>0</v>
      </c>
      <c r="I552" t="n">
        <v>0</v>
      </c>
      <c r="J552" t="n">
        <v>0</v>
      </c>
      <c r="K552" t="n">
        <v>0</v>
      </c>
      <c r="L552" t="n">
        <v>0</v>
      </c>
      <c r="M552" t="n">
        <v>0</v>
      </c>
      <c r="N552" t="n">
        <v>0</v>
      </c>
      <c r="O552" t="n">
        <v>0</v>
      </c>
      <c r="P552" t="n">
        <v>0</v>
      </c>
      <c r="Q552" t="n">
        <v>0</v>
      </c>
      <c r="R552" s="2" t="inlineStr"/>
    </row>
    <row r="553" ht="15" customHeight="1">
      <c r="A553" t="inlineStr">
        <is>
          <t>A 41158-2024</t>
        </is>
      </c>
      <c r="B553" s="1" t="n">
        <v>45559.47958333333</v>
      </c>
      <c r="C553" s="1" t="n">
        <v>45887</v>
      </c>
      <c r="D553" t="inlineStr">
        <is>
          <t>DALARNAS LÄN</t>
        </is>
      </c>
      <c r="E553" t="inlineStr">
        <is>
          <t>ÄLVDALEN</t>
        </is>
      </c>
      <c r="G553" t="n">
        <v>5.6</v>
      </c>
      <c r="H553" t="n">
        <v>0</v>
      </c>
      <c r="I553" t="n">
        <v>0</v>
      </c>
      <c r="J553" t="n">
        <v>0</v>
      </c>
      <c r="K553" t="n">
        <v>0</v>
      </c>
      <c r="L553" t="n">
        <v>0</v>
      </c>
      <c r="M553" t="n">
        <v>0</v>
      </c>
      <c r="N553" t="n">
        <v>0</v>
      </c>
      <c r="O553" t="n">
        <v>0</v>
      </c>
      <c r="P553" t="n">
        <v>0</v>
      </c>
      <c r="Q553" t="n">
        <v>0</v>
      </c>
      <c r="R553" s="2" t="inlineStr"/>
    </row>
    <row r="554" ht="15" customHeight="1">
      <c r="A554" t="inlineStr">
        <is>
          <t>A 1698-2025</t>
        </is>
      </c>
      <c r="B554" s="1" t="n">
        <v>45670</v>
      </c>
      <c r="C554" s="1" t="n">
        <v>45887</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9045-2025</t>
        </is>
      </c>
      <c r="B555" s="1" t="n">
        <v>45713.62837962963</v>
      </c>
      <c r="C555" s="1" t="n">
        <v>45887</v>
      </c>
      <c r="D555" t="inlineStr">
        <is>
          <t>DALARNAS LÄN</t>
        </is>
      </c>
      <c r="E555" t="inlineStr">
        <is>
          <t>ÄLVDALEN</t>
        </is>
      </c>
      <c r="F555" t="inlineStr">
        <is>
          <t>Allmännings- och besparingsskogar</t>
        </is>
      </c>
      <c r="G555" t="n">
        <v>39.1</v>
      </c>
      <c r="H555" t="n">
        <v>0</v>
      </c>
      <c r="I555" t="n">
        <v>0</v>
      </c>
      <c r="J555" t="n">
        <v>0</v>
      </c>
      <c r="K555" t="n">
        <v>0</v>
      </c>
      <c r="L555" t="n">
        <v>0</v>
      </c>
      <c r="M555" t="n">
        <v>0</v>
      </c>
      <c r="N555" t="n">
        <v>0</v>
      </c>
      <c r="O555" t="n">
        <v>0</v>
      </c>
      <c r="P555" t="n">
        <v>0</v>
      </c>
      <c r="Q555" t="n">
        <v>0</v>
      </c>
      <c r="R555" s="2" t="inlineStr"/>
    </row>
    <row r="556" ht="15" customHeight="1">
      <c r="A556" t="inlineStr">
        <is>
          <t>A 12318-2025</t>
        </is>
      </c>
      <c r="B556" s="1" t="n">
        <v>45729.87777777778</v>
      </c>
      <c r="C556" s="1" t="n">
        <v>45887</v>
      </c>
      <c r="D556" t="inlineStr">
        <is>
          <t>DALARNAS LÄN</t>
        </is>
      </c>
      <c r="E556" t="inlineStr">
        <is>
          <t>ÄLVDALEN</t>
        </is>
      </c>
      <c r="G556" t="n">
        <v>3.3</v>
      </c>
      <c r="H556" t="n">
        <v>0</v>
      </c>
      <c r="I556" t="n">
        <v>0</v>
      </c>
      <c r="J556" t="n">
        <v>0</v>
      </c>
      <c r="K556" t="n">
        <v>0</v>
      </c>
      <c r="L556" t="n">
        <v>0</v>
      </c>
      <c r="M556" t="n">
        <v>0</v>
      </c>
      <c r="N556" t="n">
        <v>0</v>
      </c>
      <c r="O556" t="n">
        <v>0</v>
      </c>
      <c r="P556" t="n">
        <v>0</v>
      </c>
      <c r="Q556" t="n">
        <v>0</v>
      </c>
      <c r="R556" s="2" t="inlineStr"/>
    </row>
    <row r="557" ht="15" customHeight="1">
      <c r="A557" t="inlineStr">
        <is>
          <t>A 30985-2023</t>
        </is>
      </c>
      <c r="B557" s="1" t="n">
        <v>45113</v>
      </c>
      <c r="C557" s="1" t="n">
        <v>45887</v>
      </c>
      <c r="D557" t="inlineStr">
        <is>
          <t>DALARNAS LÄN</t>
        </is>
      </c>
      <c r="E557" t="inlineStr">
        <is>
          <t>ÄLVDALEN</t>
        </is>
      </c>
      <c r="F557" t="inlineStr">
        <is>
          <t>Allmännings- och besparingsskogar</t>
        </is>
      </c>
      <c r="G557" t="n">
        <v>2.9</v>
      </c>
      <c r="H557" t="n">
        <v>0</v>
      </c>
      <c r="I557" t="n">
        <v>0</v>
      </c>
      <c r="J557" t="n">
        <v>0</v>
      </c>
      <c r="K557" t="n">
        <v>0</v>
      </c>
      <c r="L557" t="n">
        <v>0</v>
      </c>
      <c r="M557" t="n">
        <v>0</v>
      </c>
      <c r="N557" t="n">
        <v>0</v>
      </c>
      <c r="O557" t="n">
        <v>0</v>
      </c>
      <c r="P557" t="n">
        <v>0</v>
      </c>
      <c r="Q557" t="n">
        <v>0</v>
      </c>
      <c r="R557" s="2" t="inlineStr"/>
    </row>
    <row r="558" ht="15" customHeight="1">
      <c r="A558" t="inlineStr">
        <is>
          <t>A 14938-2023</t>
        </is>
      </c>
      <c r="B558" s="1" t="n">
        <v>45015</v>
      </c>
      <c r="C558" s="1" t="n">
        <v>45887</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ht="15" customHeight="1">
      <c r="A559" t="inlineStr">
        <is>
          <t>A 59138-2023</t>
        </is>
      </c>
      <c r="B559" s="1" t="n">
        <v>45253</v>
      </c>
      <c r="C559" s="1" t="n">
        <v>45887</v>
      </c>
      <c r="D559" t="inlineStr">
        <is>
          <t>DALARNAS LÄN</t>
        </is>
      </c>
      <c r="E559" t="inlineStr">
        <is>
          <t>ÄLVDALEN</t>
        </is>
      </c>
      <c r="G559" t="n">
        <v>0.4</v>
      </c>
      <c r="H559" t="n">
        <v>0</v>
      </c>
      <c r="I559" t="n">
        <v>0</v>
      </c>
      <c r="J559" t="n">
        <v>0</v>
      </c>
      <c r="K559" t="n">
        <v>0</v>
      </c>
      <c r="L559" t="n">
        <v>0</v>
      </c>
      <c r="M559" t="n">
        <v>0</v>
      </c>
      <c r="N559" t="n">
        <v>0</v>
      </c>
      <c r="O559" t="n">
        <v>0</v>
      </c>
      <c r="P559" t="n">
        <v>0</v>
      </c>
      <c r="Q559" t="n">
        <v>0</v>
      </c>
      <c r="R559" s="2" t="inlineStr"/>
    </row>
    <row r="560">
      <c r="A560" t="inlineStr">
        <is>
          <t>A 32622-2023</t>
        </is>
      </c>
      <c r="B560" s="1" t="n">
        <v>45121</v>
      </c>
      <c r="C560" s="1" t="n">
        <v>45887</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2025-08-18T08:32:24Z</dcterms:created>
  <dcterms:modified xmlns:dcterms="http://purl.org/dc/terms/" xmlns:xsi="http://www.w3.org/2001/XMLSchema-instance" xsi:type="dcterms:W3CDTF">2025-08-18T08:32:24Z</dcterms:modified>
</cp:coreProperties>
</file>