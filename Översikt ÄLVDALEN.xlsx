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45812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45812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45812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45812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45812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45812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45812</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45812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45812</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45812</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45812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45812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45812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45812</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45812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45812</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45812</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45812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45812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45812</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45812</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45812</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45812</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45812</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45812</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45812</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45812</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45812</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45812</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45812</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45812</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45812</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45812</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45812</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45812</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45812</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45812</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45812</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45812</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45812</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45812</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45812</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45812</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45812</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45812</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45812</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45812</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45812</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45812</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45812</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45812</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45812</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45812</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45812</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45812</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45812</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45812</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45812</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45812</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45812</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45812</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45812</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45812</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45812</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45812</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45812</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45812</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45812</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45812</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45812</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45812</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45812</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45812</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45812</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45812</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45812</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45812</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45812</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45812</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45812</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45812</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45812</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45812</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45812</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45812</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45812</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45812</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45812</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45812</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45812</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45812</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45812</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45812</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45812</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45812</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45812</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45812</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45812</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45812</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45812</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45812</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45812</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45812</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45812</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45812</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45812</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45812</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45812</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45812</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45812</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45812</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45812</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45812</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45812</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45812</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45812</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45812</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25752-2025</t>
        </is>
      </c>
      <c r="B119" s="1" t="n">
        <v>45804</v>
      </c>
      <c r="C119" s="1" t="n">
        <v>45812</v>
      </c>
      <c r="D119" t="inlineStr">
        <is>
          <t>DALARNAS LÄN</t>
        </is>
      </c>
      <c r="E119" t="inlineStr">
        <is>
          <t>ÄLVDALEN</t>
        </is>
      </c>
      <c r="F119" t="inlineStr">
        <is>
          <t>Sveaskog</t>
        </is>
      </c>
      <c r="G119" t="n">
        <v>2</v>
      </c>
      <c r="H119" t="n">
        <v>1</v>
      </c>
      <c r="I119" t="n">
        <v>0</v>
      </c>
      <c r="J119" t="n">
        <v>3</v>
      </c>
      <c r="K119" t="n">
        <v>0</v>
      </c>
      <c r="L119" t="n">
        <v>0</v>
      </c>
      <c r="M119" t="n">
        <v>0</v>
      </c>
      <c r="N119" t="n">
        <v>0</v>
      </c>
      <c r="O119" t="n">
        <v>3</v>
      </c>
      <c r="P119" t="n">
        <v>0</v>
      </c>
      <c r="Q119" t="n">
        <v>3</v>
      </c>
      <c r="R119" s="2" t="inlineStr">
        <is>
          <t>Dvärgbägarlav
Mörk kolflarnlav
Varglav</t>
        </is>
      </c>
      <c r="S119">
        <f>HYPERLINK("https://klasma.github.io/Logging_202039/artfynd/A 25752-2025 artfynd.xlsx", "A 25752-2025")</f>
        <v/>
      </c>
      <c r="T119">
        <f>HYPERLINK("https://klasma.github.io/Logging_202039/kartor/A 25752-2025 karta.png", "A 25752-2025")</f>
        <v/>
      </c>
      <c r="V119">
        <f>HYPERLINK("https://klasma.github.io/Logging_202039/klagomål/A 25752-2025 FSC-klagomål.docx", "A 25752-2025")</f>
        <v/>
      </c>
      <c r="W119">
        <f>HYPERLINK("https://klasma.github.io/Logging_202039/klagomålsmail/A 25752-2025 FSC-klagomål mail.docx", "A 25752-2025")</f>
        <v/>
      </c>
      <c r="X119">
        <f>HYPERLINK("https://klasma.github.io/Logging_202039/tillsyn/A 25752-2025 tillsynsbegäran.docx", "A 25752-2025")</f>
        <v/>
      </c>
      <c r="Y119">
        <f>HYPERLINK("https://klasma.github.io/Logging_202039/tillsynsmail/A 25752-2025 tillsynsbegäran mail.docx", "A 25752-2025")</f>
        <v/>
      </c>
    </row>
    <row r="120" ht="15" customHeight="1">
      <c r="A120" t="inlineStr">
        <is>
          <t>A 45015-2019</t>
        </is>
      </c>
      <c r="B120" s="1" t="n">
        <v>43707</v>
      </c>
      <c r="C120" s="1" t="n">
        <v>45812</v>
      </c>
      <c r="D120" t="inlineStr">
        <is>
          <t>DALARNAS LÄN</t>
        </is>
      </c>
      <c r="E120" t="inlineStr">
        <is>
          <t>ÄLVDALEN</t>
        </is>
      </c>
      <c r="F120" t="inlineStr">
        <is>
          <t>Sveaskog</t>
        </is>
      </c>
      <c r="G120" t="n">
        <v>33.8</v>
      </c>
      <c r="H120" t="n">
        <v>1</v>
      </c>
      <c r="I120" t="n">
        <v>0</v>
      </c>
      <c r="J120" t="n">
        <v>2</v>
      </c>
      <c r="K120" t="n">
        <v>0</v>
      </c>
      <c r="L120" t="n">
        <v>0</v>
      </c>
      <c r="M120" t="n">
        <v>0</v>
      </c>
      <c r="N120" t="n">
        <v>0</v>
      </c>
      <c r="O120" t="n">
        <v>2</v>
      </c>
      <c r="P120" t="n">
        <v>0</v>
      </c>
      <c r="Q120" t="n">
        <v>2</v>
      </c>
      <c r="R120" s="2" t="inlineStr">
        <is>
          <t>Skrovellav
Varglav</t>
        </is>
      </c>
      <c r="S120">
        <f>HYPERLINK("https://klasma.github.io/Logging_2039/artfynd/A 45015-2019 artfynd.xlsx", "A 45015-2019")</f>
        <v/>
      </c>
      <c r="T120">
        <f>HYPERLINK("https://klasma.github.io/Logging_2039/kartor/A 45015-2019 karta.png", "A 45015-2019")</f>
        <v/>
      </c>
      <c r="V120">
        <f>HYPERLINK("https://klasma.github.io/Logging_2039/klagomål/A 45015-2019 FSC-klagomål.docx", "A 45015-2019")</f>
        <v/>
      </c>
      <c r="W120">
        <f>HYPERLINK("https://klasma.github.io/Logging_2039/klagomålsmail/A 45015-2019 FSC-klagomål mail.docx", "A 45015-2019")</f>
        <v/>
      </c>
      <c r="X120">
        <f>HYPERLINK("https://klasma.github.io/Logging_2039/tillsyn/A 45015-2019 tillsynsbegäran.docx", "A 45015-2019")</f>
        <v/>
      </c>
      <c r="Y120">
        <f>HYPERLINK("https://klasma.github.io/Logging_2039/tillsynsmail/A 45015-2019 tillsynsbegäran mail.docx", "A 45015-2019")</f>
        <v/>
      </c>
    </row>
    <row r="121" ht="15" customHeight="1">
      <c r="A121" t="inlineStr">
        <is>
          <t>A 16638-2021</t>
        </is>
      </c>
      <c r="B121" s="1" t="n">
        <v>44284</v>
      </c>
      <c r="C121" s="1" t="n">
        <v>45812</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30615-2021</t>
        </is>
      </c>
      <c r="B122" s="1" t="n">
        <v>44365</v>
      </c>
      <c r="C122" s="1" t="n">
        <v>45812</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40231-2021</t>
        </is>
      </c>
      <c r="B123" s="1" t="n">
        <v>44419</v>
      </c>
      <c r="C123" s="1" t="n">
        <v>45812</v>
      </c>
      <c r="D123" t="inlineStr">
        <is>
          <t>DALARNAS LÄN</t>
        </is>
      </c>
      <c r="E123" t="inlineStr">
        <is>
          <t>ÄLVDALEN</t>
        </is>
      </c>
      <c r="F123" t="inlineStr">
        <is>
          <t>Sveaskog</t>
        </is>
      </c>
      <c r="G123" t="n">
        <v>4.1</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44407-2021</t>
        </is>
      </c>
      <c r="B124" s="1" t="n">
        <v>44435</v>
      </c>
      <c r="C124" s="1" t="n">
        <v>45812</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54632-2021</t>
        </is>
      </c>
      <c r="B125" s="1" t="n">
        <v>44473</v>
      </c>
      <c r="C125" s="1" t="n">
        <v>45812</v>
      </c>
      <c r="D125" t="inlineStr">
        <is>
          <t>DALARNAS LÄN</t>
        </is>
      </c>
      <c r="E125" t="inlineStr">
        <is>
          <t>ÄLVDALEN</t>
        </is>
      </c>
      <c r="G125" t="n">
        <v>4.8</v>
      </c>
      <c r="H125" t="n">
        <v>1</v>
      </c>
      <c r="I125" t="n">
        <v>0</v>
      </c>
      <c r="J125" t="n">
        <v>2</v>
      </c>
      <c r="K125" t="n">
        <v>0</v>
      </c>
      <c r="L125" t="n">
        <v>0</v>
      </c>
      <c r="M125" t="n">
        <v>0</v>
      </c>
      <c r="N125" t="n">
        <v>0</v>
      </c>
      <c r="O125" t="n">
        <v>2</v>
      </c>
      <c r="P125" t="n">
        <v>0</v>
      </c>
      <c r="Q125" t="n">
        <v>2</v>
      </c>
      <c r="R125" s="2" t="inlineStr">
        <is>
          <t>Varglav
Vedflamlav</t>
        </is>
      </c>
      <c r="S125">
        <f>HYPERLINK("https://klasma.github.io/Logging_2039/artfynd/A 54632-2021 artfynd.xlsx", "A 54632-2021")</f>
        <v/>
      </c>
      <c r="T125">
        <f>HYPERLINK("https://klasma.github.io/Logging_2039/kartor/A 54632-2021 karta.png", "A 54632-2021")</f>
        <v/>
      </c>
      <c r="V125">
        <f>HYPERLINK("https://klasma.github.io/Logging_2039/klagomål/A 54632-2021 FSC-klagomål.docx", "A 54632-2021")</f>
        <v/>
      </c>
      <c r="W125">
        <f>HYPERLINK("https://klasma.github.io/Logging_2039/klagomålsmail/A 54632-2021 FSC-klagomål mail.docx", "A 54632-2021")</f>
        <v/>
      </c>
      <c r="X125">
        <f>HYPERLINK("https://klasma.github.io/Logging_2039/tillsyn/A 54632-2021 tillsynsbegäran.docx", "A 54632-2021")</f>
        <v/>
      </c>
      <c r="Y125">
        <f>HYPERLINK("https://klasma.github.io/Logging_2039/tillsynsmail/A 54632-2021 tillsynsbegäran mail.docx", "A 54632-2021")</f>
        <v/>
      </c>
    </row>
    <row r="126" ht="15" customHeight="1">
      <c r="A126" t="inlineStr">
        <is>
          <t>A 67709-2021</t>
        </is>
      </c>
      <c r="B126" s="1" t="n">
        <v>44525</v>
      </c>
      <c r="C126" s="1" t="n">
        <v>45812</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69726-2021</t>
        </is>
      </c>
      <c r="B127" s="1" t="n">
        <v>44532</v>
      </c>
      <c r="C127" s="1" t="n">
        <v>45812</v>
      </c>
      <c r="D127" t="inlineStr">
        <is>
          <t>DALARNAS LÄN</t>
        </is>
      </c>
      <c r="E127" t="inlineStr">
        <is>
          <t>ÄLVDALEN</t>
        </is>
      </c>
      <c r="F127" t="inlineStr">
        <is>
          <t>Sveaskog</t>
        </is>
      </c>
      <c r="G127" t="n">
        <v>7.2</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21629-2022</t>
        </is>
      </c>
      <c r="B128" s="1" t="n">
        <v>44706</v>
      </c>
      <c r="C128" s="1" t="n">
        <v>45812</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50242-2022</t>
        </is>
      </c>
      <c r="B129" s="1" t="n">
        <v>44865</v>
      </c>
      <c r="C129" s="1" t="n">
        <v>45812</v>
      </c>
      <c r="D129" t="inlineStr">
        <is>
          <t>DALARNAS LÄN</t>
        </is>
      </c>
      <c r="E129" t="inlineStr">
        <is>
          <t>ÄLVDALEN</t>
        </is>
      </c>
      <c r="F129" t="inlineStr">
        <is>
          <t>Sveaskog</t>
        </is>
      </c>
      <c r="G129" t="n">
        <v>10.7</v>
      </c>
      <c r="H129" t="n">
        <v>0</v>
      </c>
      <c r="I129" t="n">
        <v>1</v>
      </c>
      <c r="J129" t="n">
        <v>1</v>
      </c>
      <c r="K129" t="n">
        <v>0</v>
      </c>
      <c r="L129" t="n">
        <v>0</v>
      </c>
      <c r="M129" t="n">
        <v>0</v>
      </c>
      <c r="N129" t="n">
        <v>0</v>
      </c>
      <c r="O129" t="n">
        <v>1</v>
      </c>
      <c r="P129" t="n">
        <v>0</v>
      </c>
      <c r="Q129" t="n">
        <v>2</v>
      </c>
      <c r="R129" s="2" t="inlineStr">
        <is>
          <t>Kolflarnlav
Dropptaggsvamp</t>
        </is>
      </c>
      <c r="S129">
        <f>HYPERLINK("https://klasma.github.io/Logging_2039/artfynd/A 50242-2022 artfynd.xlsx", "A 50242-2022")</f>
        <v/>
      </c>
      <c r="T129">
        <f>HYPERLINK("https://klasma.github.io/Logging_2039/kartor/A 50242-2022 karta.png", "A 50242-2022")</f>
        <v/>
      </c>
      <c r="V129">
        <f>HYPERLINK("https://klasma.github.io/Logging_2039/klagomål/A 50242-2022 FSC-klagomål.docx", "A 50242-2022")</f>
        <v/>
      </c>
      <c r="W129">
        <f>HYPERLINK("https://klasma.github.io/Logging_2039/klagomålsmail/A 50242-2022 FSC-klagomål mail.docx", "A 50242-2022")</f>
        <v/>
      </c>
      <c r="X129">
        <f>HYPERLINK("https://klasma.github.io/Logging_2039/tillsyn/A 50242-2022 tillsynsbegäran.docx", "A 50242-2022")</f>
        <v/>
      </c>
      <c r="Y129">
        <f>HYPERLINK("https://klasma.github.io/Logging_2039/tillsynsmail/A 50242-2022 tillsynsbegäran mail.docx", "A 50242-2022")</f>
        <v/>
      </c>
    </row>
    <row r="130" ht="15" customHeight="1">
      <c r="A130" t="inlineStr">
        <is>
          <t>A 52490-2022</t>
        </is>
      </c>
      <c r="B130" s="1" t="n">
        <v>44874</v>
      </c>
      <c r="C130" s="1" t="n">
        <v>45812</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21857-2023</t>
        </is>
      </c>
      <c r="B131" s="1" t="n">
        <v>45068</v>
      </c>
      <c r="C131" s="1" t="n">
        <v>45812</v>
      </c>
      <c r="D131" t="inlineStr">
        <is>
          <t>DALARNAS LÄN</t>
        </is>
      </c>
      <c r="E131" t="inlineStr">
        <is>
          <t>ÄLVDALEN</t>
        </is>
      </c>
      <c r="F131" t="inlineStr">
        <is>
          <t>Allmännings- och besparingsskogar</t>
        </is>
      </c>
      <c r="G131" t="n">
        <v>25.2</v>
      </c>
      <c r="H131" t="n">
        <v>1</v>
      </c>
      <c r="I131" t="n">
        <v>0</v>
      </c>
      <c r="J131" t="n">
        <v>2</v>
      </c>
      <c r="K131" t="n">
        <v>0</v>
      </c>
      <c r="L131" t="n">
        <v>0</v>
      </c>
      <c r="M131" t="n">
        <v>0</v>
      </c>
      <c r="N131" t="n">
        <v>0</v>
      </c>
      <c r="O131" t="n">
        <v>2</v>
      </c>
      <c r="P131" t="n">
        <v>0</v>
      </c>
      <c r="Q131" t="n">
        <v>2</v>
      </c>
      <c r="R131" s="2" t="inlineStr">
        <is>
          <t>Svartvit flugsnappare
Vedflamlav</t>
        </is>
      </c>
      <c r="S131">
        <f>HYPERLINK("https://klasma.github.io/Logging_2039/artfynd/A 21857-2023 artfynd.xlsx", "A 21857-2023")</f>
        <v/>
      </c>
      <c r="T131">
        <f>HYPERLINK("https://klasma.github.io/Logging_2039/kartor/A 21857-2023 karta.png", "A 21857-2023")</f>
        <v/>
      </c>
      <c r="V131">
        <f>HYPERLINK("https://klasma.github.io/Logging_2039/klagomål/A 21857-2023 FSC-klagomål.docx", "A 21857-2023")</f>
        <v/>
      </c>
      <c r="W131">
        <f>HYPERLINK("https://klasma.github.io/Logging_2039/klagomålsmail/A 21857-2023 FSC-klagomål mail.docx", "A 21857-2023")</f>
        <v/>
      </c>
      <c r="X131">
        <f>HYPERLINK("https://klasma.github.io/Logging_2039/tillsyn/A 21857-2023 tillsynsbegäran.docx", "A 21857-2023")</f>
        <v/>
      </c>
      <c r="Y131">
        <f>HYPERLINK("https://klasma.github.io/Logging_2039/tillsynsmail/A 21857-2023 tillsynsbegäran mail.docx", "A 21857-2023")</f>
        <v/>
      </c>
      <c r="Z131">
        <f>HYPERLINK("https://klasma.github.io/Logging_2039/fåglar/A 21857-2023 prioriterade fågelarter.docx", "A 21857-2023")</f>
        <v/>
      </c>
    </row>
    <row r="132" ht="15" customHeight="1">
      <c r="A132" t="inlineStr">
        <is>
          <t>A 27967-2023</t>
        </is>
      </c>
      <c r="B132" s="1" t="n">
        <v>45098</v>
      </c>
      <c r="C132" s="1" t="n">
        <v>45812</v>
      </c>
      <c r="D132" t="inlineStr">
        <is>
          <t>DALARNAS LÄN</t>
        </is>
      </c>
      <c r="E132" t="inlineStr">
        <is>
          <t>ÄLVDALEN</t>
        </is>
      </c>
      <c r="F132" t="inlineStr">
        <is>
          <t>Sveaskog</t>
        </is>
      </c>
      <c r="G132" t="n">
        <v>1.9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HYPERLINK("https://klasma.github.io/Logging_2039/artfynd/A 27967-2023 artfynd.xlsx", "A 27967-2023")</f>
        <v/>
      </c>
      <c r="T132">
        <f>HYPERLINK("https://klasma.github.io/Logging_2039/kartor/A 27967-2023 karta.png", "A 27967-2023")</f>
        <v/>
      </c>
      <c r="V132">
        <f>HYPERLINK("https://klasma.github.io/Logging_2039/klagomål/A 27967-2023 FSC-klagomål.docx", "A 27967-2023")</f>
        <v/>
      </c>
      <c r="W132">
        <f>HYPERLINK("https://klasma.github.io/Logging_2039/klagomålsmail/A 27967-2023 FSC-klagomål mail.docx", "A 27967-2023")</f>
        <v/>
      </c>
      <c r="X132">
        <f>HYPERLINK("https://klasma.github.io/Logging_2039/tillsyn/A 27967-2023 tillsynsbegäran.docx", "A 27967-2023")</f>
        <v/>
      </c>
      <c r="Y132">
        <f>HYPERLINK("https://klasma.github.io/Logging_2039/tillsynsmail/A 27967-2023 tillsynsbegäran mail.docx", "A 27967-2023")</f>
        <v/>
      </c>
    </row>
    <row r="133" ht="15" customHeight="1">
      <c r="A133" t="inlineStr">
        <is>
          <t>A 33894-2023</t>
        </is>
      </c>
      <c r="B133" s="1" t="n">
        <v>45121</v>
      </c>
      <c r="C133" s="1" t="n">
        <v>45812</v>
      </c>
      <c r="D133" t="inlineStr">
        <is>
          <t>DALARNAS LÄN</t>
        </is>
      </c>
      <c r="E133" t="inlineStr">
        <is>
          <t>ÄLVDALEN</t>
        </is>
      </c>
      <c r="F133" t="inlineStr">
        <is>
          <t>Sveaskog</t>
        </is>
      </c>
      <c r="G133" t="n">
        <v>3</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33894-2023 artfynd.xlsx", "A 33894-2023")</f>
        <v/>
      </c>
      <c r="T133">
        <f>HYPERLINK("https://klasma.github.io/Logging_2039/kartor/A 33894-2023 karta.png", "A 33894-2023")</f>
        <v/>
      </c>
      <c r="V133">
        <f>HYPERLINK("https://klasma.github.io/Logging_2039/klagomål/A 33894-2023 FSC-klagomål.docx", "A 33894-2023")</f>
        <v/>
      </c>
      <c r="W133">
        <f>HYPERLINK("https://klasma.github.io/Logging_2039/klagomålsmail/A 33894-2023 FSC-klagomål mail.docx", "A 33894-2023")</f>
        <v/>
      </c>
      <c r="X133">
        <f>HYPERLINK("https://klasma.github.io/Logging_2039/tillsyn/A 33894-2023 tillsynsbegäran.docx", "A 33894-2023")</f>
        <v/>
      </c>
      <c r="Y133">
        <f>HYPERLINK("https://klasma.github.io/Logging_2039/tillsynsmail/A 33894-2023 tillsynsbegäran mail.docx", "A 33894-2023")</f>
        <v/>
      </c>
    </row>
    <row r="134" ht="15" customHeight="1">
      <c r="A134" t="inlineStr">
        <is>
          <t>A 35184-2023</t>
        </is>
      </c>
      <c r="B134" s="1" t="n">
        <v>45145</v>
      </c>
      <c r="C134" s="1" t="n">
        <v>45812</v>
      </c>
      <c r="D134" t="inlineStr">
        <is>
          <t>DALARNAS LÄN</t>
        </is>
      </c>
      <c r="E134" t="inlineStr">
        <is>
          <t>ÄLVDALEN</t>
        </is>
      </c>
      <c r="F134" t="inlineStr">
        <is>
          <t>Sveaskog</t>
        </is>
      </c>
      <c r="G134" t="n">
        <v>1.7</v>
      </c>
      <c r="H134" t="n">
        <v>0</v>
      </c>
      <c r="I134" t="n">
        <v>0</v>
      </c>
      <c r="J134" t="n">
        <v>2</v>
      </c>
      <c r="K134" t="n">
        <v>0</v>
      </c>
      <c r="L134" t="n">
        <v>0</v>
      </c>
      <c r="M134" t="n">
        <v>0</v>
      </c>
      <c r="N134" t="n">
        <v>0</v>
      </c>
      <c r="O134" t="n">
        <v>2</v>
      </c>
      <c r="P134" t="n">
        <v>0</v>
      </c>
      <c r="Q134" t="n">
        <v>2</v>
      </c>
      <c r="R134" s="2" t="inlineStr">
        <is>
          <t>Blanksvart spiklav
Kolflarnlav</t>
        </is>
      </c>
      <c r="S134">
        <f>HYPERLINK("https://klasma.github.io/Logging_2039/artfynd/A 35184-2023 artfynd.xlsx", "A 35184-2023")</f>
        <v/>
      </c>
      <c r="T134">
        <f>HYPERLINK("https://klasma.github.io/Logging_2039/kartor/A 35184-2023 karta.png", "A 35184-2023")</f>
        <v/>
      </c>
      <c r="V134">
        <f>HYPERLINK("https://klasma.github.io/Logging_2039/klagomål/A 35184-2023 FSC-klagomål.docx", "A 35184-2023")</f>
        <v/>
      </c>
      <c r="W134">
        <f>HYPERLINK("https://klasma.github.io/Logging_2039/klagomålsmail/A 35184-2023 FSC-klagomål mail.docx", "A 35184-2023")</f>
        <v/>
      </c>
      <c r="X134">
        <f>HYPERLINK("https://klasma.github.io/Logging_2039/tillsyn/A 35184-2023 tillsynsbegäran.docx", "A 35184-2023")</f>
        <v/>
      </c>
      <c r="Y134">
        <f>HYPERLINK("https://klasma.github.io/Logging_2039/tillsynsmail/A 35184-2023 tillsynsbegäran mail.docx", "A 35184-2023")</f>
        <v/>
      </c>
    </row>
    <row r="135" ht="15" customHeight="1">
      <c r="A135" t="inlineStr">
        <is>
          <t>A 37664-2023</t>
        </is>
      </c>
      <c r="B135" s="1" t="n">
        <v>45159</v>
      </c>
      <c r="C135" s="1" t="n">
        <v>45812</v>
      </c>
      <c r="D135" t="inlineStr">
        <is>
          <t>DALARNAS LÄN</t>
        </is>
      </c>
      <c r="E135" t="inlineStr">
        <is>
          <t>ÄLVDALEN</t>
        </is>
      </c>
      <c r="F135" t="inlineStr">
        <is>
          <t>Allmännings- och besparingsskogar</t>
        </is>
      </c>
      <c r="G135" t="n">
        <v>0.6</v>
      </c>
      <c r="H135" t="n">
        <v>0</v>
      </c>
      <c r="I135" t="n">
        <v>1</v>
      </c>
      <c r="J135" t="n">
        <v>1</v>
      </c>
      <c r="K135" t="n">
        <v>0</v>
      </c>
      <c r="L135" t="n">
        <v>0</v>
      </c>
      <c r="M135" t="n">
        <v>0</v>
      </c>
      <c r="N135" t="n">
        <v>0</v>
      </c>
      <c r="O135" t="n">
        <v>1</v>
      </c>
      <c r="P135" t="n">
        <v>0</v>
      </c>
      <c r="Q135" t="n">
        <v>2</v>
      </c>
      <c r="R135" s="2" t="inlineStr">
        <is>
          <t>Vaddporing
Mindre märgborre</t>
        </is>
      </c>
      <c r="S135">
        <f>HYPERLINK("https://klasma.github.io/Logging_2039/artfynd/A 37664-2023 artfynd.xlsx", "A 37664-2023")</f>
        <v/>
      </c>
      <c r="T135">
        <f>HYPERLINK("https://klasma.github.io/Logging_2039/kartor/A 37664-2023 karta.png", "A 37664-2023")</f>
        <v/>
      </c>
      <c r="V135">
        <f>HYPERLINK("https://klasma.github.io/Logging_2039/klagomål/A 37664-2023 FSC-klagomål.docx", "A 37664-2023")</f>
        <v/>
      </c>
      <c r="W135">
        <f>HYPERLINK("https://klasma.github.io/Logging_2039/klagomålsmail/A 37664-2023 FSC-klagomål mail.docx", "A 37664-2023")</f>
        <v/>
      </c>
      <c r="X135">
        <f>HYPERLINK("https://klasma.github.io/Logging_2039/tillsyn/A 37664-2023 tillsynsbegäran.docx", "A 37664-2023")</f>
        <v/>
      </c>
      <c r="Y135">
        <f>HYPERLINK("https://klasma.github.io/Logging_2039/tillsynsmail/A 37664-2023 tillsynsbegäran mail.docx", "A 37664-2023")</f>
        <v/>
      </c>
    </row>
    <row r="136" ht="15" customHeight="1">
      <c r="A136" t="inlineStr">
        <is>
          <t>A 42848-2023</t>
        </is>
      </c>
      <c r="B136" s="1" t="n">
        <v>45182</v>
      </c>
      <c r="C136" s="1" t="n">
        <v>45812</v>
      </c>
      <c r="D136" t="inlineStr">
        <is>
          <t>DALARNAS LÄN</t>
        </is>
      </c>
      <c r="E136" t="inlineStr">
        <is>
          <t>ÄLVDALEN</t>
        </is>
      </c>
      <c r="F136" t="inlineStr">
        <is>
          <t>Allmännings- och besparingsskogar</t>
        </is>
      </c>
      <c r="G136" t="n">
        <v>1.9</v>
      </c>
      <c r="H136" t="n">
        <v>0</v>
      </c>
      <c r="I136" t="n">
        <v>1</v>
      </c>
      <c r="J136" t="n">
        <v>1</v>
      </c>
      <c r="K136" t="n">
        <v>0</v>
      </c>
      <c r="L136" t="n">
        <v>0</v>
      </c>
      <c r="M136" t="n">
        <v>0</v>
      </c>
      <c r="N136" t="n">
        <v>0</v>
      </c>
      <c r="O136" t="n">
        <v>1</v>
      </c>
      <c r="P136" t="n">
        <v>0</v>
      </c>
      <c r="Q136" t="n">
        <v>2</v>
      </c>
      <c r="R136" s="2" t="inlineStr">
        <is>
          <t>Blå taggsvamp
Dropptaggsvamp</t>
        </is>
      </c>
      <c r="S136">
        <f>HYPERLINK("https://klasma.github.io/Logging_2039/artfynd/A 42848-2023 artfynd.xlsx", "A 42848-2023")</f>
        <v/>
      </c>
      <c r="T136">
        <f>HYPERLINK("https://klasma.github.io/Logging_2039/kartor/A 42848-2023 karta.png", "A 42848-2023")</f>
        <v/>
      </c>
      <c r="V136">
        <f>HYPERLINK("https://klasma.github.io/Logging_2039/klagomål/A 42848-2023 FSC-klagomål.docx", "A 42848-2023")</f>
        <v/>
      </c>
      <c r="W136">
        <f>HYPERLINK("https://klasma.github.io/Logging_2039/klagomålsmail/A 42848-2023 FSC-klagomål mail.docx", "A 42848-2023")</f>
        <v/>
      </c>
      <c r="X136">
        <f>HYPERLINK("https://klasma.github.io/Logging_2039/tillsyn/A 42848-2023 tillsynsbegäran.docx", "A 42848-2023")</f>
        <v/>
      </c>
      <c r="Y136">
        <f>HYPERLINK("https://klasma.github.io/Logging_2039/tillsynsmail/A 42848-2023 tillsynsbegäran mail.docx", "A 42848-2023")</f>
        <v/>
      </c>
    </row>
    <row r="137" ht="15" customHeight="1">
      <c r="A137" t="inlineStr">
        <is>
          <t>A 9079-2024</t>
        </is>
      </c>
      <c r="B137" s="1" t="n">
        <v>45357</v>
      </c>
      <c r="C137" s="1" t="n">
        <v>45812</v>
      </c>
      <c r="D137" t="inlineStr">
        <is>
          <t>DALARNAS LÄN</t>
        </is>
      </c>
      <c r="E137" t="inlineStr">
        <is>
          <t>ÄLVDALEN</t>
        </is>
      </c>
      <c r="F137" t="inlineStr">
        <is>
          <t>Övriga Aktiebolag</t>
        </is>
      </c>
      <c r="G137" t="n">
        <v>15.2</v>
      </c>
      <c r="H137" t="n">
        <v>1</v>
      </c>
      <c r="I137" t="n">
        <v>0</v>
      </c>
      <c r="J137" t="n">
        <v>1</v>
      </c>
      <c r="K137" t="n">
        <v>0</v>
      </c>
      <c r="L137" t="n">
        <v>0</v>
      </c>
      <c r="M137" t="n">
        <v>0</v>
      </c>
      <c r="N137" t="n">
        <v>0</v>
      </c>
      <c r="O137" t="n">
        <v>1</v>
      </c>
      <c r="P137" t="n">
        <v>0</v>
      </c>
      <c r="Q137" t="n">
        <v>2</v>
      </c>
      <c r="R137" s="2" t="inlineStr">
        <is>
          <t>Kortskaftad ärgspik
Fläcknycklar</t>
        </is>
      </c>
      <c r="S137">
        <f>HYPERLINK("https://klasma.github.io/Logging_2039/artfynd/A 9079-2024 artfynd.xlsx", "A 9079-2024")</f>
        <v/>
      </c>
      <c r="T137">
        <f>HYPERLINK("https://klasma.github.io/Logging_2039/kartor/A 9079-2024 karta.png", "A 9079-2024")</f>
        <v/>
      </c>
      <c r="V137">
        <f>HYPERLINK("https://klasma.github.io/Logging_2039/klagomål/A 9079-2024 FSC-klagomål.docx", "A 9079-2024")</f>
        <v/>
      </c>
      <c r="W137">
        <f>HYPERLINK("https://klasma.github.io/Logging_2039/klagomålsmail/A 9079-2024 FSC-klagomål mail.docx", "A 9079-2024")</f>
        <v/>
      </c>
      <c r="X137">
        <f>HYPERLINK("https://klasma.github.io/Logging_2039/tillsyn/A 9079-2024 tillsynsbegäran.docx", "A 9079-2024")</f>
        <v/>
      </c>
      <c r="Y137">
        <f>HYPERLINK("https://klasma.github.io/Logging_2039/tillsynsmail/A 9079-2024 tillsynsbegäran mail.docx", "A 9079-2024")</f>
        <v/>
      </c>
    </row>
    <row r="138" ht="15" customHeight="1">
      <c r="A138" t="inlineStr">
        <is>
          <t>A 19612-2024</t>
        </is>
      </c>
      <c r="B138" s="1" t="n">
        <v>45432</v>
      </c>
      <c r="C138" s="1" t="n">
        <v>45812</v>
      </c>
      <c r="D138" t="inlineStr">
        <is>
          <t>DALARNAS LÄN</t>
        </is>
      </c>
      <c r="E138" t="inlineStr">
        <is>
          <t>ÄLVDALEN</t>
        </is>
      </c>
      <c r="F138" t="inlineStr">
        <is>
          <t>Sveaskog</t>
        </is>
      </c>
      <c r="G138" t="n">
        <v>3.1</v>
      </c>
      <c r="H138" t="n">
        <v>0</v>
      </c>
      <c r="I138" t="n">
        <v>0</v>
      </c>
      <c r="J138" t="n">
        <v>2</v>
      </c>
      <c r="K138" t="n">
        <v>0</v>
      </c>
      <c r="L138" t="n">
        <v>0</v>
      </c>
      <c r="M138" t="n">
        <v>0</v>
      </c>
      <c r="N138" t="n">
        <v>0</v>
      </c>
      <c r="O138" t="n">
        <v>2</v>
      </c>
      <c r="P138" t="n">
        <v>0</v>
      </c>
      <c r="Q138" t="n">
        <v>2</v>
      </c>
      <c r="R138" s="2" t="inlineStr">
        <is>
          <t>Blanksvart spiklav
Kolflarnlav</t>
        </is>
      </c>
      <c r="S138">
        <f>HYPERLINK("https://klasma.github.io/Logging_2039/artfynd/A 19612-2024 artfynd.xlsx", "A 19612-2024")</f>
        <v/>
      </c>
      <c r="T138">
        <f>HYPERLINK("https://klasma.github.io/Logging_2039/kartor/A 19612-2024 karta.png", "A 19612-2024")</f>
        <v/>
      </c>
      <c r="V138">
        <f>HYPERLINK("https://klasma.github.io/Logging_2039/klagomål/A 19612-2024 FSC-klagomål.docx", "A 19612-2024")</f>
        <v/>
      </c>
      <c r="W138">
        <f>HYPERLINK("https://klasma.github.io/Logging_2039/klagomålsmail/A 19612-2024 FSC-klagomål mail.docx", "A 19612-2024")</f>
        <v/>
      </c>
      <c r="X138">
        <f>HYPERLINK("https://klasma.github.io/Logging_2039/tillsyn/A 19612-2024 tillsynsbegäran.docx", "A 19612-2024")</f>
        <v/>
      </c>
      <c r="Y138">
        <f>HYPERLINK("https://klasma.github.io/Logging_2039/tillsynsmail/A 19612-2024 tillsynsbegäran mail.docx", "A 19612-2024")</f>
        <v/>
      </c>
    </row>
    <row r="139" ht="15" customHeight="1">
      <c r="A139" t="inlineStr">
        <is>
          <t>A 32206-2024</t>
        </is>
      </c>
      <c r="B139" s="1" t="n">
        <v>45511</v>
      </c>
      <c r="C139" s="1" t="n">
        <v>45812</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52198-2024</t>
        </is>
      </c>
      <c r="B140" s="1" t="n">
        <v>45608</v>
      </c>
      <c r="C140" s="1" t="n">
        <v>45812</v>
      </c>
      <c r="D140" t="inlineStr">
        <is>
          <t>DALARNAS LÄN</t>
        </is>
      </c>
      <c r="E140" t="inlineStr">
        <is>
          <t>ÄLVDALEN</t>
        </is>
      </c>
      <c r="F140" t="inlineStr">
        <is>
          <t>Allmännings- och besparingsskogar</t>
        </is>
      </c>
      <c r="G140" t="n">
        <v>2.7</v>
      </c>
      <c r="H140" t="n">
        <v>1</v>
      </c>
      <c r="I140" t="n">
        <v>1</v>
      </c>
      <c r="J140" t="n">
        <v>1</v>
      </c>
      <c r="K140" t="n">
        <v>0</v>
      </c>
      <c r="L140" t="n">
        <v>0</v>
      </c>
      <c r="M140" t="n">
        <v>0</v>
      </c>
      <c r="N140" t="n">
        <v>0</v>
      </c>
      <c r="O140" t="n">
        <v>1</v>
      </c>
      <c r="P140" t="n">
        <v>0</v>
      </c>
      <c r="Q140" t="n">
        <v>2</v>
      </c>
      <c r="R140" s="2" t="inlineStr">
        <is>
          <t>Spillkråka
Skarp dropptaggsvamp</t>
        </is>
      </c>
      <c r="S140">
        <f>HYPERLINK("https://klasma.github.io/Logging_2039/artfynd/A 52198-2024 artfynd.xlsx", "A 52198-2024")</f>
        <v/>
      </c>
      <c r="T140">
        <f>HYPERLINK("https://klasma.github.io/Logging_2039/kartor/A 52198-2024 karta.png", "A 52198-2024")</f>
        <v/>
      </c>
      <c r="V140">
        <f>HYPERLINK("https://klasma.github.io/Logging_2039/klagomål/A 52198-2024 FSC-klagomål.docx", "A 52198-2024")</f>
        <v/>
      </c>
      <c r="W140">
        <f>HYPERLINK("https://klasma.github.io/Logging_2039/klagomålsmail/A 52198-2024 FSC-klagomål mail.docx", "A 52198-2024")</f>
        <v/>
      </c>
      <c r="X140">
        <f>HYPERLINK("https://klasma.github.io/Logging_2039/tillsyn/A 52198-2024 tillsynsbegäran.docx", "A 52198-2024")</f>
        <v/>
      </c>
      <c r="Y140">
        <f>HYPERLINK("https://klasma.github.io/Logging_2039/tillsynsmail/A 52198-2024 tillsynsbegäran mail.docx", "A 52198-2024")</f>
        <v/>
      </c>
      <c r="Z140">
        <f>HYPERLINK("https://klasma.github.io/Logging_2039/fåglar/A 52198-2024 prioriterade fågelarter.docx", "A 52198-2024")</f>
        <v/>
      </c>
    </row>
    <row r="141" ht="15" customHeight="1">
      <c r="A141" t="inlineStr">
        <is>
          <t>A 59429-2024</t>
        </is>
      </c>
      <c r="B141" s="1" t="n">
        <v>45638</v>
      </c>
      <c r="C141" s="1" t="n">
        <v>45812</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17546-2025</t>
        </is>
      </c>
      <c r="B142" s="1" t="n">
        <v>45757</v>
      </c>
      <c r="C142" s="1" t="n">
        <v>45812</v>
      </c>
      <c r="D142" t="inlineStr">
        <is>
          <t>DALARNAS LÄN</t>
        </is>
      </c>
      <c r="E142" t="inlineStr">
        <is>
          <t>ÄLVDALEN</t>
        </is>
      </c>
      <c r="F142" t="inlineStr">
        <is>
          <t>Sveaskog</t>
        </is>
      </c>
      <c r="G142" t="n">
        <v>3.5</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HYPERLINK("https://klasma.github.io/Logging_202039/artfynd/A 17546-2025 artfynd.xlsx", "A 17546-2025")</f>
        <v/>
      </c>
      <c r="T142">
        <f>HYPERLINK("https://klasma.github.io/Logging_202039/kartor/A 17546-2025 karta.png", "A 17546-2025")</f>
        <v/>
      </c>
      <c r="V142">
        <f>HYPERLINK("https://klasma.github.io/Logging_202039/klagomål/A 17546-2025 FSC-klagomål.docx", "A 17546-2025")</f>
        <v/>
      </c>
      <c r="W142">
        <f>HYPERLINK("https://klasma.github.io/Logging_202039/klagomålsmail/A 17546-2025 FSC-klagomål mail.docx", "A 17546-2025")</f>
        <v/>
      </c>
      <c r="X142">
        <f>HYPERLINK("https://klasma.github.io/Logging_202039/tillsyn/A 17546-2025 tillsynsbegäran.docx", "A 17546-2025")</f>
        <v/>
      </c>
      <c r="Y142">
        <f>HYPERLINK("https://klasma.github.io/Logging_202039/tillsynsmail/A 17546-2025 tillsynsbegäran mail.docx", "A 17546-2025")</f>
        <v/>
      </c>
    </row>
    <row r="143" ht="15" customHeight="1">
      <c r="A143" t="inlineStr">
        <is>
          <t>A 22522-2019</t>
        </is>
      </c>
      <c r="B143" s="1" t="n">
        <v>43587</v>
      </c>
      <c r="C143" s="1" t="n">
        <v>45812</v>
      </c>
      <c r="D143" t="inlineStr">
        <is>
          <t>DALARNAS LÄN</t>
        </is>
      </c>
      <c r="E143" t="inlineStr">
        <is>
          <t>ÄLVDALEN</t>
        </is>
      </c>
      <c r="G143" t="n">
        <v>5.1</v>
      </c>
      <c r="H143" t="n">
        <v>1</v>
      </c>
      <c r="I143" t="n">
        <v>0</v>
      </c>
      <c r="J143" t="n">
        <v>1</v>
      </c>
      <c r="K143" t="n">
        <v>0</v>
      </c>
      <c r="L143" t="n">
        <v>0</v>
      </c>
      <c r="M143" t="n">
        <v>0</v>
      </c>
      <c r="N143" t="n">
        <v>0</v>
      </c>
      <c r="O143" t="n">
        <v>1</v>
      </c>
      <c r="P143" t="n">
        <v>0</v>
      </c>
      <c r="Q143" t="n">
        <v>1</v>
      </c>
      <c r="R143" s="2" t="inlineStr">
        <is>
          <t>Utter</t>
        </is>
      </c>
      <c r="S143">
        <f>HYPERLINK("https://klasma.github.io/Logging_2039/artfynd/A 22522-2019 artfynd.xlsx", "A 22522-2019")</f>
        <v/>
      </c>
      <c r="T143">
        <f>HYPERLINK("https://klasma.github.io/Logging_2039/kartor/A 22522-2019 karta.png", "A 22522-2019")</f>
        <v/>
      </c>
      <c r="V143">
        <f>HYPERLINK("https://klasma.github.io/Logging_2039/klagomål/A 22522-2019 FSC-klagomål.docx", "A 22522-2019")</f>
        <v/>
      </c>
      <c r="W143">
        <f>HYPERLINK("https://klasma.github.io/Logging_2039/klagomålsmail/A 22522-2019 FSC-klagomål mail.docx", "A 22522-2019")</f>
        <v/>
      </c>
      <c r="X143">
        <f>HYPERLINK("https://klasma.github.io/Logging_2039/tillsyn/A 22522-2019 tillsynsbegäran.docx", "A 22522-2019")</f>
        <v/>
      </c>
      <c r="Y143">
        <f>HYPERLINK("https://klasma.github.io/Logging_2039/tillsynsmail/A 22522-2019 tillsynsbegäran mail.docx", "A 22522-2019")</f>
        <v/>
      </c>
    </row>
    <row r="144" ht="15" customHeight="1">
      <c r="A144" t="inlineStr">
        <is>
          <t>A 18227-2020</t>
        </is>
      </c>
      <c r="B144" s="1" t="n">
        <v>43928</v>
      </c>
      <c r="C144" s="1" t="n">
        <v>45812</v>
      </c>
      <c r="D144" t="inlineStr">
        <is>
          <t>DALARNAS LÄN</t>
        </is>
      </c>
      <c r="E144" t="inlineStr">
        <is>
          <t>ÄLVDALEN</t>
        </is>
      </c>
      <c r="F144" t="inlineStr">
        <is>
          <t>Sveaskog</t>
        </is>
      </c>
      <c r="G144" t="n">
        <v>13.1</v>
      </c>
      <c r="H144" t="n">
        <v>1</v>
      </c>
      <c r="I144" t="n">
        <v>0</v>
      </c>
      <c r="J144" t="n">
        <v>1</v>
      </c>
      <c r="K144" t="n">
        <v>0</v>
      </c>
      <c r="L144" t="n">
        <v>0</v>
      </c>
      <c r="M144" t="n">
        <v>0</v>
      </c>
      <c r="N144" t="n">
        <v>0</v>
      </c>
      <c r="O144" t="n">
        <v>1</v>
      </c>
      <c r="P144" t="n">
        <v>0</v>
      </c>
      <c r="Q144" t="n">
        <v>1</v>
      </c>
      <c r="R144" s="2" t="inlineStr">
        <is>
          <t>Varglav</t>
        </is>
      </c>
      <c r="S144">
        <f>HYPERLINK("https://klasma.github.io/Logging_2039/artfynd/A 18227-2020 artfynd.xlsx", "A 18227-2020")</f>
        <v/>
      </c>
      <c r="T144">
        <f>HYPERLINK("https://klasma.github.io/Logging_2039/kartor/A 18227-2020 karta.png", "A 18227-2020")</f>
        <v/>
      </c>
      <c r="V144">
        <f>HYPERLINK("https://klasma.github.io/Logging_2039/klagomål/A 18227-2020 FSC-klagomål.docx", "A 18227-2020")</f>
        <v/>
      </c>
      <c r="W144">
        <f>HYPERLINK("https://klasma.github.io/Logging_2039/klagomålsmail/A 18227-2020 FSC-klagomål mail.docx", "A 18227-2020")</f>
        <v/>
      </c>
      <c r="X144">
        <f>HYPERLINK("https://klasma.github.io/Logging_2039/tillsyn/A 18227-2020 tillsynsbegäran.docx", "A 18227-2020")</f>
        <v/>
      </c>
      <c r="Y144">
        <f>HYPERLINK("https://klasma.github.io/Logging_2039/tillsynsmail/A 18227-2020 tillsynsbegäran mail.docx", "A 18227-2020")</f>
        <v/>
      </c>
    </row>
    <row r="145" ht="15" customHeight="1">
      <c r="A145" t="inlineStr">
        <is>
          <t>A 19669-2020</t>
        </is>
      </c>
      <c r="B145" s="1" t="n">
        <v>43937</v>
      </c>
      <c r="C145" s="1" t="n">
        <v>45812</v>
      </c>
      <c r="D145" t="inlineStr">
        <is>
          <t>DALARNAS LÄN</t>
        </is>
      </c>
      <c r="E145" t="inlineStr">
        <is>
          <t>ÄLVDALEN</t>
        </is>
      </c>
      <c r="F145" t="inlineStr">
        <is>
          <t>Sveaskog</t>
        </is>
      </c>
      <c r="G145" t="n">
        <v>12.9</v>
      </c>
      <c r="H145" t="n">
        <v>1</v>
      </c>
      <c r="I145" t="n">
        <v>0</v>
      </c>
      <c r="J145" t="n">
        <v>1</v>
      </c>
      <c r="K145" t="n">
        <v>0</v>
      </c>
      <c r="L145" t="n">
        <v>0</v>
      </c>
      <c r="M145" t="n">
        <v>0</v>
      </c>
      <c r="N145" t="n">
        <v>0</v>
      </c>
      <c r="O145" t="n">
        <v>1</v>
      </c>
      <c r="P145" t="n">
        <v>0</v>
      </c>
      <c r="Q145" t="n">
        <v>1</v>
      </c>
      <c r="R145" s="2" t="inlineStr">
        <is>
          <t>Varglav</t>
        </is>
      </c>
      <c r="S145">
        <f>HYPERLINK("https://klasma.github.io/Logging_2039/artfynd/A 19669-2020 artfynd.xlsx", "A 19669-2020")</f>
        <v/>
      </c>
      <c r="T145">
        <f>HYPERLINK("https://klasma.github.io/Logging_2039/kartor/A 19669-2020 karta.png", "A 19669-2020")</f>
        <v/>
      </c>
      <c r="V145">
        <f>HYPERLINK("https://klasma.github.io/Logging_2039/klagomål/A 19669-2020 FSC-klagomål.docx", "A 19669-2020")</f>
        <v/>
      </c>
      <c r="W145">
        <f>HYPERLINK("https://klasma.github.io/Logging_2039/klagomålsmail/A 19669-2020 FSC-klagomål mail.docx", "A 19669-2020")</f>
        <v/>
      </c>
      <c r="X145">
        <f>HYPERLINK("https://klasma.github.io/Logging_2039/tillsyn/A 19669-2020 tillsynsbegäran.docx", "A 19669-2020")</f>
        <v/>
      </c>
      <c r="Y145">
        <f>HYPERLINK("https://klasma.github.io/Logging_2039/tillsynsmail/A 19669-2020 tillsynsbegäran mail.docx", "A 19669-2020")</f>
        <v/>
      </c>
    </row>
    <row r="146" ht="15" customHeight="1">
      <c r="A146" t="inlineStr">
        <is>
          <t>A 38505-2020</t>
        </is>
      </c>
      <c r="B146" s="1" t="n">
        <v>44061</v>
      </c>
      <c r="C146" s="1" t="n">
        <v>45812</v>
      </c>
      <c r="D146" t="inlineStr">
        <is>
          <t>DALARNAS LÄN</t>
        </is>
      </c>
      <c r="E146" t="inlineStr">
        <is>
          <t>ÄLVDALEN</t>
        </is>
      </c>
      <c r="F146" t="inlineStr">
        <is>
          <t>Sveaskog</t>
        </is>
      </c>
      <c r="G146" t="n">
        <v>1.7</v>
      </c>
      <c r="H146" t="n">
        <v>1</v>
      </c>
      <c r="I146" t="n">
        <v>0</v>
      </c>
      <c r="J146" t="n">
        <v>1</v>
      </c>
      <c r="K146" t="n">
        <v>0</v>
      </c>
      <c r="L146" t="n">
        <v>0</v>
      </c>
      <c r="M146" t="n">
        <v>0</v>
      </c>
      <c r="N146" t="n">
        <v>0</v>
      </c>
      <c r="O146" t="n">
        <v>1</v>
      </c>
      <c r="P146" t="n">
        <v>0</v>
      </c>
      <c r="Q146" t="n">
        <v>1</v>
      </c>
      <c r="R146" s="2" t="inlineStr">
        <is>
          <t>Varglav</t>
        </is>
      </c>
      <c r="S146">
        <f>HYPERLINK("https://klasma.github.io/Logging_2039/artfynd/A 38505-2020 artfynd.xlsx", "A 38505-2020")</f>
        <v/>
      </c>
      <c r="T146">
        <f>HYPERLINK("https://klasma.github.io/Logging_2039/kartor/A 38505-2020 karta.png", "A 38505-2020")</f>
        <v/>
      </c>
      <c r="V146">
        <f>HYPERLINK("https://klasma.github.io/Logging_2039/klagomål/A 38505-2020 FSC-klagomål.docx", "A 38505-2020")</f>
        <v/>
      </c>
      <c r="W146">
        <f>HYPERLINK("https://klasma.github.io/Logging_2039/klagomålsmail/A 38505-2020 FSC-klagomål mail.docx", "A 38505-2020")</f>
        <v/>
      </c>
      <c r="X146">
        <f>HYPERLINK("https://klasma.github.io/Logging_2039/tillsyn/A 38505-2020 tillsynsbegäran.docx", "A 38505-2020")</f>
        <v/>
      </c>
      <c r="Y146">
        <f>HYPERLINK("https://klasma.github.io/Logging_2039/tillsynsmail/A 38505-2020 tillsynsbegäran mail.docx", "A 38505-2020")</f>
        <v/>
      </c>
    </row>
    <row r="147" ht="15" customHeight="1">
      <c r="A147" t="inlineStr">
        <is>
          <t>A 46279-2020</t>
        </is>
      </c>
      <c r="B147" s="1" t="n">
        <v>44092</v>
      </c>
      <c r="C147" s="1" t="n">
        <v>45812</v>
      </c>
      <c r="D147" t="inlineStr">
        <is>
          <t>DALARNAS LÄN</t>
        </is>
      </c>
      <c r="E147" t="inlineStr">
        <is>
          <t>ÄLVDALEN</t>
        </is>
      </c>
      <c r="F147" t="inlineStr">
        <is>
          <t>Sveaskog</t>
        </is>
      </c>
      <c r="G147" t="n">
        <v>0.5</v>
      </c>
      <c r="H147" t="n">
        <v>0</v>
      </c>
      <c r="I147" t="n">
        <v>0</v>
      </c>
      <c r="J147" t="n">
        <v>1</v>
      </c>
      <c r="K147" t="n">
        <v>0</v>
      </c>
      <c r="L147" t="n">
        <v>0</v>
      </c>
      <c r="M147" t="n">
        <v>0</v>
      </c>
      <c r="N147" t="n">
        <v>0</v>
      </c>
      <c r="O147" t="n">
        <v>1</v>
      </c>
      <c r="P147" t="n">
        <v>0</v>
      </c>
      <c r="Q147" t="n">
        <v>1</v>
      </c>
      <c r="R147" s="2" t="inlineStr">
        <is>
          <t>Nordtagging</t>
        </is>
      </c>
      <c r="S147">
        <f>HYPERLINK("https://klasma.github.io/Logging_2039/artfynd/A 46279-2020 artfynd.xlsx", "A 46279-2020")</f>
        <v/>
      </c>
      <c r="T147">
        <f>HYPERLINK("https://klasma.github.io/Logging_2039/kartor/A 46279-2020 karta.png", "A 46279-2020")</f>
        <v/>
      </c>
      <c r="V147">
        <f>HYPERLINK("https://klasma.github.io/Logging_2039/klagomål/A 46279-2020 FSC-klagomål.docx", "A 46279-2020")</f>
        <v/>
      </c>
      <c r="W147">
        <f>HYPERLINK("https://klasma.github.io/Logging_2039/klagomålsmail/A 46279-2020 FSC-klagomål mail.docx", "A 46279-2020")</f>
        <v/>
      </c>
      <c r="X147">
        <f>HYPERLINK("https://klasma.github.io/Logging_2039/tillsyn/A 46279-2020 tillsynsbegäran.docx", "A 46279-2020")</f>
        <v/>
      </c>
      <c r="Y147">
        <f>HYPERLINK("https://klasma.github.io/Logging_2039/tillsynsmail/A 46279-2020 tillsynsbegäran mail.docx", "A 46279-2020")</f>
        <v/>
      </c>
    </row>
    <row r="148" ht="15" customHeight="1">
      <c r="A148" t="inlineStr">
        <is>
          <t>A 11061-2021</t>
        </is>
      </c>
      <c r="B148" s="1" t="n">
        <v>44260</v>
      </c>
      <c r="C148" s="1" t="n">
        <v>45812</v>
      </c>
      <c r="D148" t="inlineStr">
        <is>
          <t>DALARNAS LÄN</t>
        </is>
      </c>
      <c r="E148" t="inlineStr">
        <is>
          <t>ÄLVDALEN</t>
        </is>
      </c>
      <c r="F148" t="inlineStr">
        <is>
          <t>Övriga statliga verk och myndigheter</t>
        </is>
      </c>
      <c r="G148" t="n">
        <v>43.7</v>
      </c>
      <c r="H148" t="n">
        <v>1</v>
      </c>
      <c r="I148" t="n">
        <v>0</v>
      </c>
      <c r="J148" t="n">
        <v>0</v>
      </c>
      <c r="K148" t="n">
        <v>0</v>
      </c>
      <c r="L148" t="n">
        <v>0</v>
      </c>
      <c r="M148" t="n">
        <v>0</v>
      </c>
      <c r="N148" t="n">
        <v>0</v>
      </c>
      <c r="O148" t="n">
        <v>0</v>
      </c>
      <c r="P148" t="n">
        <v>0</v>
      </c>
      <c r="Q148" t="n">
        <v>1</v>
      </c>
      <c r="R148" s="2" t="inlineStr">
        <is>
          <t>Större vattensalamander</t>
        </is>
      </c>
      <c r="S148">
        <f>HYPERLINK("https://klasma.github.io/Logging_2039/artfynd/A 11061-2021 artfynd.xlsx", "A 11061-2021")</f>
        <v/>
      </c>
      <c r="T148">
        <f>HYPERLINK("https://klasma.github.io/Logging_2039/kartor/A 11061-2021 karta.png", "A 11061-2021")</f>
        <v/>
      </c>
      <c r="V148">
        <f>HYPERLINK("https://klasma.github.io/Logging_2039/klagomål/A 11061-2021 FSC-klagomål.docx", "A 11061-2021")</f>
        <v/>
      </c>
      <c r="W148">
        <f>HYPERLINK("https://klasma.github.io/Logging_2039/klagomålsmail/A 11061-2021 FSC-klagomål mail.docx", "A 11061-2021")</f>
        <v/>
      </c>
      <c r="X148">
        <f>HYPERLINK("https://klasma.github.io/Logging_2039/tillsyn/A 11061-2021 tillsynsbegäran.docx", "A 11061-2021")</f>
        <v/>
      </c>
      <c r="Y148">
        <f>HYPERLINK("https://klasma.github.io/Logging_2039/tillsynsmail/A 11061-2021 tillsynsbegäran mail.docx", "A 11061-2021")</f>
        <v/>
      </c>
    </row>
    <row r="149" ht="15" customHeight="1">
      <c r="A149" t="inlineStr">
        <is>
          <t>A 16035-2021</t>
        </is>
      </c>
      <c r="B149" s="1" t="n">
        <v>44287</v>
      </c>
      <c r="C149" s="1" t="n">
        <v>45812</v>
      </c>
      <c r="D149" t="inlineStr">
        <is>
          <t>DALARNAS LÄN</t>
        </is>
      </c>
      <c r="E149" t="inlineStr">
        <is>
          <t>ÄLVDALEN</t>
        </is>
      </c>
      <c r="F149" t="inlineStr">
        <is>
          <t>Övriga statliga verk och myndigheter</t>
        </is>
      </c>
      <c r="G149" t="n">
        <v>2.2</v>
      </c>
      <c r="H149" t="n">
        <v>0</v>
      </c>
      <c r="I149" t="n">
        <v>0</v>
      </c>
      <c r="J149" t="n">
        <v>1</v>
      </c>
      <c r="K149" t="n">
        <v>0</v>
      </c>
      <c r="L149" t="n">
        <v>0</v>
      </c>
      <c r="M149" t="n">
        <v>0</v>
      </c>
      <c r="N149" t="n">
        <v>0</v>
      </c>
      <c r="O149" t="n">
        <v>1</v>
      </c>
      <c r="P149" t="n">
        <v>0</v>
      </c>
      <c r="Q149" t="n">
        <v>1</v>
      </c>
      <c r="R149" s="2" t="inlineStr">
        <is>
          <t>Gultoppig fingersvamp</t>
        </is>
      </c>
      <c r="S149">
        <f>HYPERLINK("https://klasma.github.io/Logging_2039/artfynd/A 16035-2021 artfynd.xlsx", "A 16035-2021")</f>
        <v/>
      </c>
      <c r="T149">
        <f>HYPERLINK("https://klasma.github.io/Logging_2039/kartor/A 16035-2021 karta.png", "A 16035-2021")</f>
        <v/>
      </c>
      <c r="V149">
        <f>HYPERLINK("https://klasma.github.io/Logging_2039/klagomål/A 16035-2021 FSC-klagomål.docx", "A 16035-2021")</f>
        <v/>
      </c>
      <c r="W149">
        <f>HYPERLINK("https://klasma.github.io/Logging_2039/klagomålsmail/A 16035-2021 FSC-klagomål mail.docx", "A 16035-2021")</f>
        <v/>
      </c>
      <c r="X149">
        <f>HYPERLINK("https://klasma.github.io/Logging_2039/tillsyn/A 16035-2021 tillsynsbegäran.docx", "A 16035-2021")</f>
        <v/>
      </c>
      <c r="Y149">
        <f>HYPERLINK("https://klasma.github.io/Logging_2039/tillsynsmail/A 16035-2021 tillsynsbegäran mail.docx", "A 16035-2021")</f>
        <v/>
      </c>
    </row>
    <row r="150" ht="15" customHeight="1">
      <c r="A150" t="inlineStr">
        <is>
          <t>A 22407-2021</t>
        </is>
      </c>
      <c r="B150" s="1" t="n">
        <v>44326</v>
      </c>
      <c r="C150" s="1" t="n">
        <v>45812</v>
      </c>
      <c r="D150" t="inlineStr">
        <is>
          <t>DALARNAS LÄN</t>
        </is>
      </c>
      <c r="E150" t="inlineStr">
        <is>
          <t>ÄLVDALEN</t>
        </is>
      </c>
      <c r="F150" t="inlineStr">
        <is>
          <t>Sveaskog</t>
        </is>
      </c>
      <c r="G150" t="n">
        <v>4.2</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22407-2021 artfynd.xlsx", "A 22407-2021")</f>
        <v/>
      </c>
      <c r="T150">
        <f>HYPERLINK("https://klasma.github.io/Logging_2039/kartor/A 22407-2021 karta.png", "A 22407-2021")</f>
        <v/>
      </c>
      <c r="V150">
        <f>HYPERLINK("https://klasma.github.io/Logging_2039/klagomål/A 22407-2021 FSC-klagomål.docx", "A 22407-2021")</f>
        <v/>
      </c>
      <c r="W150">
        <f>HYPERLINK("https://klasma.github.io/Logging_2039/klagomålsmail/A 22407-2021 FSC-klagomål mail.docx", "A 22407-2021")</f>
        <v/>
      </c>
      <c r="X150">
        <f>HYPERLINK("https://klasma.github.io/Logging_2039/tillsyn/A 22407-2021 tillsynsbegäran.docx", "A 22407-2021")</f>
        <v/>
      </c>
      <c r="Y150">
        <f>HYPERLINK("https://klasma.github.io/Logging_2039/tillsynsmail/A 22407-2021 tillsynsbegäran mail.docx", "A 22407-2021")</f>
        <v/>
      </c>
    </row>
    <row r="151" ht="15" customHeight="1">
      <c r="A151" t="inlineStr">
        <is>
          <t>A 22759-2021</t>
        </is>
      </c>
      <c r="B151" s="1" t="n">
        <v>44327</v>
      </c>
      <c r="C151" s="1" t="n">
        <v>45812</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24847-2021</t>
        </is>
      </c>
      <c r="B152" s="1" t="n">
        <v>44340</v>
      </c>
      <c r="C152" s="1" t="n">
        <v>45812</v>
      </c>
      <c r="D152" t="inlineStr">
        <is>
          <t>DALARNAS LÄN</t>
        </is>
      </c>
      <c r="E152" t="inlineStr">
        <is>
          <t>ÄLVDALEN</t>
        </is>
      </c>
      <c r="F152" t="inlineStr">
        <is>
          <t>Sveaskog</t>
        </is>
      </c>
      <c r="G152" t="n">
        <v>7.1</v>
      </c>
      <c r="H152" t="n">
        <v>1</v>
      </c>
      <c r="I152" t="n">
        <v>0</v>
      </c>
      <c r="J152" t="n">
        <v>1</v>
      </c>
      <c r="K152" t="n">
        <v>0</v>
      </c>
      <c r="L152" t="n">
        <v>0</v>
      </c>
      <c r="M152" t="n">
        <v>0</v>
      </c>
      <c r="N152" t="n">
        <v>0</v>
      </c>
      <c r="O152" t="n">
        <v>1</v>
      </c>
      <c r="P152" t="n">
        <v>0</v>
      </c>
      <c r="Q152" t="n">
        <v>1</v>
      </c>
      <c r="R152" s="2" t="inlineStr">
        <is>
          <t>Varglav</t>
        </is>
      </c>
      <c r="S152">
        <f>HYPERLINK("https://klasma.github.io/Logging_2039/artfynd/A 24847-2021 artfynd.xlsx", "A 24847-2021")</f>
        <v/>
      </c>
      <c r="T152">
        <f>HYPERLINK("https://klasma.github.io/Logging_2039/kartor/A 24847-2021 karta.png", "A 24847-2021")</f>
        <v/>
      </c>
      <c r="V152">
        <f>HYPERLINK("https://klasma.github.io/Logging_2039/klagomål/A 24847-2021 FSC-klagomål.docx", "A 24847-2021")</f>
        <v/>
      </c>
      <c r="W152">
        <f>HYPERLINK("https://klasma.github.io/Logging_2039/klagomålsmail/A 24847-2021 FSC-klagomål mail.docx", "A 24847-2021")</f>
        <v/>
      </c>
      <c r="X152">
        <f>HYPERLINK("https://klasma.github.io/Logging_2039/tillsyn/A 24847-2021 tillsynsbegäran.docx", "A 24847-2021")</f>
        <v/>
      </c>
      <c r="Y152">
        <f>HYPERLINK("https://klasma.github.io/Logging_2039/tillsynsmail/A 24847-2021 tillsynsbegäran mail.docx", "A 24847-2021")</f>
        <v/>
      </c>
    </row>
    <row r="153" ht="15" customHeight="1">
      <c r="A153" t="inlineStr">
        <is>
          <t>A 26736-2021</t>
        </is>
      </c>
      <c r="B153" s="1" t="n">
        <v>44349</v>
      </c>
      <c r="C153" s="1" t="n">
        <v>45812</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30971-2021</t>
        </is>
      </c>
      <c r="B154" s="1" t="n">
        <v>44365</v>
      </c>
      <c r="C154" s="1" t="n">
        <v>45812</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31761-2021</t>
        </is>
      </c>
      <c r="B155" s="1" t="n">
        <v>44370</v>
      </c>
      <c r="C155" s="1" t="n">
        <v>45812</v>
      </c>
      <c r="D155" t="inlineStr">
        <is>
          <t>DALARNAS LÄN</t>
        </is>
      </c>
      <c r="E155" t="inlineStr">
        <is>
          <t>ÄLVDALEN</t>
        </is>
      </c>
      <c r="F155" t="inlineStr">
        <is>
          <t>Sveaskog</t>
        </is>
      </c>
      <c r="G155" t="n">
        <v>29.4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31761-2021 artfynd.xlsx", "A 31761-2021")</f>
        <v/>
      </c>
      <c r="T155">
        <f>HYPERLINK("https://klasma.github.io/Logging_2039/kartor/A 31761-2021 karta.png", "A 31761-2021")</f>
        <v/>
      </c>
      <c r="V155">
        <f>HYPERLINK("https://klasma.github.io/Logging_2039/klagomål/A 31761-2021 FSC-klagomål.docx", "A 31761-2021")</f>
        <v/>
      </c>
      <c r="W155">
        <f>HYPERLINK("https://klasma.github.io/Logging_2039/klagomålsmail/A 31761-2021 FSC-klagomål mail.docx", "A 31761-2021")</f>
        <v/>
      </c>
      <c r="X155">
        <f>HYPERLINK("https://klasma.github.io/Logging_2039/tillsyn/A 31761-2021 tillsynsbegäran.docx", "A 31761-2021")</f>
        <v/>
      </c>
      <c r="Y155">
        <f>HYPERLINK("https://klasma.github.io/Logging_2039/tillsynsmail/A 31761-2021 tillsynsbegäran mail.docx", "A 31761-2021")</f>
        <v/>
      </c>
    </row>
    <row r="156" ht="15" customHeight="1">
      <c r="A156" t="inlineStr">
        <is>
          <t>A 34099-2021</t>
        </is>
      </c>
      <c r="B156" s="1" t="n">
        <v>44379</v>
      </c>
      <c r="C156" s="1" t="n">
        <v>45812</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36574-2021</t>
        </is>
      </c>
      <c r="B157" s="1" t="n">
        <v>44391</v>
      </c>
      <c r="C157" s="1" t="n">
        <v>45812</v>
      </c>
      <c r="D157" t="inlineStr">
        <is>
          <t>DALARNAS LÄN</t>
        </is>
      </c>
      <c r="E157" t="inlineStr">
        <is>
          <t>ÄLVDALEN</t>
        </is>
      </c>
      <c r="F157" t="inlineStr">
        <is>
          <t>Sveaskog</t>
        </is>
      </c>
      <c r="G157" t="n">
        <v>26.2</v>
      </c>
      <c r="H157" t="n">
        <v>1</v>
      </c>
      <c r="I157" t="n">
        <v>0</v>
      </c>
      <c r="J157" t="n">
        <v>0</v>
      </c>
      <c r="K157" t="n">
        <v>0</v>
      </c>
      <c r="L157" t="n">
        <v>0</v>
      </c>
      <c r="M157" t="n">
        <v>0</v>
      </c>
      <c r="N157" t="n">
        <v>0</v>
      </c>
      <c r="O157" t="n">
        <v>0</v>
      </c>
      <c r="P157" t="n">
        <v>0</v>
      </c>
      <c r="Q157" t="n">
        <v>1</v>
      </c>
      <c r="R157" s="2" t="inlineStr">
        <is>
          <t>Lavskrika</t>
        </is>
      </c>
      <c r="S157">
        <f>HYPERLINK("https://klasma.github.io/Logging_2039/artfynd/A 36574-2021 artfynd.xlsx", "A 36574-2021")</f>
        <v/>
      </c>
      <c r="T157">
        <f>HYPERLINK("https://klasma.github.io/Logging_2039/kartor/A 36574-2021 karta.png", "A 36574-2021")</f>
        <v/>
      </c>
      <c r="V157">
        <f>HYPERLINK("https://klasma.github.io/Logging_2039/klagomål/A 36574-2021 FSC-klagomål.docx", "A 36574-2021")</f>
        <v/>
      </c>
      <c r="W157">
        <f>HYPERLINK("https://klasma.github.io/Logging_2039/klagomålsmail/A 36574-2021 FSC-klagomål mail.docx", "A 36574-2021")</f>
        <v/>
      </c>
      <c r="X157">
        <f>HYPERLINK("https://klasma.github.io/Logging_2039/tillsyn/A 36574-2021 tillsynsbegäran.docx", "A 36574-2021")</f>
        <v/>
      </c>
      <c r="Y157">
        <f>HYPERLINK("https://klasma.github.io/Logging_2039/tillsynsmail/A 36574-2021 tillsynsbegäran mail.docx", "A 36574-2021")</f>
        <v/>
      </c>
      <c r="Z157">
        <f>HYPERLINK("https://klasma.github.io/Logging_2039/fåglar/A 36574-2021 prioriterade fågelarter.docx", "A 36574-2021")</f>
        <v/>
      </c>
    </row>
    <row r="158" ht="15" customHeight="1">
      <c r="A158" t="inlineStr">
        <is>
          <t>A 60419-2021</t>
        </is>
      </c>
      <c r="B158" s="1" t="n">
        <v>44496</v>
      </c>
      <c r="C158" s="1" t="n">
        <v>45812</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65500-2021</t>
        </is>
      </c>
      <c r="B159" s="1" t="n">
        <v>44516</v>
      </c>
      <c r="C159" s="1" t="n">
        <v>45812</v>
      </c>
      <c r="D159" t="inlineStr">
        <is>
          <t>DALARNAS LÄN</t>
        </is>
      </c>
      <c r="E159" t="inlineStr">
        <is>
          <t>ÄLVDALEN</t>
        </is>
      </c>
      <c r="F159" t="inlineStr">
        <is>
          <t>Sveaskog</t>
        </is>
      </c>
      <c r="G159" t="n">
        <v>10.4</v>
      </c>
      <c r="H159" t="n">
        <v>1</v>
      </c>
      <c r="I159" t="n">
        <v>0</v>
      </c>
      <c r="J159" t="n">
        <v>1</v>
      </c>
      <c r="K159" t="n">
        <v>0</v>
      </c>
      <c r="L159" t="n">
        <v>0</v>
      </c>
      <c r="M159" t="n">
        <v>0</v>
      </c>
      <c r="N159" t="n">
        <v>0</v>
      </c>
      <c r="O159" t="n">
        <v>1</v>
      </c>
      <c r="P159" t="n">
        <v>0</v>
      </c>
      <c r="Q159" t="n">
        <v>1</v>
      </c>
      <c r="R159" s="2" t="inlineStr">
        <is>
          <t>Varglav</t>
        </is>
      </c>
      <c r="S159">
        <f>HYPERLINK("https://klasma.github.io/Logging_2039/artfynd/A 65500-2021 artfynd.xlsx", "A 65500-2021")</f>
        <v/>
      </c>
      <c r="T159">
        <f>HYPERLINK("https://klasma.github.io/Logging_2039/kartor/A 65500-2021 karta.png", "A 65500-2021")</f>
        <v/>
      </c>
      <c r="V159">
        <f>HYPERLINK("https://klasma.github.io/Logging_2039/klagomål/A 65500-2021 FSC-klagomål.docx", "A 65500-2021")</f>
        <v/>
      </c>
      <c r="W159">
        <f>HYPERLINK("https://klasma.github.io/Logging_2039/klagomålsmail/A 65500-2021 FSC-klagomål mail.docx", "A 65500-2021")</f>
        <v/>
      </c>
      <c r="X159">
        <f>HYPERLINK("https://klasma.github.io/Logging_2039/tillsyn/A 65500-2021 tillsynsbegäran.docx", "A 65500-2021")</f>
        <v/>
      </c>
      <c r="Y159">
        <f>HYPERLINK("https://klasma.github.io/Logging_2039/tillsynsmail/A 65500-2021 tillsynsbegäran mail.docx", "A 65500-2021")</f>
        <v/>
      </c>
    </row>
    <row r="160" ht="15" customHeight="1">
      <c r="A160" t="inlineStr">
        <is>
          <t>A 71652-2021</t>
        </is>
      </c>
      <c r="B160" s="1" t="n">
        <v>44543</v>
      </c>
      <c r="C160" s="1" t="n">
        <v>45812</v>
      </c>
      <c r="D160" t="inlineStr">
        <is>
          <t>DALARNAS LÄN</t>
        </is>
      </c>
      <c r="E160" t="inlineStr">
        <is>
          <t>ÄLVDALEN</t>
        </is>
      </c>
      <c r="G160" t="n">
        <v>4.3</v>
      </c>
      <c r="H160" t="n">
        <v>1</v>
      </c>
      <c r="I160" t="n">
        <v>0</v>
      </c>
      <c r="J160" t="n">
        <v>1</v>
      </c>
      <c r="K160" t="n">
        <v>0</v>
      </c>
      <c r="L160" t="n">
        <v>0</v>
      </c>
      <c r="M160" t="n">
        <v>0</v>
      </c>
      <c r="N160" t="n">
        <v>0</v>
      </c>
      <c r="O160" t="n">
        <v>1</v>
      </c>
      <c r="P160" t="n">
        <v>0</v>
      </c>
      <c r="Q160" t="n">
        <v>1</v>
      </c>
      <c r="R160" s="2" t="inlineStr">
        <is>
          <t>Tretåig hackspett</t>
        </is>
      </c>
      <c r="S160">
        <f>HYPERLINK("https://klasma.github.io/Logging_2039/artfynd/A 71652-2021 artfynd.xlsx", "A 71652-2021")</f>
        <v/>
      </c>
      <c r="T160">
        <f>HYPERLINK("https://klasma.github.io/Logging_2039/kartor/A 71652-2021 karta.png", "A 71652-2021")</f>
        <v/>
      </c>
      <c r="V160">
        <f>HYPERLINK("https://klasma.github.io/Logging_2039/klagomål/A 71652-2021 FSC-klagomål.docx", "A 71652-2021")</f>
        <v/>
      </c>
      <c r="W160">
        <f>HYPERLINK("https://klasma.github.io/Logging_2039/klagomålsmail/A 71652-2021 FSC-klagomål mail.docx", "A 71652-2021")</f>
        <v/>
      </c>
      <c r="X160">
        <f>HYPERLINK("https://klasma.github.io/Logging_2039/tillsyn/A 71652-2021 tillsynsbegäran.docx", "A 71652-2021")</f>
        <v/>
      </c>
      <c r="Y160">
        <f>HYPERLINK("https://klasma.github.io/Logging_2039/tillsynsmail/A 71652-2021 tillsynsbegäran mail.docx", "A 71652-2021")</f>
        <v/>
      </c>
      <c r="Z160">
        <f>HYPERLINK("https://klasma.github.io/Logging_2039/fåglar/A 71652-2021 prioriterade fågelarter.docx", "A 71652-2021")</f>
        <v/>
      </c>
    </row>
    <row r="161" ht="15" customHeight="1">
      <c r="A161" t="inlineStr">
        <is>
          <t>A 72175-2021</t>
        </is>
      </c>
      <c r="B161" s="1" t="n">
        <v>44544</v>
      </c>
      <c r="C161" s="1" t="n">
        <v>45812</v>
      </c>
      <c r="D161" t="inlineStr">
        <is>
          <t>DALARNAS LÄN</t>
        </is>
      </c>
      <c r="E161" t="inlineStr">
        <is>
          <t>ÄLVDALEN</t>
        </is>
      </c>
      <c r="F161" t="inlineStr">
        <is>
          <t>Sveaskog</t>
        </is>
      </c>
      <c r="G161" t="n">
        <v>20.3</v>
      </c>
      <c r="H161" t="n">
        <v>1</v>
      </c>
      <c r="I161" t="n">
        <v>0</v>
      </c>
      <c r="J161" t="n">
        <v>1</v>
      </c>
      <c r="K161" t="n">
        <v>0</v>
      </c>
      <c r="L161" t="n">
        <v>0</v>
      </c>
      <c r="M161" t="n">
        <v>0</v>
      </c>
      <c r="N161" t="n">
        <v>0</v>
      </c>
      <c r="O161" t="n">
        <v>1</v>
      </c>
      <c r="P161" t="n">
        <v>0</v>
      </c>
      <c r="Q161" t="n">
        <v>1</v>
      </c>
      <c r="R161" s="2" t="inlineStr">
        <is>
          <t>Varglav</t>
        </is>
      </c>
      <c r="S161">
        <f>HYPERLINK("https://klasma.github.io/Logging_2039/artfynd/A 72175-2021 artfynd.xlsx", "A 72175-2021")</f>
        <v/>
      </c>
      <c r="T161">
        <f>HYPERLINK("https://klasma.github.io/Logging_2039/kartor/A 72175-2021 karta.png", "A 72175-2021")</f>
        <v/>
      </c>
      <c r="V161">
        <f>HYPERLINK("https://klasma.github.io/Logging_2039/klagomål/A 72175-2021 FSC-klagomål.docx", "A 72175-2021")</f>
        <v/>
      </c>
      <c r="W161">
        <f>HYPERLINK("https://klasma.github.io/Logging_2039/klagomålsmail/A 72175-2021 FSC-klagomål mail.docx", "A 72175-2021")</f>
        <v/>
      </c>
      <c r="X161">
        <f>HYPERLINK("https://klasma.github.io/Logging_2039/tillsyn/A 72175-2021 tillsynsbegäran.docx", "A 72175-2021")</f>
        <v/>
      </c>
      <c r="Y161">
        <f>HYPERLINK("https://klasma.github.io/Logging_2039/tillsynsmail/A 72175-2021 tillsynsbegäran mail.docx", "A 72175-2021")</f>
        <v/>
      </c>
    </row>
    <row r="162" ht="15" customHeight="1">
      <c r="A162" t="inlineStr">
        <is>
          <t>A 32572-2022</t>
        </is>
      </c>
      <c r="B162" s="1" t="n">
        <v>44783</v>
      </c>
      <c r="C162" s="1" t="n">
        <v>45812</v>
      </c>
      <c r="D162" t="inlineStr">
        <is>
          <t>DALARNAS LÄN</t>
        </is>
      </c>
      <c r="E162" t="inlineStr">
        <is>
          <t>ÄLVDALEN</t>
        </is>
      </c>
      <c r="G162" t="n">
        <v>5.7</v>
      </c>
      <c r="H162" t="n">
        <v>1</v>
      </c>
      <c r="I162" t="n">
        <v>0</v>
      </c>
      <c r="J162" t="n">
        <v>0</v>
      </c>
      <c r="K162" t="n">
        <v>1</v>
      </c>
      <c r="L162" t="n">
        <v>0</v>
      </c>
      <c r="M162" t="n">
        <v>0</v>
      </c>
      <c r="N162" t="n">
        <v>0</v>
      </c>
      <c r="O162" t="n">
        <v>1</v>
      </c>
      <c r="P162" t="n">
        <v>1</v>
      </c>
      <c r="Q162" t="n">
        <v>1</v>
      </c>
      <c r="R162" s="2" t="inlineStr">
        <is>
          <t>Knärot</t>
        </is>
      </c>
      <c r="S162">
        <f>HYPERLINK("https://klasma.github.io/Logging_2039/artfynd/A 32572-2022 artfynd.xlsx", "A 32572-2022")</f>
        <v/>
      </c>
      <c r="T162">
        <f>HYPERLINK("https://klasma.github.io/Logging_2039/kartor/A 32572-2022 karta.png", "A 32572-2022")</f>
        <v/>
      </c>
      <c r="U162">
        <f>HYPERLINK("https://klasma.github.io/Logging_2039/knärot/A 32572-2022 karta knärot.png", "A 32572-2022")</f>
        <v/>
      </c>
      <c r="V162">
        <f>HYPERLINK("https://klasma.github.io/Logging_2039/klagomål/A 32572-2022 FSC-klagomål.docx", "A 32572-2022")</f>
        <v/>
      </c>
      <c r="W162">
        <f>HYPERLINK("https://klasma.github.io/Logging_2039/klagomålsmail/A 32572-2022 FSC-klagomål mail.docx", "A 32572-2022")</f>
        <v/>
      </c>
      <c r="X162">
        <f>HYPERLINK("https://klasma.github.io/Logging_2039/tillsyn/A 32572-2022 tillsynsbegäran.docx", "A 32572-2022")</f>
        <v/>
      </c>
      <c r="Y162">
        <f>HYPERLINK("https://klasma.github.io/Logging_2039/tillsynsmail/A 32572-2022 tillsynsbegäran mail.docx", "A 32572-2022")</f>
        <v/>
      </c>
    </row>
    <row r="163" ht="15" customHeight="1">
      <c r="A163" t="inlineStr">
        <is>
          <t>A 39419-2022</t>
        </is>
      </c>
      <c r="B163" s="1" t="n">
        <v>44818</v>
      </c>
      <c r="C163" s="1" t="n">
        <v>45812</v>
      </c>
      <c r="D163" t="inlineStr">
        <is>
          <t>DALARNAS LÄN</t>
        </is>
      </c>
      <c r="E163" t="inlineStr">
        <is>
          <t>ÄLVDALEN</t>
        </is>
      </c>
      <c r="G163" t="n">
        <v>4.3</v>
      </c>
      <c r="H163" t="n">
        <v>0</v>
      </c>
      <c r="I163" t="n">
        <v>0</v>
      </c>
      <c r="J163" t="n">
        <v>1</v>
      </c>
      <c r="K163" t="n">
        <v>0</v>
      </c>
      <c r="L163" t="n">
        <v>0</v>
      </c>
      <c r="M163" t="n">
        <v>0</v>
      </c>
      <c r="N163" t="n">
        <v>0</v>
      </c>
      <c r="O163" t="n">
        <v>1</v>
      </c>
      <c r="P163" t="n">
        <v>0</v>
      </c>
      <c r="Q163" t="n">
        <v>1</v>
      </c>
      <c r="R163" s="2" t="inlineStr">
        <is>
          <t>Lunglav</t>
        </is>
      </c>
      <c r="S163">
        <f>HYPERLINK("https://klasma.github.io/Logging_2039/artfynd/A 39419-2022 artfynd.xlsx", "A 39419-2022")</f>
        <v/>
      </c>
      <c r="T163">
        <f>HYPERLINK("https://klasma.github.io/Logging_2039/kartor/A 39419-2022 karta.png", "A 39419-2022")</f>
        <v/>
      </c>
      <c r="V163">
        <f>HYPERLINK("https://klasma.github.io/Logging_2039/klagomål/A 39419-2022 FSC-klagomål.docx", "A 39419-2022")</f>
        <v/>
      </c>
      <c r="W163">
        <f>HYPERLINK("https://klasma.github.io/Logging_2039/klagomålsmail/A 39419-2022 FSC-klagomål mail.docx", "A 39419-2022")</f>
        <v/>
      </c>
      <c r="X163">
        <f>HYPERLINK("https://klasma.github.io/Logging_2039/tillsyn/A 39419-2022 tillsynsbegäran.docx", "A 39419-2022")</f>
        <v/>
      </c>
      <c r="Y163">
        <f>HYPERLINK("https://klasma.github.io/Logging_2039/tillsynsmail/A 39419-2022 tillsynsbegäran mail.docx", "A 39419-2022")</f>
        <v/>
      </c>
    </row>
    <row r="164" ht="15" customHeight="1">
      <c r="A164" t="inlineStr">
        <is>
          <t>A 43651-2022</t>
        </is>
      </c>
      <c r="B164" s="1" t="n">
        <v>44837</v>
      </c>
      <c r="C164" s="1" t="n">
        <v>45812</v>
      </c>
      <c r="D164" t="inlineStr">
        <is>
          <t>DALARNAS LÄN</t>
        </is>
      </c>
      <c r="E164" t="inlineStr">
        <is>
          <t>ÄLVDALEN</t>
        </is>
      </c>
      <c r="F164" t="inlineStr">
        <is>
          <t>Bergvik skog väst AB</t>
        </is>
      </c>
      <c r="G164" t="n">
        <v>1.6</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43651-2022 artfynd.xlsx", "A 43651-2022")</f>
        <v/>
      </c>
      <c r="T164">
        <f>HYPERLINK("https://klasma.github.io/Logging_2039/kartor/A 43651-2022 karta.png", "A 43651-2022")</f>
        <v/>
      </c>
      <c r="V164">
        <f>HYPERLINK("https://klasma.github.io/Logging_2039/klagomål/A 43651-2022 FSC-klagomål.docx", "A 43651-2022")</f>
        <v/>
      </c>
      <c r="W164">
        <f>HYPERLINK("https://klasma.github.io/Logging_2039/klagomålsmail/A 43651-2022 FSC-klagomål mail.docx", "A 43651-2022")</f>
        <v/>
      </c>
      <c r="X164">
        <f>HYPERLINK("https://klasma.github.io/Logging_2039/tillsyn/A 43651-2022 tillsynsbegäran.docx", "A 43651-2022")</f>
        <v/>
      </c>
      <c r="Y164">
        <f>HYPERLINK("https://klasma.github.io/Logging_2039/tillsynsmail/A 43651-2022 tillsynsbegäran mail.docx", "A 43651-2022")</f>
        <v/>
      </c>
    </row>
    <row r="165" ht="15" customHeight="1">
      <c r="A165" t="inlineStr">
        <is>
          <t>A 50251-2022</t>
        </is>
      </c>
      <c r="B165" s="1" t="n">
        <v>44865</v>
      </c>
      <c r="C165" s="1" t="n">
        <v>45812</v>
      </c>
      <c r="D165" t="inlineStr">
        <is>
          <t>DALARNAS LÄN</t>
        </is>
      </c>
      <c r="E165" t="inlineStr">
        <is>
          <t>ÄLVDALEN</t>
        </is>
      </c>
      <c r="F165" t="inlineStr">
        <is>
          <t>Sveaskog</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50251-2022 artfynd.xlsx", "A 50251-2022")</f>
        <v/>
      </c>
      <c r="T165">
        <f>HYPERLINK("https://klasma.github.io/Logging_2039/kartor/A 50251-2022 karta.png", "A 50251-2022")</f>
        <v/>
      </c>
      <c r="V165">
        <f>HYPERLINK("https://klasma.github.io/Logging_2039/klagomål/A 50251-2022 FSC-klagomål.docx", "A 50251-2022")</f>
        <v/>
      </c>
      <c r="W165">
        <f>HYPERLINK("https://klasma.github.io/Logging_2039/klagomålsmail/A 50251-2022 FSC-klagomål mail.docx", "A 50251-2022")</f>
        <v/>
      </c>
      <c r="X165">
        <f>HYPERLINK("https://klasma.github.io/Logging_2039/tillsyn/A 50251-2022 tillsynsbegäran.docx", "A 50251-2022")</f>
        <v/>
      </c>
      <c r="Y165">
        <f>HYPERLINK("https://klasma.github.io/Logging_2039/tillsynsmail/A 50251-2022 tillsynsbegäran mail.docx", "A 50251-2022")</f>
        <v/>
      </c>
    </row>
    <row r="166" ht="15" customHeight="1">
      <c r="A166" t="inlineStr">
        <is>
          <t>A 50252-2022</t>
        </is>
      </c>
      <c r="B166" s="1" t="n">
        <v>44865</v>
      </c>
      <c r="C166" s="1" t="n">
        <v>45812</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51477-2022</t>
        </is>
      </c>
      <c r="B167" s="1" t="n">
        <v>44869</v>
      </c>
      <c r="C167" s="1" t="n">
        <v>45812</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55062-2022</t>
        </is>
      </c>
      <c r="B168" s="1" t="n">
        <v>44881</v>
      </c>
      <c r="C168" s="1" t="n">
        <v>45812</v>
      </c>
      <c r="D168" t="inlineStr">
        <is>
          <t>DALARNAS LÄN</t>
        </is>
      </c>
      <c r="E168" t="inlineStr">
        <is>
          <t>ÄLVDALEN</t>
        </is>
      </c>
      <c r="F168" t="inlineStr">
        <is>
          <t>Övriga statliga verk och myndigheter</t>
        </is>
      </c>
      <c r="G168" t="n">
        <v>28.1</v>
      </c>
      <c r="H168" t="n">
        <v>1</v>
      </c>
      <c r="I168" t="n">
        <v>0</v>
      </c>
      <c r="J168" t="n">
        <v>1</v>
      </c>
      <c r="K168" t="n">
        <v>0</v>
      </c>
      <c r="L168" t="n">
        <v>0</v>
      </c>
      <c r="M168" t="n">
        <v>0</v>
      </c>
      <c r="N168" t="n">
        <v>0</v>
      </c>
      <c r="O168" t="n">
        <v>1</v>
      </c>
      <c r="P168" t="n">
        <v>0</v>
      </c>
      <c r="Q168" t="n">
        <v>1</v>
      </c>
      <c r="R168" s="2" t="inlineStr">
        <is>
          <t>Utter</t>
        </is>
      </c>
      <c r="S168">
        <f>HYPERLINK("https://klasma.github.io/Logging_2039/artfynd/A 55062-2022 artfynd.xlsx", "A 55062-2022")</f>
        <v/>
      </c>
      <c r="T168">
        <f>HYPERLINK("https://klasma.github.io/Logging_2039/kartor/A 55062-2022 karta.png", "A 55062-2022")</f>
        <v/>
      </c>
      <c r="V168">
        <f>HYPERLINK("https://klasma.github.io/Logging_2039/klagomål/A 55062-2022 FSC-klagomål.docx", "A 55062-2022")</f>
        <v/>
      </c>
      <c r="W168">
        <f>HYPERLINK("https://klasma.github.io/Logging_2039/klagomålsmail/A 55062-2022 FSC-klagomål mail.docx", "A 55062-2022")</f>
        <v/>
      </c>
      <c r="X168">
        <f>HYPERLINK("https://klasma.github.io/Logging_2039/tillsyn/A 55062-2022 tillsynsbegäran.docx", "A 55062-2022")</f>
        <v/>
      </c>
      <c r="Y168">
        <f>HYPERLINK("https://klasma.github.io/Logging_2039/tillsynsmail/A 55062-2022 tillsynsbegäran mail.docx", "A 55062-2022")</f>
        <v/>
      </c>
    </row>
    <row r="169" ht="15" customHeight="1">
      <c r="A169" t="inlineStr">
        <is>
          <t>A 62665-2022</t>
        </is>
      </c>
      <c r="B169" s="1" t="n">
        <v>44917</v>
      </c>
      <c r="C169" s="1" t="n">
        <v>45812</v>
      </c>
      <c r="D169" t="inlineStr">
        <is>
          <t>DALARNAS LÄN</t>
        </is>
      </c>
      <c r="E169" t="inlineStr">
        <is>
          <t>ÄLVDALEN</t>
        </is>
      </c>
      <c r="G169" t="n">
        <v>0.6</v>
      </c>
      <c r="H169" t="n">
        <v>0</v>
      </c>
      <c r="I169" t="n">
        <v>1</v>
      </c>
      <c r="J169" t="n">
        <v>0</v>
      </c>
      <c r="K169" t="n">
        <v>0</v>
      </c>
      <c r="L169" t="n">
        <v>0</v>
      </c>
      <c r="M169" t="n">
        <v>0</v>
      </c>
      <c r="N169" t="n">
        <v>0</v>
      </c>
      <c r="O169" t="n">
        <v>0</v>
      </c>
      <c r="P169" t="n">
        <v>0</v>
      </c>
      <c r="Q169" t="n">
        <v>1</v>
      </c>
      <c r="R169" s="2" t="inlineStr">
        <is>
          <t>Luddlav</t>
        </is>
      </c>
      <c r="S169">
        <f>HYPERLINK("https://klasma.github.io/Logging_2039/artfynd/A 62665-2022 artfynd.xlsx", "A 62665-2022")</f>
        <v/>
      </c>
      <c r="T169">
        <f>HYPERLINK("https://klasma.github.io/Logging_2039/kartor/A 62665-2022 karta.png", "A 62665-2022")</f>
        <v/>
      </c>
      <c r="V169">
        <f>HYPERLINK("https://klasma.github.io/Logging_2039/klagomål/A 62665-2022 FSC-klagomål.docx", "A 62665-2022")</f>
        <v/>
      </c>
      <c r="W169">
        <f>HYPERLINK("https://klasma.github.io/Logging_2039/klagomålsmail/A 62665-2022 FSC-klagomål mail.docx", "A 62665-2022")</f>
        <v/>
      </c>
      <c r="X169">
        <f>HYPERLINK("https://klasma.github.io/Logging_2039/tillsyn/A 62665-2022 tillsynsbegäran.docx", "A 62665-2022")</f>
        <v/>
      </c>
      <c r="Y169">
        <f>HYPERLINK("https://klasma.github.io/Logging_2039/tillsynsmail/A 62665-2022 tillsynsbegäran mail.docx", "A 62665-2022")</f>
        <v/>
      </c>
    </row>
    <row r="170" ht="15" customHeight="1">
      <c r="A170" t="inlineStr">
        <is>
          <t>A 23872-2023</t>
        </is>
      </c>
      <c r="B170" s="1" t="n">
        <v>45078</v>
      </c>
      <c r="C170" s="1" t="n">
        <v>45812</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33553-2023</t>
        </is>
      </c>
      <c r="B171" s="1" t="n">
        <v>45118</v>
      </c>
      <c r="C171" s="1" t="n">
        <v>45812</v>
      </c>
      <c r="D171" t="inlineStr">
        <is>
          <t>DALARNAS LÄN</t>
        </is>
      </c>
      <c r="E171" t="inlineStr">
        <is>
          <t>ÄLVDALEN</t>
        </is>
      </c>
      <c r="G171" t="n">
        <v>1.3</v>
      </c>
      <c r="H171" t="n">
        <v>0</v>
      </c>
      <c r="I171" t="n">
        <v>0</v>
      </c>
      <c r="J171" t="n">
        <v>1</v>
      </c>
      <c r="K171" t="n">
        <v>0</v>
      </c>
      <c r="L171" t="n">
        <v>0</v>
      </c>
      <c r="M171" t="n">
        <v>0</v>
      </c>
      <c r="N171" t="n">
        <v>0</v>
      </c>
      <c r="O171" t="n">
        <v>1</v>
      </c>
      <c r="P171" t="n">
        <v>0</v>
      </c>
      <c r="Q171" t="n">
        <v>1</v>
      </c>
      <c r="R171" s="2" t="inlineStr">
        <is>
          <t>Lunglav</t>
        </is>
      </c>
      <c r="S171">
        <f>HYPERLINK("https://klasma.github.io/Logging_2039/artfynd/A 33553-2023 artfynd.xlsx", "A 33553-2023")</f>
        <v/>
      </c>
      <c r="T171">
        <f>HYPERLINK("https://klasma.github.io/Logging_2039/kartor/A 33553-2023 karta.png", "A 33553-2023")</f>
        <v/>
      </c>
      <c r="V171">
        <f>HYPERLINK("https://klasma.github.io/Logging_2039/klagomål/A 33553-2023 FSC-klagomål.docx", "A 33553-2023")</f>
        <v/>
      </c>
      <c r="W171">
        <f>HYPERLINK("https://klasma.github.io/Logging_2039/klagomålsmail/A 33553-2023 FSC-klagomål mail.docx", "A 33553-2023")</f>
        <v/>
      </c>
      <c r="X171">
        <f>HYPERLINK("https://klasma.github.io/Logging_2039/tillsyn/A 33553-2023 tillsynsbegäran.docx", "A 33553-2023")</f>
        <v/>
      </c>
      <c r="Y171">
        <f>HYPERLINK("https://klasma.github.io/Logging_2039/tillsynsmail/A 33553-2023 tillsynsbegäran mail.docx", "A 33553-2023")</f>
        <v/>
      </c>
    </row>
    <row r="172" ht="15" customHeight="1">
      <c r="A172" t="inlineStr">
        <is>
          <t>A 35185-2023</t>
        </is>
      </c>
      <c r="B172" s="1" t="n">
        <v>45145</v>
      </c>
      <c r="C172" s="1" t="n">
        <v>45812</v>
      </c>
      <c r="D172" t="inlineStr">
        <is>
          <t>DALARNAS LÄN</t>
        </is>
      </c>
      <c r="E172" t="inlineStr">
        <is>
          <t>ÄLVDALEN</t>
        </is>
      </c>
      <c r="F172" t="inlineStr">
        <is>
          <t>Sveaskog</t>
        </is>
      </c>
      <c r="G172" t="n">
        <v>1.4</v>
      </c>
      <c r="H172" t="n">
        <v>0</v>
      </c>
      <c r="I172" t="n">
        <v>0</v>
      </c>
      <c r="J172" t="n">
        <v>1</v>
      </c>
      <c r="K172" t="n">
        <v>0</v>
      </c>
      <c r="L172" t="n">
        <v>0</v>
      </c>
      <c r="M172" t="n">
        <v>0</v>
      </c>
      <c r="N172" t="n">
        <v>0</v>
      </c>
      <c r="O172" t="n">
        <v>1</v>
      </c>
      <c r="P172" t="n">
        <v>0</v>
      </c>
      <c r="Q172" t="n">
        <v>1</v>
      </c>
      <c r="R172" s="2" t="inlineStr">
        <is>
          <t>Kolflarnlav</t>
        </is>
      </c>
      <c r="S172">
        <f>HYPERLINK("https://klasma.github.io/Logging_2039/artfynd/A 35185-2023 artfynd.xlsx", "A 35185-2023")</f>
        <v/>
      </c>
      <c r="T172">
        <f>HYPERLINK("https://klasma.github.io/Logging_2039/kartor/A 35185-2023 karta.png", "A 35185-2023")</f>
        <v/>
      </c>
      <c r="V172">
        <f>HYPERLINK("https://klasma.github.io/Logging_2039/klagomål/A 35185-2023 FSC-klagomål.docx", "A 35185-2023")</f>
        <v/>
      </c>
      <c r="W172">
        <f>HYPERLINK("https://klasma.github.io/Logging_2039/klagomålsmail/A 35185-2023 FSC-klagomål mail.docx", "A 35185-2023")</f>
        <v/>
      </c>
      <c r="X172">
        <f>HYPERLINK("https://klasma.github.io/Logging_2039/tillsyn/A 35185-2023 tillsynsbegäran.docx", "A 35185-2023")</f>
        <v/>
      </c>
      <c r="Y172">
        <f>HYPERLINK("https://klasma.github.io/Logging_2039/tillsynsmail/A 35185-2023 tillsynsbegäran mail.docx", "A 35185-2023")</f>
        <v/>
      </c>
    </row>
    <row r="173" ht="15" customHeight="1">
      <c r="A173" t="inlineStr">
        <is>
          <t>A 43473-2023</t>
        </is>
      </c>
      <c r="B173" s="1" t="n">
        <v>45184</v>
      </c>
      <c r="C173" s="1" t="n">
        <v>45812</v>
      </c>
      <c r="D173" t="inlineStr">
        <is>
          <t>DALARNAS LÄN</t>
        </is>
      </c>
      <c r="E173" t="inlineStr">
        <is>
          <t>ÄLVDALEN</t>
        </is>
      </c>
      <c r="G173" t="n">
        <v>33.5</v>
      </c>
      <c r="H173" t="n">
        <v>0</v>
      </c>
      <c r="I173" t="n">
        <v>0</v>
      </c>
      <c r="J173" t="n">
        <v>1</v>
      </c>
      <c r="K173" t="n">
        <v>0</v>
      </c>
      <c r="L173" t="n">
        <v>0</v>
      </c>
      <c r="M173" t="n">
        <v>0</v>
      </c>
      <c r="N173" t="n">
        <v>0</v>
      </c>
      <c r="O173" t="n">
        <v>1</v>
      </c>
      <c r="P173" t="n">
        <v>0</v>
      </c>
      <c r="Q173" t="n">
        <v>1</v>
      </c>
      <c r="R173" s="2" t="inlineStr">
        <is>
          <t>Vedflamlav</t>
        </is>
      </c>
      <c r="S173">
        <f>HYPERLINK("https://klasma.github.io/Logging_2039/artfynd/A 43473-2023 artfynd.xlsx", "A 43473-2023")</f>
        <v/>
      </c>
      <c r="T173">
        <f>HYPERLINK("https://klasma.github.io/Logging_2039/kartor/A 43473-2023 karta.png", "A 43473-2023")</f>
        <v/>
      </c>
      <c r="V173">
        <f>HYPERLINK("https://klasma.github.io/Logging_2039/klagomål/A 43473-2023 FSC-klagomål.docx", "A 43473-2023")</f>
        <v/>
      </c>
      <c r="W173">
        <f>HYPERLINK("https://klasma.github.io/Logging_2039/klagomålsmail/A 43473-2023 FSC-klagomål mail.docx", "A 43473-2023")</f>
        <v/>
      </c>
      <c r="X173">
        <f>HYPERLINK("https://klasma.github.io/Logging_2039/tillsyn/A 43473-2023 tillsynsbegäran.docx", "A 43473-2023")</f>
        <v/>
      </c>
      <c r="Y173">
        <f>HYPERLINK("https://klasma.github.io/Logging_2039/tillsynsmail/A 43473-2023 tillsynsbegäran mail.docx", "A 43473-2023")</f>
        <v/>
      </c>
    </row>
    <row r="174" ht="15" customHeight="1">
      <c r="A174" t="inlineStr">
        <is>
          <t>A 53966-2023</t>
        </is>
      </c>
      <c r="B174" s="1" t="n">
        <v>45231</v>
      </c>
      <c r="C174" s="1" t="n">
        <v>45812</v>
      </c>
      <c r="D174" t="inlineStr">
        <is>
          <t>DALARNAS LÄN</t>
        </is>
      </c>
      <c r="E174" t="inlineStr">
        <is>
          <t>ÄLVDALEN</t>
        </is>
      </c>
      <c r="F174" t="inlineStr">
        <is>
          <t>Bergvik skog öst AB</t>
        </is>
      </c>
      <c r="G174" t="n">
        <v>14.7</v>
      </c>
      <c r="H174" t="n">
        <v>1</v>
      </c>
      <c r="I174" t="n">
        <v>0</v>
      </c>
      <c r="J174" t="n">
        <v>0</v>
      </c>
      <c r="K174" t="n">
        <v>1</v>
      </c>
      <c r="L174" t="n">
        <v>0</v>
      </c>
      <c r="M174" t="n">
        <v>0</v>
      </c>
      <c r="N174" t="n">
        <v>0</v>
      </c>
      <c r="O174" t="n">
        <v>1</v>
      </c>
      <c r="P174" t="n">
        <v>1</v>
      </c>
      <c r="Q174" t="n">
        <v>1</v>
      </c>
      <c r="R174" s="2" t="inlineStr">
        <is>
          <t>Lappuggla</t>
        </is>
      </c>
      <c r="S174">
        <f>HYPERLINK("https://klasma.github.io/Logging_2039/artfynd/A 53966-2023 artfynd.xlsx", "A 53966-2023")</f>
        <v/>
      </c>
      <c r="T174">
        <f>HYPERLINK("https://klasma.github.io/Logging_2039/kartor/A 53966-2023 karta.png", "A 53966-2023")</f>
        <v/>
      </c>
      <c r="V174">
        <f>HYPERLINK("https://klasma.github.io/Logging_2039/klagomål/A 53966-2023 FSC-klagomål.docx", "A 53966-2023")</f>
        <v/>
      </c>
      <c r="W174">
        <f>HYPERLINK("https://klasma.github.io/Logging_2039/klagomålsmail/A 53966-2023 FSC-klagomål mail.docx", "A 53966-2023")</f>
        <v/>
      </c>
      <c r="X174">
        <f>HYPERLINK("https://klasma.github.io/Logging_2039/tillsyn/A 53966-2023 tillsynsbegäran.docx", "A 53966-2023")</f>
        <v/>
      </c>
      <c r="Y174">
        <f>HYPERLINK("https://klasma.github.io/Logging_2039/tillsynsmail/A 53966-2023 tillsynsbegäran mail.docx", "A 53966-2023")</f>
        <v/>
      </c>
      <c r="Z174">
        <f>HYPERLINK("https://klasma.github.io/Logging_2039/fåglar/A 53966-2023 prioriterade fågelarter.docx", "A 53966-2023")</f>
        <v/>
      </c>
    </row>
    <row r="175" ht="15" customHeight="1">
      <c r="A175" t="inlineStr">
        <is>
          <t>A 9094-2024</t>
        </is>
      </c>
      <c r="B175" s="1" t="n">
        <v>45357</v>
      </c>
      <c r="C175" s="1" t="n">
        <v>45812</v>
      </c>
      <c r="D175" t="inlineStr">
        <is>
          <t>DALARNAS LÄN</t>
        </is>
      </c>
      <c r="E175" t="inlineStr">
        <is>
          <t>ÄLVDALEN</t>
        </is>
      </c>
      <c r="G175" t="n">
        <v>4.6</v>
      </c>
      <c r="H175" t="n">
        <v>0</v>
      </c>
      <c r="I175" t="n">
        <v>0</v>
      </c>
      <c r="J175" t="n">
        <v>1</v>
      </c>
      <c r="K175" t="n">
        <v>0</v>
      </c>
      <c r="L175" t="n">
        <v>0</v>
      </c>
      <c r="M175" t="n">
        <v>0</v>
      </c>
      <c r="N175" t="n">
        <v>0</v>
      </c>
      <c r="O175" t="n">
        <v>1</v>
      </c>
      <c r="P175" t="n">
        <v>0</v>
      </c>
      <c r="Q175" t="n">
        <v>1</v>
      </c>
      <c r="R175" s="2" t="inlineStr">
        <is>
          <t>Nordtagging</t>
        </is>
      </c>
      <c r="S175">
        <f>HYPERLINK("https://klasma.github.io/Logging_2039/artfynd/A 9094-2024 artfynd.xlsx", "A 9094-2024")</f>
        <v/>
      </c>
      <c r="T175">
        <f>HYPERLINK("https://klasma.github.io/Logging_2039/kartor/A 9094-2024 karta.png", "A 9094-2024")</f>
        <v/>
      </c>
      <c r="V175">
        <f>HYPERLINK("https://klasma.github.io/Logging_2039/klagomål/A 9094-2024 FSC-klagomål.docx", "A 9094-2024")</f>
        <v/>
      </c>
      <c r="W175">
        <f>HYPERLINK("https://klasma.github.io/Logging_2039/klagomålsmail/A 9094-2024 FSC-klagomål mail.docx", "A 9094-2024")</f>
        <v/>
      </c>
      <c r="X175">
        <f>HYPERLINK("https://klasma.github.io/Logging_2039/tillsyn/A 9094-2024 tillsynsbegäran.docx", "A 9094-2024")</f>
        <v/>
      </c>
      <c r="Y175">
        <f>HYPERLINK("https://klasma.github.io/Logging_2039/tillsynsmail/A 9094-2024 tillsynsbegäran mail.docx", "A 9094-2024")</f>
        <v/>
      </c>
    </row>
    <row r="176" ht="15" customHeight="1">
      <c r="A176" t="inlineStr">
        <is>
          <t>A 14277-2024</t>
        </is>
      </c>
      <c r="B176" s="1" t="n">
        <v>45393</v>
      </c>
      <c r="C176" s="1" t="n">
        <v>45812</v>
      </c>
      <c r="D176" t="inlineStr">
        <is>
          <t>DALARNAS LÄN</t>
        </is>
      </c>
      <c r="E176" t="inlineStr">
        <is>
          <t>ÄLVDALEN</t>
        </is>
      </c>
      <c r="F176" t="inlineStr">
        <is>
          <t>Allmännings- och besparingsskogar</t>
        </is>
      </c>
      <c r="G176" t="n">
        <v>2.8</v>
      </c>
      <c r="H176" t="n">
        <v>1</v>
      </c>
      <c r="I176" t="n">
        <v>0</v>
      </c>
      <c r="J176" t="n">
        <v>1</v>
      </c>
      <c r="K176" t="n">
        <v>0</v>
      </c>
      <c r="L176" t="n">
        <v>0</v>
      </c>
      <c r="M176" t="n">
        <v>0</v>
      </c>
      <c r="N176" t="n">
        <v>0</v>
      </c>
      <c r="O176" t="n">
        <v>1</v>
      </c>
      <c r="P176" t="n">
        <v>0</v>
      </c>
      <c r="Q176" t="n">
        <v>1</v>
      </c>
      <c r="R176" s="2" t="inlineStr">
        <is>
          <t>Talltita</t>
        </is>
      </c>
      <c r="S176">
        <f>HYPERLINK("https://klasma.github.io/Logging_2039/artfynd/A 14277-2024 artfynd.xlsx", "A 14277-2024")</f>
        <v/>
      </c>
      <c r="T176">
        <f>HYPERLINK("https://klasma.github.io/Logging_2039/kartor/A 14277-2024 karta.png", "A 14277-2024")</f>
        <v/>
      </c>
      <c r="V176">
        <f>HYPERLINK("https://klasma.github.io/Logging_2039/klagomål/A 14277-2024 FSC-klagomål.docx", "A 14277-2024")</f>
        <v/>
      </c>
      <c r="W176">
        <f>HYPERLINK("https://klasma.github.io/Logging_2039/klagomålsmail/A 14277-2024 FSC-klagomål mail.docx", "A 14277-2024")</f>
        <v/>
      </c>
      <c r="X176">
        <f>HYPERLINK("https://klasma.github.io/Logging_2039/tillsyn/A 14277-2024 tillsynsbegäran.docx", "A 14277-2024")</f>
        <v/>
      </c>
      <c r="Y176">
        <f>HYPERLINK("https://klasma.github.io/Logging_2039/tillsynsmail/A 14277-2024 tillsynsbegäran mail.docx", "A 14277-2024")</f>
        <v/>
      </c>
      <c r="Z176">
        <f>HYPERLINK("https://klasma.github.io/Logging_2039/fåglar/A 14277-2024 prioriterade fågelarter.docx", "A 14277-2024")</f>
        <v/>
      </c>
    </row>
    <row r="177" ht="15" customHeight="1">
      <c r="A177" t="inlineStr">
        <is>
          <t>A 17784-2024</t>
        </is>
      </c>
      <c r="B177" s="1" t="n">
        <v>45415</v>
      </c>
      <c r="C177" s="1" t="n">
        <v>45812</v>
      </c>
      <c r="D177" t="inlineStr">
        <is>
          <t>DALARNAS LÄN</t>
        </is>
      </c>
      <c r="E177" t="inlineStr">
        <is>
          <t>ÄLVDALEN</t>
        </is>
      </c>
      <c r="F177" t="inlineStr">
        <is>
          <t>Övriga statliga verk och myndigheter</t>
        </is>
      </c>
      <c r="G177" t="n">
        <v>20.4</v>
      </c>
      <c r="H177" t="n">
        <v>1</v>
      </c>
      <c r="I177" t="n">
        <v>1</v>
      </c>
      <c r="J177" t="n">
        <v>0</v>
      </c>
      <c r="K177" t="n">
        <v>0</v>
      </c>
      <c r="L177" t="n">
        <v>0</v>
      </c>
      <c r="M177" t="n">
        <v>0</v>
      </c>
      <c r="N177" t="n">
        <v>0</v>
      </c>
      <c r="O177" t="n">
        <v>0</v>
      </c>
      <c r="P177" t="n">
        <v>0</v>
      </c>
      <c r="Q177" t="n">
        <v>1</v>
      </c>
      <c r="R177" s="2" t="inlineStr">
        <is>
          <t>Plattlummer</t>
        </is>
      </c>
      <c r="S177">
        <f>HYPERLINK("https://klasma.github.io/Logging_2039/artfynd/A 17784-2024 artfynd.xlsx", "A 17784-2024")</f>
        <v/>
      </c>
      <c r="T177">
        <f>HYPERLINK("https://klasma.github.io/Logging_2039/kartor/A 17784-2024 karta.png", "A 17784-2024")</f>
        <v/>
      </c>
      <c r="V177">
        <f>HYPERLINK("https://klasma.github.io/Logging_2039/klagomål/A 17784-2024 FSC-klagomål.docx", "A 17784-2024")</f>
        <v/>
      </c>
      <c r="W177">
        <f>HYPERLINK("https://klasma.github.io/Logging_2039/klagomålsmail/A 17784-2024 FSC-klagomål mail.docx", "A 17784-2024")</f>
        <v/>
      </c>
      <c r="X177">
        <f>HYPERLINK("https://klasma.github.io/Logging_2039/tillsyn/A 17784-2024 tillsynsbegäran.docx", "A 17784-2024")</f>
        <v/>
      </c>
      <c r="Y177">
        <f>HYPERLINK("https://klasma.github.io/Logging_2039/tillsynsmail/A 17784-2024 tillsynsbegäran mail.docx", "A 17784-2024")</f>
        <v/>
      </c>
    </row>
    <row r="178" ht="15" customHeight="1">
      <c r="A178" t="inlineStr">
        <is>
          <t>A 19614-2024</t>
        </is>
      </c>
      <c r="B178" s="1" t="n">
        <v>45432</v>
      </c>
      <c r="C178" s="1" t="n">
        <v>45812</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21658-2024</t>
        </is>
      </c>
      <c r="B179" s="1" t="n">
        <v>45442</v>
      </c>
      <c r="C179" s="1" t="n">
        <v>45812</v>
      </c>
      <c r="D179" t="inlineStr">
        <is>
          <t>DALARNAS LÄN</t>
        </is>
      </c>
      <c r="E179" t="inlineStr">
        <is>
          <t>ÄLVDALEN</t>
        </is>
      </c>
      <c r="F179" t="inlineStr">
        <is>
          <t>Sveaskog</t>
        </is>
      </c>
      <c r="G179" t="n">
        <v>4.2</v>
      </c>
      <c r="H179" t="n">
        <v>1</v>
      </c>
      <c r="I179" t="n">
        <v>0</v>
      </c>
      <c r="J179" t="n">
        <v>1</v>
      </c>
      <c r="K179" t="n">
        <v>0</v>
      </c>
      <c r="L179" t="n">
        <v>0</v>
      </c>
      <c r="M179" t="n">
        <v>0</v>
      </c>
      <c r="N179" t="n">
        <v>0</v>
      </c>
      <c r="O179" t="n">
        <v>1</v>
      </c>
      <c r="P179" t="n">
        <v>0</v>
      </c>
      <c r="Q179" t="n">
        <v>1</v>
      </c>
      <c r="R179" s="2" t="inlineStr">
        <is>
          <t>Varglav</t>
        </is>
      </c>
      <c r="S179">
        <f>HYPERLINK("https://klasma.github.io/Logging_2039/artfynd/A 21658-2024 artfynd.xlsx", "A 21658-2024")</f>
        <v/>
      </c>
      <c r="T179">
        <f>HYPERLINK("https://klasma.github.io/Logging_2039/kartor/A 21658-2024 karta.png", "A 21658-2024")</f>
        <v/>
      </c>
      <c r="V179">
        <f>HYPERLINK("https://klasma.github.io/Logging_2039/klagomål/A 21658-2024 FSC-klagomål.docx", "A 21658-2024")</f>
        <v/>
      </c>
      <c r="W179">
        <f>HYPERLINK("https://klasma.github.io/Logging_2039/klagomålsmail/A 21658-2024 FSC-klagomål mail.docx", "A 21658-2024")</f>
        <v/>
      </c>
      <c r="X179">
        <f>HYPERLINK("https://klasma.github.io/Logging_2039/tillsyn/A 21658-2024 tillsynsbegäran.docx", "A 21658-2024")</f>
        <v/>
      </c>
      <c r="Y179">
        <f>HYPERLINK("https://klasma.github.io/Logging_2039/tillsynsmail/A 21658-2024 tillsynsbegäran mail.docx", "A 21658-2024")</f>
        <v/>
      </c>
    </row>
    <row r="180" ht="15" customHeight="1">
      <c r="A180" t="inlineStr">
        <is>
          <t>A 30691-2024</t>
        </is>
      </c>
      <c r="B180" s="1" t="n">
        <v>45496</v>
      </c>
      <c r="C180" s="1" t="n">
        <v>45812</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31145-2024</t>
        </is>
      </c>
      <c r="B181" s="1" t="n">
        <v>45502</v>
      </c>
      <c r="C181" s="1" t="n">
        <v>45812</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31771-2024</t>
        </is>
      </c>
      <c r="B182" s="1" t="n">
        <v>45509</v>
      </c>
      <c r="C182" s="1" t="n">
        <v>45812</v>
      </c>
      <c r="D182" t="inlineStr">
        <is>
          <t>DALARNAS LÄN</t>
        </is>
      </c>
      <c r="E182" t="inlineStr">
        <is>
          <t>ÄLVDALEN</t>
        </is>
      </c>
      <c r="F182" t="inlineStr">
        <is>
          <t>Allmännings- och besparingsskogar</t>
        </is>
      </c>
      <c r="G182" t="n">
        <v>17.8</v>
      </c>
      <c r="H182" t="n">
        <v>1</v>
      </c>
      <c r="I182" t="n">
        <v>0</v>
      </c>
      <c r="J182" t="n">
        <v>0</v>
      </c>
      <c r="K182" t="n">
        <v>0</v>
      </c>
      <c r="L182" t="n">
        <v>1</v>
      </c>
      <c r="M182" t="n">
        <v>0</v>
      </c>
      <c r="N182" t="n">
        <v>0</v>
      </c>
      <c r="O182" t="n">
        <v>1</v>
      </c>
      <c r="P182" t="n">
        <v>1</v>
      </c>
      <c r="Q182" t="n">
        <v>1</v>
      </c>
      <c r="R182" s="2" t="inlineStr">
        <is>
          <t>Mosippa</t>
        </is>
      </c>
      <c r="S182">
        <f>HYPERLINK("https://klasma.github.io/Logging_2039/artfynd/A 31771-2024 artfynd.xlsx", "A 31771-2024")</f>
        <v/>
      </c>
      <c r="T182">
        <f>HYPERLINK("https://klasma.github.io/Logging_2039/kartor/A 31771-2024 karta.png", "A 31771-2024")</f>
        <v/>
      </c>
      <c r="V182">
        <f>HYPERLINK("https://klasma.github.io/Logging_2039/klagomål/A 31771-2024 FSC-klagomål.docx", "A 31771-2024")</f>
        <v/>
      </c>
      <c r="W182">
        <f>HYPERLINK("https://klasma.github.io/Logging_2039/klagomålsmail/A 31771-2024 FSC-klagomål mail.docx", "A 31771-2024")</f>
        <v/>
      </c>
      <c r="X182">
        <f>HYPERLINK("https://klasma.github.io/Logging_2039/tillsyn/A 31771-2024 tillsynsbegäran.docx", "A 31771-2024")</f>
        <v/>
      </c>
      <c r="Y182">
        <f>HYPERLINK("https://klasma.github.io/Logging_2039/tillsynsmail/A 31771-2024 tillsynsbegäran mail.docx", "A 31771-2024")</f>
        <v/>
      </c>
    </row>
    <row r="183" ht="15" customHeight="1">
      <c r="A183" t="inlineStr">
        <is>
          <t>A 32199-2024</t>
        </is>
      </c>
      <c r="B183" s="1" t="n">
        <v>45511</v>
      </c>
      <c r="C183" s="1" t="n">
        <v>45812</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45202-2024</t>
        </is>
      </c>
      <c r="B184" s="1" t="n">
        <v>45575</v>
      </c>
      <c r="C184" s="1" t="n">
        <v>45812</v>
      </c>
      <c r="D184" t="inlineStr">
        <is>
          <t>DALARNAS LÄN</t>
        </is>
      </c>
      <c r="E184" t="inlineStr">
        <is>
          <t>ÄLVDALEN</t>
        </is>
      </c>
      <c r="G184" t="n">
        <v>184.5</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45201-2024</t>
        </is>
      </c>
      <c r="B185" s="1" t="n">
        <v>45575</v>
      </c>
      <c r="C185" s="1" t="n">
        <v>45812</v>
      </c>
      <c r="D185" t="inlineStr">
        <is>
          <t>DALARNAS LÄN</t>
        </is>
      </c>
      <c r="E185" t="inlineStr">
        <is>
          <t>ÄLVDALEN</t>
        </is>
      </c>
      <c r="G185" t="n">
        <v>24.6</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50981-2024</t>
        </is>
      </c>
      <c r="B186" s="1" t="n">
        <v>45603</v>
      </c>
      <c r="C186" s="1" t="n">
        <v>45812</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662-2025</t>
        </is>
      </c>
      <c r="B187" s="1" t="n">
        <v>45664</v>
      </c>
      <c r="C187" s="1" t="n">
        <v>45812</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19338-2025</t>
        </is>
      </c>
      <c r="B188" s="1" t="n">
        <v>45769</v>
      </c>
      <c r="C188" s="1" t="n">
        <v>45812</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19338-2025 artfynd.xlsx", "A 19338-2025")</f>
        <v/>
      </c>
      <c r="T188">
        <f>HYPERLINK("https://klasma.github.io/Logging_202039/kartor/A 19338-2025 karta.png", "A 19338-2025")</f>
        <v/>
      </c>
      <c r="V188">
        <f>HYPERLINK("https://klasma.github.io/Logging_202039/klagomål/A 19338-2025 FSC-klagomål.docx", "A 19338-2025")</f>
        <v/>
      </c>
      <c r="W188">
        <f>HYPERLINK("https://klasma.github.io/Logging_202039/klagomålsmail/A 19338-2025 FSC-klagomål mail.docx", "A 19338-2025")</f>
        <v/>
      </c>
      <c r="X188">
        <f>HYPERLINK("https://klasma.github.io/Logging_202039/tillsyn/A 19338-2025 tillsynsbegäran.docx", "A 19338-2025")</f>
        <v/>
      </c>
      <c r="Y188">
        <f>HYPERLINK("https://klasma.github.io/Logging_202039/tillsynsmail/A 19338-2025 tillsynsbegäran mail.docx", "A 19338-2025")</f>
        <v/>
      </c>
    </row>
    <row r="189" ht="15" customHeight="1">
      <c r="A189" t="inlineStr">
        <is>
          <t>A 19443-2025</t>
        </is>
      </c>
      <c r="B189" s="1" t="n">
        <v>45770</v>
      </c>
      <c r="C189" s="1" t="n">
        <v>45812</v>
      </c>
      <c r="D189" t="inlineStr">
        <is>
          <t>DALARNAS LÄN</t>
        </is>
      </c>
      <c r="E189" t="inlineStr">
        <is>
          <t>ÄLVDALEN</t>
        </is>
      </c>
      <c r="F189" t="inlineStr">
        <is>
          <t>Sveaskog</t>
        </is>
      </c>
      <c r="G189" t="n">
        <v>5.5</v>
      </c>
      <c r="H189" t="n">
        <v>1</v>
      </c>
      <c r="I189" t="n">
        <v>0</v>
      </c>
      <c r="J189" t="n">
        <v>1</v>
      </c>
      <c r="K189" t="n">
        <v>0</v>
      </c>
      <c r="L189" t="n">
        <v>0</v>
      </c>
      <c r="M189" t="n">
        <v>0</v>
      </c>
      <c r="N189" t="n">
        <v>0</v>
      </c>
      <c r="O189" t="n">
        <v>1</v>
      </c>
      <c r="P189" t="n">
        <v>0</v>
      </c>
      <c r="Q189" t="n">
        <v>1</v>
      </c>
      <c r="R189" s="2" t="inlineStr">
        <is>
          <t>Varglav</t>
        </is>
      </c>
      <c r="S189">
        <f>HYPERLINK("https://klasma.github.io/Logging_202039/artfynd/A 19443-2025 artfynd.xlsx", "A 19443-2025")</f>
        <v/>
      </c>
      <c r="T189">
        <f>HYPERLINK("https://klasma.github.io/Logging_202039/kartor/A 19443-2025 karta.png", "A 19443-2025")</f>
        <v/>
      </c>
      <c r="V189">
        <f>HYPERLINK("https://klasma.github.io/Logging_202039/klagomål/A 19443-2025 FSC-klagomål.docx", "A 19443-2025")</f>
        <v/>
      </c>
      <c r="W189">
        <f>HYPERLINK("https://klasma.github.io/Logging_202039/klagomålsmail/A 19443-2025 FSC-klagomål mail.docx", "A 19443-2025")</f>
        <v/>
      </c>
      <c r="X189">
        <f>HYPERLINK("https://klasma.github.io/Logging_202039/tillsyn/A 19443-2025 tillsynsbegäran.docx", "A 19443-2025")</f>
        <v/>
      </c>
      <c r="Y189">
        <f>HYPERLINK("https://klasma.github.io/Logging_202039/tillsynsmail/A 19443-2025 tillsynsbegäran mail.docx", "A 19443-2025")</f>
        <v/>
      </c>
    </row>
    <row r="190" ht="15" customHeight="1">
      <c r="A190" t="inlineStr">
        <is>
          <t>A 17751-2019</t>
        </is>
      </c>
      <c r="B190" s="1" t="n">
        <v>43556</v>
      </c>
      <c r="C190" s="1" t="n">
        <v>45812</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17741-2019</t>
        </is>
      </c>
      <c r="B191" s="1" t="n">
        <v>43556</v>
      </c>
      <c r="C191" s="1" t="n">
        <v>45812</v>
      </c>
      <c r="D191" t="inlineStr">
        <is>
          <t>DALARNAS LÄN</t>
        </is>
      </c>
      <c r="E191" t="inlineStr">
        <is>
          <t>ÄLVDALEN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20104-2019</t>
        </is>
      </c>
      <c r="B192" s="1" t="n">
        <v>43570</v>
      </c>
      <c r="C192" s="1" t="n">
        <v>45812</v>
      </c>
      <c r="D192" t="inlineStr">
        <is>
          <t>DALARNAS LÄN</t>
        </is>
      </c>
      <c r="E192" t="inlineStr">
        <is>
          <t>ÄLVDALEN</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20004-2019</t>
        </is>
      </c>
      <c r="B193" s="1" t="n">
        <v>43570</v>
      </c>
      <c r="C193" s="1" t="n">
        <v>45812</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20948-2019</t>
        </is>
      </c>
      <c r="B194" s="1" t="n">
        <v>43578</v>
      </c>
      <c r="C194" s="1" t="n">
        <v>45812</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20962-2019</t>
        </is>
      </c>
      <c r="B195" s="1" t="n">
        <v>43578</v>
      </c>
      <c r="C195" s="1" t="n">
        <v>45812</v>
      </c>
      <c r="D195" t="inlineStr">
        <is>
          <t>DALARNAS LÄN</t>
        </is>
      </c>
      <c r="E195" t="inlineStr">
        <is>
          <t>ÄLVDALEN</t>
        </is>
      </c>
      <c r="G195" t="n">
        <v>1.4</v>
      </c>
      <c r="H195" t="n">
        <v>0</v>
      </c>
      <c r="I195" t="n">
        <v>0</v>
      </c>
      <c r="J195" t="n">
        <v>0</v>
      </c>
      <c r="K195" t="n">
        <v>0</v>
      </c>
      <c r="L195" t="n">
        <v>0</v>
      </c>
      <c r="M195" t="n">
        <v>0</v>
      </c>
      <c r="N195" t="n">
        <v>0</v>
      </c>
      <c r="O195" t="n">
        <v>0</v>
      </c>
      <c r="P195" t="n">
        <v>0</v>
      </c>
      <c r="Q195" t="n">
        <v>0</v>
      </c>
      <c r="R195" s="2" t="inlineStr"/>
    </row>
    <row r="196" ht="15" customHeight="1">
      <c r="A196" t="inlineStr">
        <is>
          <t>A 21717-2019</t>
        </is>
      </c>
      <c r="B196" s="1" t="n">
        <v>43581</v>
      </c>
      <c r="C196" s="1" t="n">
        <v>45812</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21969-2019</t>
        </is>
      </c>
      <c r="B197" s="1" t="n">
        <v>43584</v>
      </c>
      <c r="C197" s="1" t="n">
        <v>45812</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23360-2019</t>
        </is>
      </c>
      <c r="B198" s="1" t="n">
        <v>43593</v>
      </c>
      <c r="C198" s="1" t="n">
        <v>45812</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23946-2019</t>
        </is>
      </c>
      <c r="B199" s="1" t="n">
        <v>43596</v>
      </c>
      <c r="C199" s="1" t="n">
        <v>45812</v>
      </c>
      <c r="D199" t="inlineStr">
        <is>
          <t>DALARNAS LÄN</t>
        </is>
      </c>
      <c r="E199" t="inlineStr">
        <is>
          <t>ÄLVDALEN</t>
        </is>
      </c>
      <c r="G199" t="n">
        <v>3.6</v>
      </c>
      <c r="H199" t="n">
        <v>0</v>
      </c>
      <c r="I199" t="n">
        <v>0</v>
      </c>
      <c r="J199" t="n">
        <v>0</v>
      </c>
      <c r="K199" t="n">
        <v>0</v>
      </c>
      <c r="L199" t="n">
        <v>0</v>
      </c>
      <c r="M199" t="n">
        <v>0</v>
      </c>
      <c r="N199" t="n">
        <v>0</v>
      </c>
      <c r="O199" t="n">
        <v>0</v>
      </c>
      <c r="P199" t="n">
        <v>0</v>
      </c>
      <c r="Q199" t="n">
        <v>0</v>
      </c>
      <c r="R199" s="2" t="inlineStr"/>
    </row>
    <row r="200" ht="15" customHeight="1">
      <c r="A200" t="inlineStr">
        <is>
          <t>A 24651-2019</t>
        </is>
      </c>
      <c r="B200" s="1" t="n">
        <v>43601</v>
      </c>
      <c r="C200" s="1" t="n">
        <v>45812</v>
      </c>
      <c r="D200" t="inlineStr">
        <is>
          <t>DALARNAS LÄN</t>
        </is>
      </c>
      <c r="E200" t="inlineStr">
        <is>
          <t>ÄLVDALEN</t>
        </is>
      </c>
      <c r="G200" t="n">
        <v>10.1</v>
      </c>
      <c r="H200" t="n">
        <v>0</v>
      </c>
      <c r="I200" t="n">
        <v>0</v>
      </c>
      <c r="J200" t="n">
        <v>0</v>
      </c>
      <c r="K200" t="n">
        <v>0</v>
      </c>
      <c r="L200" t="n">
        <v>0</v>
      </c>
      <c r="M200" t="n">
        <v>0</v>
      </c>
      <c r="N200" t="n">
        <v>0</v>
      </c>
      <c r="O200" t="n">
        <v>0</v>
      </c>
      <c r="P200" t="n">
        <v>0</v>
      </c>
      <c r="Q200" t="n">
        <v>0</v>
      </c>
      <c r="R200" s="2" t="inlineStr"/>
    </row>
    <row r="201" ht="15" customHeight="1">
      <c r="A201" t="inlineStr">
        <is>
          <t>A 25001-2019</t>
        </is>
      </c>
      <c r="B201" s="1" t="n">
        <v>43602</v>
      </c>
      <c r="C201" s="1" t="n">
        <v>45812</v>
      </c>
      <c r="D201" t="inlineStr">
        <is>
          <t>DALARNAS LÄN</t>
        </is>
      </c>
      <c r="E201" t="inlineStr">
        <is>
          <t>ÄLVDALEN</t>
        </is>
      </c>
      <c r="F201" t="inlineStr">
        <is>
          <t>Kommuner</t>
        </is>
      </c>
      <c r="G201" t="n">
        <v>4.8</v>
      </c>
      <c r="H201" t="n">
        <v>0</v>
      </c>
      <c r="I201" t="n">
        <v>0</v>
      </c>
      <c r="J201" t="n">
        <v>0</v>
      </c>
      <c r="K201" t="n">
        <v>0</v>
      </c>
      <c r="L201" t="n">
        <v>0</v>
      </c>
      <c r="M201" t="n">
        <v>0</v>
      </c>
      <c r="N201" t="n">
        <v>0</v>
      </c>
      <c r="O201" t="n">
        <v>0</v>
      </c>
      <c r="P201" t="n">
        <v>0</v>
      </c>
      <c r="Q201" t="n">
        <v>0</v>
      </c>
      <c r="R201" s="2" t="inlineStr"/>
    </row>
    <row r="202" ht="15" customHeight="1">
      <c r="A202" t="inlineStr">
        <is>
          <t>A 26164-2019</t>
        </is>
      </c>
      <c r="B202" s="1" t="n">
        <v>43609</v>
      </c>
      <c r="C202" s="1" t="n">
        <v>45812</v>
      </c>
      <c r="D202" t="inlineStr">
        <is>
          <t>DALARNAS LÄN</t>
        </is>
      </c>
      <c r="E202" t="inlineStr">
        <is>
          <t>ÄLVDALEN</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26127-2019</t>
        </is>
      </c>
      <c r="B203" s="1" t="n">
        <v>43609</v>
      </c>
      <c r="C203" s="1" t="n">
        <v>45812</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27077-2019</t>
        </is>
      </c>
      <c r="B204" s="1" t="n">
        <v>43609</v>
      </c>
      <c r="C204" s="1" t="n">
        <v>45812</v>
      </c>
      <c r="D204" t="inlineStr">
        <is>
          <t>DALARNAS LÄN</t>
        </is>
      </c>
      <c r="E204" t="inlineStr">
        <is>
          <t>ÄLVDALEN</t>
        </is>
      </c>
      <c r="G204" t="n">
        <v>7.4</v>
      </c>
      <c r="H204" t="n">
        <v>0</v>
      </c>
      <c r="I204" t="n">
        <v>0</v>
      </c>
      <c r="J204" t="n">
        <v>0</v>
      </c>
      <c r="K204" t="n">
        <v>0</v>
      </c>
      <c r="L204" t="n">
        <v>0</v>
      </c>
      <c r="M204" t="n">
        <v>0</v>
      </c>
      <c r="N204" t="n">
        <v>0</v>
      </c>
      <c r="O204" t="n">
        <v>0</v>
      </c>
      <c r="P204" t="n">
        <v>0</v>
      </c>
      <c r="Q204" t="n">
        <v>0</v>
      </c>
      <c r="R204" s="2" t="inlineStr"/>
    </row>
    <row r="205" ht="15" customHeight="1">
      <c r="A205" t="inlineStr">
        <is>
          <t>A 26103-2019</t>
        </is>
      </c>
      <c r="B205" s="1" t="n">
        <v>43609</v>
      </c>
      <c r="C205" s="1" t="n">
        <v>45812</v>
      </c>
      <c r="D205" t="inlineStr">
        <is>
          <t>DALARNAS LÄN</t>
        </is>
      </c>
      <c r="E205" t="inlineStr">
        <is>
          <t>ÄLVDALEN</t>
        </is>
      </c>
      <c r="G205" t="n">
        <v>12.7</v>
      </c>
      <c r="H205" t="n">
        <v>0</v>
      </c>
      <c r="I205" t="n">
        <v>0</v>
      </c>
      <c r="J205" t="n">
        <v>0</v>
      </c>
      <c r="K205" t="n">
        <v>0</v>
      </c>
      <c r="L205" t="n">
        <v>0</v>
      </c>
      <c r="M205" t="n">
        <v>0</v>
      </c>
      <c r="N205" t="n">
        <v>0</v>
      </c>
      <c r="O205" t="n">
        <v>0</v>
      </c>
      <c r="P205" t="n">
        <v>0</v>
      </c>
      <c r="Q205" t="n">
        <v>0</v>
      </c>
      <c r="R205" s="2" t="inlineStr"/>
    </row>
    <row r="206" ht="15" customHeight="1">
      <c r="A206" t="inlineStr">
        <is>
          <t>A 26910-2019</t>
        </is>
      </c>
      <c r="B206" s="1" t="n">
        <v>43613</v>
      </c>
      <c r="C206" s="1" t="n">
        <v>45812</v>
      </c>
      <c r="D206" t="inlineStr">
        <is>
          <t>DALARNAS LÄN</t>
        </is>
      </c>
      <c r="E206" t="inlineStr">
        <is>
          <t>ÄLVDALEN</t>
        </is>
      </c>
      <c r="G206" t="n">
        <v>4.1</v>
      </c>
      <c r="H206" t="n">
        <v>0</v>
      </c>
      <c r="I206" t="n">
        <v>0</v>
      </c>
      <c r="J206" t="n">
        <v>0</v>
      </c>
      <c r="K206" t="n">
        <v>0</v>
      </c>
      <c r="L206" t="n">
        <v>0</v>
      </c>
      <c r="M206" t="n">
        <v>0</v>
      </c>
      <c r="N206" t="n">
        <v>0</v>
      </c>
      <c r="O206" t="n">
        <v>0</v>
      </c>
      <c r="P206" t="n">
        <v>0</v>
      </c>
      <c r="Q206" t="n">
        <v>0</v>
      </c>
      <c r="R206" s="2" t="inlineStr"/>
    </row>
    <row r="207" ht="15" customHeight="1">
      <c r="A207" t="inlineStr">
        <is>
          <t>A 27720-2019</t>
        </is>
      </c>
      <c r="B207" s="1" t="n">
        <v>43619</v>
      </c>
      <c r="C207" s="1" t="n">
        <v>45812</v>
      </c>
      <c r="D207" t="inlineStr">
        <is>
          <t>DALARNAS LÄN</t>
        </is>
      </c>
      <c r="E207" t="inlineStr">
        <is>
          <t>ÄLVDALEN</t>
        </is>
      </c>
      <c r="F207" t="inlineStr">
        <is>
          <t>Bergvik skog väst AB</t>
        </is>
      </c>
      <c r="G207" t="n">
        <v>12.4</v>
      </c>
      <c r="H207" t="n">
        <v>0</v>
      </c>
      <c r="I207" t="n">
        <v>0</v>
      </c>
      <c r="J207" t="n">
        <v>0</v>
      </c>
      <c r="K207" t="n">
        <v>0</v>
      </c>
      <c r="L207" t="n">
        <v>0</v>
      </c>
      <c r="M207" t="n">
        <v>0</v>
      </c>
      <c r="N207" t="n">
        <v>0</v>
      </c>
      <c r="O207" t="n">
        <v>0</v>
      </c>
      <c r="P207" t="n">
        <v>0</v>
      </c>
      <c r="Q207" t="n">
        <v>0</v>
      </c>
      <c r="R207" s="2" t="inlineStr"/>
    </row>
    <row r="208" ht="15" customHeight="1">
      <c r="A208" t="inlineStr">
        <is>
          <t>A 27691-2019</t>
        </is>
      </c>
      <c r="B208" s="1" t="n">
        <v>43619</v>
      </c>
      <c r="C208" s="1" t="n">
        <v>45812</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28350-2019</t>
        </is>
      </c>
      <c r="B209" s="1" t="n">
        <v>43624</v>
      </c>
      <c r="C209" s="1" t="n">
        <v>45812</v>
      </c>
      <c r="D209" t="inlineStr">
        <is>
          <t>DALARNAS LÄN</t>
        </is>
      </c>
      <c r="E209" t="inlineStr">
        <is>
          <t>ÄLVDALEN</t>
        </is>
      </c>
      <c r="G209" t="n">
        <v>18.2</v>
      </c>
      <c r="H209" t="n">
        <v>0</v>
      </c>
      <c r="I209" t="n">
        <v>0</v>
      </c>
      <c r="J209" t="n">
        <v>0</v>
      </c>
      <c r="K209" t="n">
        <v>0</v>
      </c>
      <c r="L209" t="n">
        <v>0</v>
      </c>
      <c r="M209" t="n">
        <v>0</v>
      </c>
      <c r="N209" t="n">
        <v>0</v>
      </c>
      <c r="O209" t="n">
        <v>0</v>
      </c>
      <c r="P209" t="n">
        <v>0</v>
      </c>
      <c r="Q209" t="n">
        <v>0</v>
      </c>
      <c r="R209" s="2" t="inlineStr"/>
    </row>
    <row r="210" ht="15" customHeight="1">
      <c r="A210" t="inlineStr">
        <is>
          <t>A 28536-2019</t>
        </is>
      </c>
      <c r="B210" s="1" t="n">
        <v>43626</v>
      </c>
      <c r="C210" s="1" t="n">
        <v>45812</v>
      </c>
      <c r="D210" t="inlineStr">
        <is>
          <t>DALARNAS LÄN</t>
        </is>
      </c>
      <c r="E210" t="inlineStr">
        <is>
          <t>ÄLVDALEN</t>
        </is>
      </c>
      <c r="G210" t="n">
        <v>6.4</v>
      </c>
      <c r="H210" t="n">
        <v>0</v>
      </c>
      <c r="I210" t="n">
        <v>0</v>
      </c>
      <c r="J210" t="n">
        <v>0</v>
      </c>
      <c r="K210" t="n">
        <v>0</v>
      </c>
      <c r="L210" t="n">
        <v>0</v>
      </c>
      <c r="M210" t="n">
        <v>0</v>
      </c>
      <c r="N210" t="n">
        <v>0</v>
      </c>
      <c r="O210" t="n">
        <v>0</v>
      </c>
      <c r="P210" t="n">
        <v>0</v>
      </c>
      <c r="Q210" t="n">
        <v>0</v>
      </c>
      <c r="R210" s="2" t="inlineStr"/>
    </row>
    <row r="211" ht="15" customHeight="1">
      <c r="A211" t="inlineStr">
        <is>
          <t>A 28544-2019</t>
        </is>
      </c>
      <c r="B211" s="1" t="n">
        <v>43626</v>
      </c>
      <c r="C211" s="1" t="n">
        <v>45812</v>
      </c>
      <c r="D211" t="inlineStr">
        <is>
          <t>DALARNAS LÄN</t>
        </is>
      </c>
      <c r="E211" t="inlineStr">
        <is>
          <t>ÄLVDALEN</t>
        </is>
      </c>
      <c r="G211" t="n">
        <v>4.3</v>
      </c>
      <c r="H211" t="n">
        <v>0</v>
      </c>
      <c r="I211" t="n">
        <v>0</v>
      </c>
      <c r="J211" t="n">
        <v>0</v>
      </c>
      <c r="K211" t="n">
        <v>0</v>
      </c>
      <c r="L211" t="n">
        <v>0</v>
      </c>
      <c r="M211" t="n">
        <v>0</v>
      </c>
      <c r="N211" t="n">
        <v>0</v>
      </c>
      <c r="O211" t="n">
        <v>0</v>
      </c>
      <c r="P211" t="n">
        <v>0</v>
      </c>
      <c r="Q211" t="n">
        <v>0</v>
      </c>
      <c r="R211" s="2" t="inlineStr"/>
    </row>
    <row r="212" ht="15" customHeight="1">
      <c r="A212" t="inlineStr">
        <is>
          <t>A 28527-2019</t>
        </is>
      </c>
      <c r="B212" s="1" t="n">
        <v>43626</v>
      </c>
      <c r="C212" s="1" t="n">
        <v>45812</v>
      </c>
      <c r="D212" t="inlineStr">
        <is>
          <t>DALARNAS LÄN</t>
        </is>
      </c>
      <c r="E212" t="inlineStr">
        <is>
          <t>ÄLVDALEN</t>
        </is>
      </c>
      <c r="G212" t="n">
        <v>1.6</v>
      </c>
      <c r="H212" t="n">
        <v>0</v>
      </c>
      <c r="I212" t="n">
        <v>0</v>
      </c>
      <c r="J212" t="n">
        <v>0</v>
      </c>
      <c r="K212" t="n">
        <v>0</v>
      </c>
      <c r="L212" t="n">
        <v>0</v>
      </c>
      <c r="M212" t="n">
        <v>0</v>
      </c>
      <c r="N212" t="n">
        <v>0</v>
      </c>
      <c r="O212" t="n">
        <v>0</v>
      </c>
      <c r="P212" t="n">
        <v>0</v>
      </c>
      <c r="Q212" t="n">
        <v>0</v>
      </c>
      <c r="R212" s="2" t="inlineStr"/>
    </row>
    <row r="213" ht="15" customHeight="1">
      <c r="A213" t="inlineStr">
        <is>
          <t>A 28549-2019</t>
        </is>
      </c>
      <c r="B213" s="1" t="n">
        <v>43626</v>
      </c>
      <c r="C213" s="1" t="n">
        <v>45812</v>
      </c>
      <c r="D213" t="inlineStr">
        <is>
          <t>DALARNAS LÄN</t>
        </is>
      </c>
      <c r="E213" t="inlineStr">
        <is>
          <t>ÄLVDALEN</t>
        </is>
      </c>
      <c r="G213" t="n">
        <v>10.5</v>
      </c>
      <c r="H213" t="n">
        <v>0</v>
      </c>
      <c r="I213" t="n">
        <v>0</v>
      </c>
      <c r="J213" t="n">
        <v>0</v>
      </c>
      <c r="K213" t="n">
        <v>0</v>
      </c>
      <c r="L213" t="n">
        <v>0</v>
      </c>
      <c r="M213" t="n">
        <v>0</v>
      </c>
      <c r="N213" t="n">
        <v>0</v>
      </c>
      <c r="O213" t="n">
        <v>0</v>
      </c>
      <c r="P213" t="n">
        <v>0</v>
      </c>
      <c r="Q213" t="n">
        <v>0</v>
      </c>
      <c r="R213" s="2" t="inlineStr"/>
    </row>
    <row r="214" ht="15" customHeight="1">
      <c r="A214" t="inlineStr">
        <is>
          <t>A 28965-2019</t>
        </is>
      </c>
      <c r="B214" s="1" t="n">
        <v>43628</v>
      </c>
      <c r="C214" s="1" t="n">
        <v>45812</v>
      </c>
      <c r="D214" t="inlineStr">
        <is>
          <t>DALARNAS LÄN</t>
        </is>
      </c>
      <c r="E214" t="inlineStr">
        <is>
          <t>ÄLVDALEN</t>
        </is>
      </c>
      <c r="G214" t="n">
        <v>3.1</v>
      </c>
      <c r="H214" t="n">
        <v>0</v>
      </c>
      <c r="I214" t="n">
        <v>0</v>
      </c>
      <c r="J214" t="n">
        <v>0</v>
      </c>
      <c r="K214" t="n">
        <v>0</v>
      </c>
      <c r="L214" t="n">
        <v>0</v>
      </c>
      <c r="M214" t="n">
        <v>0</v>
      </c>
      <c r="N214" t="n">
        <v>0</v>
      </c>
      <c r="O214" t="n">
        <v>0</v>
      </c>
      <c r="P214" t="n">
        <v>0</v>
      </c>
      <c r="Q214" t="n">
        <v>0</v>
      </c>
      <c r="R214" s="2" t="inlineStr"/>
    </row>
    <row r="215" ht="15" customHeight="1">
      <c r="A215" t="inlineStr">
        <is>
          <t>A 30506-2019</t>
        </is>
      </c>
      <c r="B215" s="1" t="n">
        <v>43635</v>
      </c>
      <c r="C215" s="1" t="n">
        <v>45812</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32347-2019</t>
        </is>
      </c>
      <c r="B216" s="1" t="n">
        <v>43644</v>
      </c>
      <c r="C216" s="1" t="n">
        <v>45812</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32357-2019</t>
        </is>
      </c>
      <c r="B217" s="1" t="n">
        <v>43644</v>
      </c>
      <c r="C217" s="1" t="n">
        <v>45812</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32359-2019</t>
        </is>
      </c>
      <c r="B218" s="1" t="n">
        <v>43644</v>
      </c>
      <c r="C218" s="1" t="n">
        <v>45812</v>
      </c>
      <c r="D218" t="inlineStr">
        <is>
          <t>DALARNAS LÄN</t>
        </is>
      </c>
      <c r="E218" t="inlineStr">
        <is>
          <t>ÄLVDALEN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32670-2019</t>
        </is>
      </c>
      <c r="B219" s="1" t="n">
        <v>43647</v>
      </c>
      <c r="C219" s="1" t="n">
        <v>45812</v>
      </c>
      <c r="D219" t="inlineStr">
        <is>
          <t>DALARNAS LÄN</t>
        </is>
      </c>
      <c r="E219" t="inlineStr">
        <is>
          <t>ÄLVDALEN</t>
        </is>
      </c>
      <c r="G219" t="n">
        <v>0.4</v>
      </c>
      <c r="H219" t="n">
        <v>0</v>
      </c>
      <c r="I219" t="n">
        <v>0</v>
      </c>
      <c r="J219" t="n">
        <v>0</v>
      </c>
      <c r="K219" t="n">
        <v>0</v>
      </c>
      <c r="L219" t="n">
        <v>0</v>
      </c>
      <c r="M219" t="n">
        <v>0</v>
      </c>
      <c r="N219" t="n">
        <v>0</v>
      </c>
      <c r="O219" t="n">
        <v>0</v>
      </c>
      <c r="P219" t="n">
        <v>0</v>
      </c>
      <c r="Q219" t="n">
        <v>0</v>
      </c>
      <c r="R219" s="2" t="inlineStr"/>
    </row>
    <row r="220" ht="15" customHeight="1">
      <c r="A220" t="inlineStr">
        <is>
          <t>A 35529-2019</t>
        </is>
      </c>
      <c r="B220" s="1" t="n">
        <v>43654</v>
      </c>
      <c r="C220" s="1" t="n">
        <v>45812</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34550-2019</t>
        </is>
      </c>
      <c r="B221" s="1" t="n">
        <v>43657</v>
      </c>
      <c r="C221" s="1" t="n">
        <v>45812</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36080-2019</t>
        </is>
      </c>
      <c r="B222" s="1" t="n">
        <v>43657</v>
      </c>
      <c r="C222" s="1" t="n">
        <v>45812</v>
      </c>
      <c r="D222" t="inlineStr">
        <is>
          <t>DALARNAS LÄN</t>
        </is>
      </c>
      <c r="E222" t="inlineStr">
        <is>
          <t>ÄLVDALEN</t>
        </is>
      </c>
      <c r="G222" t="n">
        <v>1.7</v>
      </c>
      <c r="H222" t="n">
        <v>0</v>
      </c>
      <c r="I222" t="n">
        <v>0</v>
      </c>
      <c r="J222" t="n">
        <v>0</v>
      </c>
      <c r="K222" t="n">
        <v>0</v>
      </c>
      <c r="L222" t="n">
        <v>0</v>
      </c>
      <c r="M222" t="n">
        <v>0</v>
      </c>
      <c r="N222" t="n">
        <v>0</v>
      </c>
      <c r="O222" t="n">
        <v>0</v>
      </c>
      <c r="P222" t="n">
        <v>0</v>
      </c>
      <c r="Q222" t="n">
        <v>0</v>
      </c>
      <c r="R222" s="2" t="inlineStr"/>
    </row>
    <row r="223" ht="15" customHeight="1">
      <c r="A223" t="inlineStr">
        <is>
          <t>A 35136-2019</t>
        </is>
      </c>
      <c r="B223" s="1" t="n">
        <v>43661</v>
      </c>
      <c r="C223" s="1" t="n">
        <v>45812</v>
      </c>
      <c r="D223" t="inlineStr">
        <is>
          <t>DALARNAS LÄN</t>
        </is>
      </c>
      <c r="E223" t="inlineStr">
        <is>
          <t>ÄLVDALEN</t>
        </is>
      </c>
      <c r="G223" t="n">
        <v>0.8</v>
      </c>
      <c r="H223" t="n">
        <v>0</v>
      </c>
      <c r="I223" t="n">
        <v>0</v>
      </c>
      <c r="J223" t="n">
        <v>0</v>
      </c>
      <c r="K223" t="n">
        <v>0</v>
      </c>
      <c r="L223" t="n">
        <v>0</v>
      </c>
      <c r="M223" t="n">
        <v>0</v>
      </c>
      <c r="N223" t="n">
        <v>0</v>
      </c>
      <c r="O223" t="n">
        <v>0</v>
      </c>
      <c r="P223" t="n">
        <v>0</v>
      </c>
      <c r="Q223" t="n">
        <v>0</v>
      </c>
      <c r="R223" s="2" t="inlineStr"/>
    </row>
    <row r="224" ht="15" customHeight="1">
      <c r="A224" t="inlineStr">
        <is>
          <t>A 35463-2019</t>
        </is>
      </c>
      <c r="B224" s="1" t="n">
        <v>43663</v>
      </c>
      <c r="C224" s="1" t="n">
        <v>45812</v>
      </c>
      <c r="D224" t="inlineStr">
        <is>
          <t>DALARNAS LÄN</t>
        </is>
      </c>
      <c r="E224" t="inlineStr">
        <is>
          <t>ÄLVDALEN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35457-2019</t>
        </is>
      </c>
      <c r="B225" s="1" t="n">
        <v>43663</v>
      </c>
      <c r="C225" s="1" t="n">
        <v>45812</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35458-2019</t>
        </is>
      </c>
      <c r="B226" s="1" t="n">
        <v>43663</v>
      </c>
      <c r="C226" s="1" t="n">
        <v>45812</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35609-2019</t>
        </is>
      </c>
      <c r="B227" s="1" t="n">
        <v>43664</v>
      </c>
      <c r="C227" s="1" t="n">
        <v>45812</v>
      </c>
      <c r="D227" t="inlineStr">
        <is>
          <t>DALARNAS LÄN</t>
        </is>
      </c>
      <c r="E227" t="inlineStr">
        <is>
          <t>ÄLVDALEN</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35708-2019</t>
        </is>
      </c>
      <c r="B228" s="1" t="n">
        <v>43664</v>
      </c>
      <c r="C228" s="1" t="n">
        <v>45812</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35707-2019</t>
        </is>
      </c>
      <c r="B229" s="1" t="n">
        <v>43664</v>
      </c>
      <c r="C229" s="1" t="n">
        <v>45812</v>
      </c>
      <c r="D229" t="inlineStr">
        <is>
          <t>DALARNAS LÄN</t>
        </is>
      </c>
      <c r="E229" t="inlineStr">
        <is>
          <t>ÄLVDALEN</t>
        </is>
      </c>
      <c r="G229" t="n">
        <v>4.8</v>
      </c>
      <c r="H229" t="n">
        <v>0</v>
      </c>
      <c r="I229" t="n">
        <v>0</v>
      </c>
      <c r="J229" t="n">
        <v>0</v>
      </c>
      <c r="K229" t="n">
        <v>0</v>
      </c>
      <c r="L229" t="n">
        <v>0</v>
      </c>
      <c r="M229" t="n">
        <v>0</v>
      </c>
      <c r="N229" t="n">
        <v>0</v>
      </c>
      <c r="O229" t="n">
        <v>0</v>
      </c>
      <c r="P229" t="n">
        <v>0</v>
      </c>
      <c r="Q229" t="n">
        <v>0</v>
      </c>
      <c r="R229" s="2" t="inlineStr"/>
    </row>
    <row r="230" ht="15" customHeight="1">
      <c r="A230" t="inlineStr">
        <is>
          <t>A 36482-2019</t>
        </is>
      </c>
      <c r="B230" s="1" t="n">
        <v>43668</v>
      </c>
      <c r="C230" s="1" t="n">
        <v>45812</v>
      </c>
      <c r="D230" t="inlineStr">
        <is>
          <t>DALARNAS LÄN</t>
        </is>
      </c>
      <c r="E230" t="inlineStr">
        <is>
          <t>ÄLVDALEN</t>
        </is>
      </c>
      <c r="G230" t="n">
        <v>3</v>
      </c>
      <c r="H230" t="n">
        <v>0</v>
      </c>
      <c r="I230" t="n">
        <v>0</v>
      </c>
      <c r="J230" t="n">
        <v>0</v>
      </c>
      <c r="K230" t="n">
        <v>0</v>
      </c>
      <c r="L230" t="n">
        <v>0</v>
      </c>
      <c r="M230" t="n">
        <v>0</v>
      </c>
      <c r="N230" t="n">
        <v>0</v>
      </c>
      <c r="O230" t="n">
        <v>0</v>
      </c>
      <c r="P230" t="n">
        <v>0</v>
      </c>
      <c r="Q230" t="n">
        <v>0</v>
      </c>
      <c r="R230" s="2" t="inlineStr"/>
    </row>
    <row r="231" ht="15" customHeight="1">
      <c r="A231" t="inlineStr">
        <is>
          <t>A 36063-2019</t>
        </is>
      </c>
      <c r="B231" s="1" t="n">
        <v>43668</v>
      </c>
      <c r="C231" s="1" t="n">
        <v>45812</v>
      </c>
      <c r="D231" t="inlineStr">
        <is>
          <t>DALARNAS LÄN</t>
        </is>
      </c>
      <c r="E231" t="inlineStr">
        <is>
          <t>ÄLVDALEN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37645-2019</t>
        </is>
      </c>
      <c r="B232" s="1" t="n">
        <v>43682</v>
      </c>
      <c r="C232" s="1" t="n">
        <v>45812</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37939-2019</t>
        </is>
      </c>
      <c r="B233" s="1" t="n">
        <v>43683</v>
      </c>
      <c r="C233" s="1" t="n">
        <v>45812</v>
      </c>
      <c r="D233" t="inlineStr">
        <is>
          <t>DALARNAS LÄN</t>
        </is>
      </c>
      <c r="E233" t="inlineStr">
        <is>
          <t>ÄLVDALEN</t>
        </is>
      </c>
      <c r="F233" t="inlineStr">
        <is>
          <t>Övriga statliga verk och myndigheter</t>
        </is>
      </c>
      <c r="G233" t="n">
        <v>2.6</v>
      </c>
      <c r="H233" t="n">
        <v>0</v>
      </c>
      <c r="I233" t="n">
        <v>0</v>
      </c>
      <c r="J233" t="n">
        <v>0</v>
      </c>
      <c r="K233" t="n">
        <v>0</v>
      </c>
      <c r="L233" t="n">
        <v>0</v>
      </c>
      <c r="M233" t="n">
        <v>0</v>
      </c>
      <c r="N233" t="n">
        <v>0</v>
      </c>
      <c r="O233" t="n">
        <v>0</v>
      </c>
      <c r="P233" t="n">
        <v>0</v>
      </c>
      <c r="Q233" t="n">
        <v>0</v>
      </c>
      <c r="R233" s="2" t="inlineStr"/>
    </row>
    <row r="234" ht="15" customHeight="1">
      <c r="A234" t="inlineStr">
        <is>
          <t>A 37991-2019</t>
        </is>
      </c>
      <c r="B234" s="1" t="n">
        <v>43683</v>
      </c>
      <c r="C234" s="1" t="n">
        <v>45812</v>
      </c>
      <c r="D234" t="inlineStr">
        <is>
          <t>DALARNAS LÄN</t>
        </is>
      </c>
      <c r="E234" t="inlineStr">
        <is>
          <t>ÄLVDALEN</t>
        </is>
      </c>
      <c r="G234" t="n">
        <v>5.8</v>
      </c>
      <c r="H234" t="n">
        <v>0</v>
      </c>
      <c r="I234" t="n">
        <v>0</v>
      </c>
      <c r="J234" t="n">
        <v>0</v>
      </c>
      <c r="K234" t="n">
        <v>0</v>
      </c>
      <c r="L234" t="n">
        <v>0</v>
      </c>
      <c r="M234" t="n">
        <v>0</v>
      </c>
      <c r="N234" t="n">
        <v>0</v>
      </c>
      <c r="O234" t="n">
        <v>0</v>
      </c>
      <c r="P234" t="n">
        <v>0</v>
      </c>
      <c r="Q234" t="n">
        <v>0</v>
      </c>
      <c r="R234" s="2" t="inlineStr"/>
    </row>
    <row r="235" ht="15" customHeight="1">
      <c r="A235" t="inlineStr">
        <is>
          <t>A 38039-2019</t>
        </is>
      </c>
      <c r="B235" s="1" t="n">
        <v>43683</v>
      </c>
      <c r="C235" s="1" t="n">
        <v>45812</v>
      </c>
      <c r="D235" t="inlineStr">
        <is>
          <t>DALARNAS LÄN</t>
        </is>
      </c>
      <c r="E235" t="inlineStr">
        <is>
          <t>ÄLVDALEN</t>
        </is>
      </c>
      <c r="F235" t="inlineStr">
        <is>
          <t>Övriga statliga verk och myndigheter</t>
        </is>
      </c>
      <c r="G235" t="n">
        <v>3.6</v>
      </c>
      <c r="H235" t="n">
        <v>0</v>
      </c>
      <c r="I235" t="n">
        <v>0</v>
      </c>
      <c r="J235" t="n">
        <v>0</v>
      </c>
      <c r="K235" t="n">
        <v>0</v>
      </c>
      <c r="L235" t="n">
        <v>0</v>
      </c>
      <c r="M235" t="n">
        <v>0</v>
      </c>
      <c r="N235" t="n">
        <v>0</v>
      </c>
      <c r="O235" t="n">
        <v>0</v>
      </c>
      <c r="P235" t="n">
        <v>0</v>
      </c>
      <c r="Q235" t="n">
        <v>0</v>
      </c>
      <c r="R235" s="2" t="inlineStr"/>
    </row>
    <row r="236" ht="15" customHeight="1">
      <c r="A236" t="inlineStr">
        <is>
          <t>A 38021-2019</t>
        </is>
      </c>
      <c r="B236" s="1" t="n">
        <v>43683</v>
      </c>
      <c r="C236" s="1" t="n">
        <v>45812</v>
      </c>
      <c r="D236" t="inlineStr">
        <is>
          <t>DALARNAS LÄN</t>
        </is>
      </c>
      <c r="E236" t="inlineStr">
        <is>
          <t>ÄLVDALEN</t>
        </is>
      </c>
      <c r="F236" t="inlineStr">
        <is>
          <t>Övriga statliga verk och myndigheter</t>
        </is>
      </c>
      <c r="G236" t="n">
        <v>4.7</v>
      </c>
      <c r="H236" t="n">
        <v>0</v>
      </c>
      <c r="I236" t="n">
        <v>0</v>
      </c>
      <c r="J236" t="n">
        <v>0</v>
      </c>
      <c r="K236" t="n">
        <v>0</v>
      </c>
      <c r="L236" t="n">
        <v>0</v>
      </c>
      <c r="M236" t="n">
        <v>0</v>
      </c>
      <c r="N236" t="n">
        <v>0</v>
      </c>
      <c r="O236" t="n">
        <v>0</v>
      </c>
      <c r="P236" t="n">
        <v>0</v>
      </c>
      <c r="Q236" t="n">
        <v>0</v>
      </c>
      <c r="R236" s="2" t="inlineStr"/>
    </row>
    <row r="237" ht="15" customHeight="1">
      <c r="A237" t="inlineStr">
        <is>
          <t>A 38864-2019</t>
        </is>
      </c>
      <c r="B237" s="1" t="n">
        <v>43689</v>
      </c>
      <c r="C237" s="1" t="n">
        <v>45812</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41242-2019</t>
        </is>
      </c>
      <c r="B238" s="1" t="n">
        <v>43698</v>
      </c>
      <c r="C238" s="1" t="n">
        <v>45812</v>
      </c>
      <c r="D238" t="inlineStr">
        <is>
          <t>DALARNAS LÄN</t>
        </is>
      </c>
      <c r="E238" t="inlineStr">
        <is>
          <t>ÄLVDALEN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43540-2019</t>
        </is>
      </c>
      <c r="B239" s="1" t="n">
        <v>43706</v>
      </c>
      <c r="C239" s="1" t="n">
        <v>45812</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43543-2019</t>
        </is>
      </c>
      <c r="B240" s="1" t="n">
        <v>43706</v>
      </c>
      <c r="C240" s="1" t="n">
        <v>45812</v>
      </c>
      <c r="D240" t="inlineStr">
        <is>
          <t>DALARNAS LÄN</t>
        </is>
      </c>
      <c r="E240" t="inlineStr">
        <is>
          <t>ÄLVDALEN</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46240-2019</t>
        </is>
      </c>
      <c r="B241" s="1" t="n">
        <v>43714</v>
      </c>
      <c r="C241" s="1" t="n">
        <v>45812</v>
      </c>
      <c r="D241" t="inlineStr">
        <is>
          <t>DALARNAS LÄN</t>
        </is>
      </c>
      <c r="E241" t="inlineStr">
        <is>
          <t>ÄLVDALEN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49014-2019</t>
        </is>
      </c>
      <c r="B242" s="1" t="n">
        <v>43731</v>
      </c>
      <c r="C242" s="1" t="n">
        <v>45812</v>
      </c>
      <c r="D242" t="inlineStr">
        <is>
          <t>DALARNAS LÄN</t>
        </is>
      </c>
      <c r="E242" t="inlineStr">
        <is>
          <t>ÄLVDALEN</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49230-2019</t>
        </is>
      </c>
      <c r="B243" s="1" t="n">
        <v>43731</v>
      </c>
      <c r="C243" s="1" t="n">
        <v>45812</v>
      </c>
      <c r="D243" t="inlineStr">
        <is>
          <t>DALARNAS LÄN</t>
        </is>
      </c>
      <c r="E243" t="inlineStr">
        <is>
          <t>ÄLVDALEN</t>
        </is>
      </c>
      <c r="F243" t="inlineStr">
        <is>
          <t>Allmännings- och besparingsskogar</t>
        </is>
      </c>
      <c r="G243" t="n">
        <v>11.9</v>
      </c>
      <c r="H243" t="n">
        <v>0</v>
      </c>
      <c r="I243" t="n">
        <v>0</v>
      </c>
      <c r="J243" t="n">
        <v>0</v>
      </c>
      <c r="K243" t="n">
        <v>0</v>
      </c>
      <c r="L243" t="n">
        <v>0</v>
      </c>
      <c r="M243" t="n">
        <v>0</v>
      </c>
      <c r="N243" t="n">
        <v>0</v>
      </c>
      <c r="O243" t="n">
        <v>0</v>
      </c>
      <c r="P243" t="n">
        <v>0</v>
      </c>
      <c r="Q243" t="n">
        <v>0</v>
      </c>
      <c r="R243" s="2" t="inlineStr"/>
    </row>
    <row r="244" ht="15" customHeight="1">
      <c r="A244" t="inlineStr">
        <is>
          <t>A 50431-2019</t>
        </is>
      </c>
      <c r="B244" s="1" t="n">
        <v>43735</v>
      </c>
      <c r="C244" s="1" t="n">
        <v>45812</v>
      </c>
      <c r="D244" t="inlineStr">
        <is>
          <t>DALARNAS LÄN</t>
        </is>
      </c>
      <c r="E244" t="inlineStr">
        <is>
          <t>ÄLVDALEN</t>
        </is>
      </c>
      <c r="G244" t="n">
        <v>2.5</v>
      </c>
      <c r="H244" t="n">
        <v>0</v>
      </c>
      <c r="I244" t="n">
        <v>0</v>
      </c>
      <c r="J244" t="n">
        <v>0</v>
      </c>
      <c r="K244" t="n">
        <v>0</v>
      </c>
      <c r="L244" t="n">
        <v>0</v>
      </c>
      <c r="M244" t="n">
        <v>0</v>
      </c>
      <c r="N244" t="n">
        <v>0</v>
      </c>
      <c r="O244" t="n">
        <v>0</v>
      </c>
      <c r="P244" t="n">
        <v>0</v>
      </c>
      <c r="Q244" t="n">
        <v>0</v>
      </c>
      <c r="R244" s="2" t="inlineStr"/>
    </row>
    <row r="245" ht="15" customHeight="1">
      <c r="A245" t="inlineStr">
        <is>
          <t>A 50669-2019</t>
        </is>
      </c>
      <c r="B245" s="1" t="n">
        <v>43737</v>
      </c>
      <c r="C245" s="1" t="n">
        <v>45812</v>
      </c>
      <c r="D245" t="inlineStr">
        <is>
          <t>DALARNAS LÄN</t>
        </is>
      </c>
      <c r="E245" t="inlineStr">
        <is>
          <t>ÄLVDALEN</t>
        </is>
      </c>
      <c r="G245" t="n">
        <v>6.1</v>
      </c>
      <c r="H245" t="n">
        <v>0</v>
      </c>
      <c r="I245" t="n">
        <v>0</v>
      </c>
      <c r="J245" t="n">
        <v>0</v>
      </c>
      <c r="K245" t="n">
        <v>0</v>
      </c>
      <c r="L245" t="n">
        <v>0</v>
      </c>
      <c r="M245" t="n">
        <v>0</v>
      </c>
      <c r="N245" t="n">
        <v>0</v>
      </c>
      <c r="O245" t="n">
        <v>0</v>
      </c>
      <c r="P245" t="n">
        <v>0</v>
      </c>
      <c r="Q245" t="n">
        <v>0</v>
      </c>
      <c r="R245" s="2" t="inlineStr"/>
    </row>
    <row r="246" ht="15" customHeight="1">
      <c r="A246" t="inlineStr">
        <is>
          <t>A 50670-2019</t>
        </is>
      </c>
      <c r="B246" s="1" t="n">
        <v>43738</v>
      </c>
      <c r="C246" s="1" t="n">
        <v>45812</v>
      </c>
      <c r="D246" t="inlineStr">
        <is>
          <t>DALARNAS LÄN</t>
        </is>
      </c>
      <c r="E246" t="inlineStr">
        <is>
          <t>ÄLVDALEN</t>
        </is>
      </c>
      <c r="G246" t="n">
        <v>8.1</v>
      </c>
      <c r="H246" t="n">
        <v>0</v>
      </c>
      <c r="I246" t="n">
        <v>0</v>
      </c>
      <c r="J246" t="n">
        <v>0</v>
      </c>
      <c r="K246" t="n">
        <v>0</v>
      </c>
      <c r="L246" t="n">
        <v>0</v>
      </c>
      <c r="M246" t="n">
        <v>0</v>
      </c>
      <c r="N246" t="n">
        <v>0</v>
      </c>
      <c r="O246" t="n">
        <v>0</v>
      </c>
      <c r="P246" t="n">
        <v>0</v>
      </c>
      <c r="Q246" t="n">
        <v>0</v>
      </c>
      <c r="R246" s="2" t="inlineStr"/>
    </row>
    <row r="247" ht="15" customHeight="1">
      <c r="A247" t="inlineStr">
        <is>
          <t>A 51354-2019</t>
        </is>
      </c>
      <c r="B247" s="1" t="n">
        <v>43740</v>
      </c>
      <c r="C247" s="1" t="n">
        <v>45812</v>
      </c>
      <c r="D247" t="inlineStr">
        <is>
          <t>DALARNAS LÄN</t>
        </is>
      </c>
      <c r="E247" t="inlineStr">
        <is>
          <t>ÄLVDALEN</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51798-2019</t>
        </is>
      </c>
      <c r="B248" s="1" t="n">
        <v>43741</v>
      </c>
      <c r="C248" s="1" t="n">
        <v>45812</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52131-2019</t>
        </is>
      </c>
      <c r="B249" s="1" t="n">
        <v>43742</v>
      </c>
      <c r="C249" s="1" t="n">
        <v>45812</v>
      </c>
      <c r="D249" t="inlineStr">
        <is>
          <t>DALARNAS LÄN</t>
        </is>
      </c>
      <c r="E249" t="inlineStr">
        <is>
          <t>ÄLVDALEN</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52466-2019</t>
        </is>
      </c>
      <c r="B250" s="1" t="n">
        <v>43745</v>
      </c>
      <c r="C250" s="1" t="n">
        <v>45812</v>
      </c>
      <c r="D250" t="inlineStr">
        <is>
          <t>DALARNAS LÄN</t>
        </is>
      </c>
      <c r="E250" t="inlineStr">
        <is>
          <t>ÄLVDALEN</t>
        </is>
      </c>
      <c r="G250" t="n">
        <v>2.8</v>
      </c>
      <c r="H250" t="n">
        <v>0</v>
      </c>
      <c r="I250" t="n">
        <v>0</v>
      </c>
      <c r="J250" t="n">
        <v>0</v>
      </c>
      <c r="K250" t="n">
        <v>0</v>
      </c>
      <c r="L250" t="n">
        <v>0</v>
      </c>
      <c r="M250" t="n">
        <v>0</v>
      </c>
      <c r="N250" t="n">
        <v>0</v>
      </c>
      <c r="O250" t="n">
        <v>0</v>
      </c>
      <c r="P250" t="n">
        <v>0</v>
      </c>
      <c r="Q250" t="n">
        <v>0</v>
      </c>
      <c r="R250" s="2" t="inlineStr"/>
    </row>
    <row r="251" ht="15" customHeight="1">
      <c r="A251" t="inlineStr">
        <is>
          <t>A 55649-2019</t>
        </is>
      </c>
      <c r="B251" s="1" t="n">
        <v>43760</v>
      </c>
      <c r="C251" s="1" t="n">
        <v>45812</v>
      </c>
      <c r="D251" t="inlineStr">
        <is>
          <t>DALARNAS LÄN</t>
        </is>
      </c>
      <c r="E251" t="inlineStr">
        <is>
          <t>ÄLVDALEN</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59488-2019</t>
        </is>
      </c>
      <c r="B252" s="1" t="n">
        <v>43776</v>
      </c>
      <c r="C252" s="1" t="n">
        <v>45812</v>
      </c>
      <c r="D252" t="inlineStr">
        <is>
          <t>DALARNAS LÄN</t>
        </is>
      </c>
      <c r="E252" t="inlineStr">
        <is>
          <t>ÄLVDALEN</t>
        </is>
      </c>
      <c r="F252" t="inlineStr">
        <is>
          <t>Bergvik skog väst AB</t>
        </is>
      </c>
      <c r="G252" t="n">
        <v>7.2</v>
      </c>
      <c r="H252" t="n">
        <v>0</v>
      </c>
      <c r="I252" t="n">
        <v>0</v>
      </c>
      <c r="J252" t="n">
        <v>0</v>
      </c>
      <c r="K252" t="n">
        <v>0</v>
      </c>
      <c r="L252" t="n">
        <v>0</v>
      </c>
      <c r="M252" t="n">
        <v>0</v>
      </c>
      <c r="N252" t="n">
        <v>0</v>
      </c>
      <c r="O252" t="n">
        <v>0</v>
      </c>
      <c r="P252" t="n">
        <v>0</v>
      </c>
      <c r="Q252" t="n">
        <v>0</v>
      </c>
      <c r="R252" s="2" t="inlineStr"/>
    </row>
    <row r="253" ht="15" customHeight="1">
      <c r="A253" t="inlineStr">
        <is>
          <t>A 59846-2019</t>
        </is>
      </c>
      <c r="B253" s="1" t="n">
        <v>43777</v>
      </c>
      <c r="C253" s="1" t="n">
        <v>45812</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59959-2019</t>
        </is>
      </c>
      <c r="B254" s="1" t="n">
        <v>43777</v>
      </c>
      <c r="C254" s="1" t="n">
        <v>45812</v>
      </c>
      <c r="D254" t="inlineStr">
        <is>
          <t>DALARNAS LÄN</t>
        </is>
      </c>
      <c r="E254" t="inlineStr">
        <is>
          <t>ÄLVDALEN</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59947-2019</t>
        </is>
      </c>
      <c r="B255" s="1" t="n">
        <v>43777</v>
      </c>
      <c r="C255" s="1" t="n">
        <v>45812</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59957-2019</t>
        </is>
      </c>
      <c r="B256" s="1" t="n">
        <v>43777</v>
      </c>
      <c r="C256" s="1" t="n">
        <v>45812</v>
      </c>
      <c r="D256" t="inlineStr">
        <is>
          <t>DALARNAS LÄN</t>
        </is>
      </c>
      <c r="E256" t="inlineStr">
        <is>
          <t>ÄLVDALEN</t>
        </is>
      </c>
      <c r="G256" t="n">
        <v>4.5</v>
      </c>
      <c r="H256" t="n">
        <v>0</v>
      </c>
      <c r="I256" t="n">
        <v>0</v>
      </c>
      <c r="J256" t="n">
        <v>0</v>
      </c>
      <c r="K256" t="n">
        <v>0</v>
      </c>
      <c r="L256" t="n">
        <v>0</v>
      </c>
      <c r="M256" t="n">
        <v>0</v>
      </c>
      <c r="N256" t="n">
        <v>0</v>
      </c>
      <c r="O256" t="n">
        <v>0</v>
      </c>
      <c r="P256" t="n">
        <v>0</v>
      </c>
      <c r="Q256" t="n">
        <v>0</v>
      </c>
      <c r="R256" s="2" t="inlineStr"/>
    </row>
    <row r="257" ht="15" customHeight="1">
      <c r="A257" t="inlineStr">
        <is>
          <t>A 60345-2019</t>
        </is>
      </c>
      <c r="B257" s="1" t="n">
        <v>43780</v>
      </c>
      <c r="C257" s="1" t="n">
        <v>45812</v>
      </c>
      <c r="D257" t="inlineStr">
        <is>
          <t>DALARNAS LÄN</t>
        </is>
      </c>
      <c r="E257" t="inlineStr">
        <is>
          <t>ÄLVDALEN</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61262-2019</t>
        </is>
      </c>
      <c r="B258" s="1" t="n">
        <v>43783</v>
      </c>
      <c r="C258" s="1" t="n">
        <v>45812</v>
      </c>
      <c r="D258" t="inlineStr">
        <is>
          <t>DALARNAS LÄN</t>
        </is>
      </c>
      <c r="E258" t="inlineStr">
        <is>
          <t>ÄLVDALEN</t>
        </is>
      </c>
      <c r="F258" t="inlineStr">
        <is>
          <t>Bergvik skog väst AB</t>
        </is>
      </c>
      <c r="G258" t="n">
        <v>12.9</v>
      </c>
      <c r="H258" t="n">
        <v>0</v>
      </c>
      <c r="I258" t="n">
        <v>0</v>
      </c>
      <c r="J258" t="n">
        <v>0</v>
      </c>
      <c r="K258" t="n">
        <v>0</v>
      </c>
      <c r="L258" t="n">
        <v>0</v>
      </c>
      <c r="M258" t="n">
        <v>0</v>
      </c>
      <c r="N258" t="n">
        <v>0</v>
      </c>
      <c r="O258" t="n">
        <v>0</v>
      </c>
      <c r="P258" t="n">
        <v>0</v>
      </c>
      <c r="Q258" t="n">
        <v>0</v>
      </c>
      <c r="R258" s="2" t="inlineStr"/>
    </row>
    <row r="259" ht="15" customHeight="1">
      <c r="A259" t="inlineStr">
        <is>
          <t>A 61235-2019</t>
        </is>
      </c>
      <c r="B259" s="1" t="n">
        <v>43783</v>
      </c>
      <c r="C259" s="1" t="n">
        <v>45812</v>
      </c>
      <c r="D259" t="inlineStr">
        <is>
          <t>DALARNAS LÄN</t>
        </is>
      </c>
      <c r="E259" t="inlineStr">
        <is>
          <t>ÄLVDALEN</t>
        </is>
      </c>
      <c r="F259" t="inlineStr">
        <is>
          <t>Bergvik skog väst AB</t>
        </is>
      </c>
      <c r="G259" t="n">
        <v>9</v>
      </c>
      <c r="H259" t="n">
        <v>0</v>
      </c>
      <c r="I259" t="n">
        <v>0</v>
      </c>
      <c r="J259" t="n">
        <v>0</v>
      </c>
      <c r="K259" t="n">
        <v>0</v>
      </c>
      <c r="L259" t="n">
        <v>0</v>
      </c>
      <c r="M259" t="n">
        <v>0</v>
      </c>
      <c r="N259" t="n">
        <v>0</v>
      </c>
      <c r="O259" t="n">
        <v>0</v>
      </c>
      <c r="P259" t="n">
        <v>0</v>
      </c>
      <c r="Q259" t="n">
        <v>0</v>
      </c>
      <c r="R259" s="2" t="inlineStr"/>
    </row>
    <row r="260" ht="15" customHeight="1">
      <c r="A260" t="inlineStr">
        <is>
          <t>A 61312-2019</t>
        </is>
      </c>
      <c r="B260" s="1" t="n">
        <v>43783</v>
      </c>
      <c r="C260" s="1" t="n">
        <v>45812</v>
      </c>
      <c r="D260" t="inlineStr">
        <is>
          <t>DALARNAS LÄN</t>
        </is>
      </c>
      <c r="E260" t="inlineStr">
        <is>
          <t>ÄLVDALEN</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61303-2019</t>
        </is>
      </c>
      <c r="B261" s="1" t="n">
        <v>43783</v>
      </c>
      <c r="C261" s="1" t="n">
        <v>45812</v>
      </c>
      <c r="D261" t="inlineStr">
        <is>
          <t>DALARNAS LÄN</t>
        </is>
      </c>
      <c r="E261" t="inlineStr">
        <is>
          <t>ÄLVDALEN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62630-2019</t>
        </is>
      </c>
      <c r="B262" s="1" t="n">
        <v>43789</v>
      </c>
      <c r="C262" s="1" t="n">
        <v>45812</v>
      </c>
      <c r="D262" t="inlineStr">
        <is>
          <t>DALARNAS LÄN</t>
        </is>
      </c>
      <c r="E262" t="inlineStr">
        <is>
          <t>ÄLVDALEN</t>
        </is>
      </c>
      <c r="G262" t="n">
        <v>7.2</v>
      </c>
      <c r="H262" t="n">
        <v>0</v>
      </c>
      <c r="I262" t="n">
        <v>0</v>
      </c>
      <c r="J262" t="n">
        <v>0</v>
      </c>
      <c r="K262" t="n">
        <v>0</v>
      </c>
      <c r="L262" t="n">
        <v>0</v>
      </c>
      <c r="M262" t="n">
        <v>0</v>
      </c>
      <c r="N262" t="n">
        <v>0</v>
      </c>
      <c r="O262" t="n">
        <v>0</v>
      </c>
      <c r="P262" t="n">
        <v>0</v>
      </c>
      <c r="Q262" t="n">
        <v>0</v>
      </c>
      <c r="R262" s="2" t="inlineStr"/>
    </row>
    <row r="263" ht="15" customHeight="1">
      <c r="A263" t="inlineStr">
        <is>
          <t>A 62691-2019</t>
        </is>
      </c>
      <c r="B263" s="1" t="n">
        <v>43789</v>
      </c>
      <c r="C263" s="1" t="n">
        <v>45812</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63161-2019</t>
        </is>
      </c>
      <c r="B264" s="1" t="n">
        <v>43791</v>
      </c>
      <c r="C264" s="1" t="n">
        <v>45812</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63242-2019</t>
        </is>
      </c>
      <c r="B265" s="1" t="n">
        <v>43792</v>
      </c>
      <c r="C265" s="1" t="n">
        <v>45812</v>
      </c>
      <c r="D265" t="inlineStr">
        <is>
          <t>DALARNAS LÄN</t>
        </is>
      </c>
      <c r="E265" t="inlineStr">
        <is>
          <t>ÄLVDALEN</t>
        </is>
      </c>
      <c r="G265" t="n">
        <v>2.1</v>
      </c>
      <c r="H265" t="n">
        <v>0</v>
      </c>
      <c r="I265" t="n">
        <v>0</v>
      </c>
      <c r="J265" t="n">
        <v>0</v>
      </c>
      <c r="K265" t="n">
        <v>0</v>
      </c>
      <c r="L265" t="n">
        <v>0</v>
      </c>
      <c r="M265" t="n">
        <v>0</v>
      </c>
      <c r="N265" t="n">
        <v>0</v>
      </c>
      <c r="O265" t="n">
        <v>0</v>
      </c>
      <c r="P265" t="n">
        <v>0</v>
      </c>
      <c r="Q265" t="n">
        <v>0</v>
      </c>
      <c r="R265" s="2" t="inlineStr"/>
    </row>
    <row r="266" ht="15" customHeight="1">
      <c r="A266" t="inlineStr">
        <is>
          <t>A 63470-2019</t>
        </is>
      </c>
      <c r="B266" s="1" t="n">
        <v>43794</v>
      </c>
      <c r="C266" s="1" t="n">
        <v>45812</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63536-2019</t>
        </is>
      </c>
      <c r="B267" s="1" t="n">
        <v>43794</v>
      </c>
      <c r="C267" s="1" t="n">
        <v>45812</v>
      </c>
      <c r="D267" t="inlineStr">
        <is>
          <t>DALARNAS LÄN</t>
        </is>
      </c>
      <c r="E267" t="inlineStr">
        <is>
          <t>ÄLVDALEN</t>
        </is>
      </c>
      <c r="G267" t="n">
        <v>10.5</v>
      </c>
      <c r="H267" t="n">
        <v>0</v>
      </c>
      <c r="I267" t="n">
        <v>0</v>
      </c>
      <c r="J267" t="n">
        <v>0</v>
      </c>
      <c r="K267" t="n">
        <v>0</v>
      </c>
      <c r="L267" t="n">
        <v>0</v>
      </c>
      <c r="M267" t="n">
        <v>0</v>
      </c>
      <c r="N267" t="n">
        <v>0</v>
      </c>
      <c r="O267" t="n">
        <v>0</v>
      </c>
      <c r="P267" t="n">
        <v>0</v>
      </c>
      <c r="Q267" t="n">
        <v>0</v>
      </c>
      <c r="R267" s="2" t="inlineStr"/>
    </row>
    <row r="268" ht="15" customHeight="1">
      <c r="A268" t="inlineStr">
        <is>
          <t>A 63787-2019</t>
        </is>
      </c>
      <c r="B268" s="1" t="n">
        <v>43795</v>
      </c>
      <c r="C268" s="1" t="n">
        <v>45812</v>
      </c>
      <c r="D268" t="inlineStr">
        <is>
          <t>DALARNAS LÄN</t>
        </is>
      </c>
      <c r="E268" t="inlineStr">
        <is>
          <t>ÄLVDALEN</t>
        </is>
      </c>
      <c r="F268" t="inlineStr">
        <is>
          <t>Sveaskog</t>
        </is>
      </c>
      <c r="G268" t="n">
        <v>14.1</v>
      </c>
      <c r="H268" t="n">
        <v>0</v>
      </c>
      <c r="I268" t="n">
        <v>0</v>
      </c>
      <c r="J268" t="n">
        <v>0</v>
      </c>
      <c r="K268" t="n">
        <v>0</v>
      </c>
      <c r="L268" t="n">
        <v>0</v>
      </c>
      <c r="M268" t="n">
        <v>0</v>
      </c>
      <c r="N268" t="n">
        <v>0</v>
      </c>
      <c r="O268" t="n">
        <v>0</v>
      </c>
      <c r="P268" t="n">
        <v>0</v>
      </c>
      <c r="Q268" t="n">
        <v>0</v>
      </c>
      <c r="R268" s="2" t="inlineStr"/>
    </row>
    <row r="269" ht="15" customHeight="1">
      <c r="A269" t="inlineStr">
        <is>
          <t>A 65980-2019</t>
        </is>
      </c>
      <c r="B269" s="1" t="n">
        <v>43805</v>
      </c>
      <c r="C269" s="1" t="n">
        <v>45812</v>
      </c>
      <c r="D269" t="inlineStr">
        <is>
          <t>DALARNAS LÄN</t>
        </is>
      </c>
      <c r="E269" t="inlineStr">
        <is>
          <t>ÄLVDALEN</t>
        </is>
      </c>
      <c r="G269" t="n">
        <v>0.4</v>
      </c>
      <c r="H269" t="n">
        <v>0</v>
      </c>
      <c r="I269" t="n">
        <v>0</v>
      </c>
      <c r="J269" t="n">
        <v>0</v>
      </c>
      <c r="K269" t="n">
        <v>0</v>
      </c>
      <c r="L269" t="n">
        <v>0</v>
      </c>
      <c r="M269" t="n">
        <v>0</v>
      </c>
      <c r="N269" t="n">
        <v>0</v>
      </c>
      <c r="O269" t="n">
        <v>0</v>
      </c>
      <c r="P269" t="n">
        <v>0</v>
      </c>
      <c r="Q269" t="n">
        <v>0</v>
      </c>
      <c r="R269" s="2" t="inlineStr"/>
    </row>
    <row r="270" ht="15" customHeight="1">
      <c r="A270" t="inlineStr">
        <is>
          <t>A 68854-2019</t>
        </is>
      </c>
      <c r="B270" s="1" t="n">
        <v>43820</v>
      </c>
      <c r="C270" s="1" t="n">
        <v>45812</v>
      </c>
      <c r="D270" t="inlineStr">
        <is>
          <t>DALARNAS LÄN</t>
        </is>
      </c>
      <c r="E270" t="inlineStr">
        <is>
          <t>ÄLVDALEN</t>
        </is>
      </c>
      <c r="G270" t="n">
        <v>1.6</v>
      </c>
      <c r="H270" t="n">
        <v>0</v>
      </c>
      <c r="I270" t="n">
        <v>0</v>
      </c>
      <c r="J270" t="n">
        <v>0</v>
      </c>
      <c r="K270" t="n">
        <v>0</v>
      </c>
      <c r="L270" t="n">
        <v>0</v>
      </c>
      <c r="M270" t="n">
        <v>0</v>
      </c>
      <c r="N270" t="n">
        <v>0</v>
      </c>
      <c r="O270" t="n">
        <v>0</v>
      </c>
      <c r="P270" t="n">
        <v>0</v>
      </c>
      <c r="Q270" t="n">
        <v>0</v>
      </c>
      <c r="R270" s="2" t="inlineStr"/>
    </row>
    <row r="271" ht="15" customHeight="1">
      <c r="A271" t="inlineStr">
        <is>
          <t>A 68936-2019</t>
        </is>
      </c>
      <c r="B271" s="1" t="n">
        <v>43822</v>
      </c>
      <c r="C271" s="1" t="n">
        <v>45812</v>
      </c>
      <c r="D271" t="inlineStr">
        <is>
          <t>DALARNAS LÄN</t>
        </is>
      </c>
      <c r="E271" t="inlineStr">
        <is>
          <t>ÄLVDALEN</t>
        </is>
      </c>
      <c r="G271" t="n">
        <v>3.5</v>
      </c>
      <c r="H271" t="n">
        <v>0</v>
      </c>
      <c r="I271" t="n">
        <v>0</v>
      </c>
      <c r="J271" t="n">
        <v>0</v>
      </c>
      <c r="K271" t="n">
        <v>0</v>
      </c>
      <c r="L271" t="n">
        <v>0</v>
      </c>
      <c r="M271" t="n">
        <v>0</v>
      </c>
      <c r="N271" t="n">
        <v>0</v>
      </c>
      <c r="O271" t="n">
        <v>0</v>
      </c>
      <c r="P271" t="n">
        <v>0</v>
      </c>
      <c r="Q271" t="n">
        <v>0</v>
      </c>
      <c r="R271" s="2" t="inlineStr"/>
    </row>
    <row r="272" ht="15" customHeight="1">
      <c r="A272" t="inlineStr">
        <is>
          <t>A 2050-2020</t>
        </is>
      </c>
      <c r="B272" s="1" t="n">
        <v>43845</v>
      </c>
      <c r="C272" s="1" t="n">
        <v>45812</v>
      </c>
      <c r="D272" t="inlineStr">
        <is>
          <t>DALARNAS LÄN</t>
        </is>
      </c>
      <c r="E272" t="inlineStr">
        <is>
          <t>ÄLVDALEN</t>
        </is>
      </c>
      <c r="G272" t="n">
        <v>9.5</v>
      </c>
      <c r="H272" t="n">
        <v>0</v>
      </c>
      <c r="I272" t="n">
        <v>0</v>
      </c>
      <c r="J272" t="n">
        <v>0</v>
      </c>
      <c r="K272" t="n">
        <v>0</v>
      </c>
      <c r="L272" t="n">
        <v>0</v>
      </c>
      <c r="M272" t="n">
        <v>0</v>
      </c>
      <c r="N272" t="n">
        <v>0</v>
      </c>
      <c r="O272" t="n">
        <v>0</v>
      </c>
      <c r="P272" t="n">
        <v>0</v>
      </c>
      <c r="Q272" t="n">
        <v>0</v>
      </c>
      <c r="R272" s="2" t="inlineStr"/>
    </row>
    <row r="273" ht="15" customHeight="1">
      <c r="A273" t="inlineStr">
        <is>
          <t>A 3301-2020</t>
        </is>
      </c>
      <c r="B273" s="1" t="n">
        <v>43852</v>
      </c>
      <c r="C273" s="1" t="n">
        <v>45812</v>
      </c>
      <c r="D273" t="inlineStr">
        <is>
          <t>DALARNAS LÄN</t>
        </is>
      </c>
      <c r="E273" t="inlineStr">
        <is>
          <t>ÄLVDALEN</t>
        </is>
      </c>
      <c r="G273" t="n">
        <v>3.3</v>
      </c>
      <c r="H273" t="n">
        <v>0</v>
      </c>
      <c r="I273" t="n">
        <v>0</v>
      </c>
      <c r="J273" t="n">
        <v>0</v>
      </c>
      <c r="K273" t="n">
        <v>0</v>
      </c>
      <c r="L273" t="n">
        <v>0</v>
      </c>
      <c r="M273" t="n">
        <v>0</v>
      </c>
      <c r="N273" t="n">
        <v>0</v>
      </c>
      <c r="O273" t="n">
        <v>0</v>
      </c>
      <c r="P273" t="n">
        <v>0</v>
      </c>
      <c r="Q273" t="n">
        <v>0</v>
      </c>
      <c r="R273" s="2" t="inlineStr"/>
    </row>
    <row r="274" ht="15" customHeight="1">
      <c r="A274" t="inlineStr">
        <is>
          <t>A 3917-2020</t>
        </is>
      </c>
      <c r="B274" s="1" t="n">
        <v>43854</v>
      </c>
      <c r="C274" s="1" t="n">
        <v>45812</v>
      </c>
      <c r="D274" t="inlineStr">
        <is>
          <t>DALARNAS LÄN</t>
        </is>
      </c>
      <c r="E274" t="inlineStr">
        <is>
          <t>ÄLVDALEN</t>
        </is>
      </c>
      <c r="G274" t="n">
        <v>3.6</v>
      </c>
      <c r="H274" t="n">
        <v>0</v>
      </c>
      <c r="I274" t="n">
        <v>0</v>
      </c>
      <c r="J274" t="n">
        <v>0</v>
      </c>
      <c r="K274" t="n">
        <v>0</v>
      </c>
      <c r="L274" t="n">
        <v>0</v>
      </c>
      <c r="M274" t="n">
        <v>0</v>
      </c>
      <c r="N274" t="n">
        <v>0</v>
      </c>
      <c r="O274" t="n">
        <v>0</v>
      </c>
      <c r="P274" t="n">
        <v>0</v>
      </c>
      <c r="Q274" t="n">
        <v>0</v>
      </c>
      <c r="R274" s="2" t="inlineStr"/>
    </row>
    <row r="275" ht="15" customHeight="1">
      <c r="A275" t="inlineStr">
        <is>
          <t>A 6317-2020</t>
        </is>
      </c>
      <c r="B275" s="1" t="n">
        <v>43866</v>
      </c>
      <c r="C275" s="1" t="n">
        <v>45812</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6319-2020</t>
        </is>
      </c>
      <c r="B276" s="1" t="n">
        <v>43866</v>
      </c>
      <c r="C276" s="1" t="n">
        <v>45812</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8751-2020</t>
        </is>
      </c>
      <c r="B277" s="1" t="n">
        <v>43878</v>
      </c>
      <c r="C277" s="1" t="n">
        <v>45812</v>
      </c>
      <c r="D277" t="inlineStr">
        <is>
          <t>DALARNAS LÄN</t>
        </is>
      </c>
      <c r="E277" t="inlineStr">
        <is>
          <t>ÄLVDALEN</t>
        </is>
      </c>
      <c r="G277" t="n">
        <v>1.9</v>
      </c>
      <c r="H277" t="n">
        <v>0</v>
      </c>
      <c r="I277" t="n">
        <v>0</v>
      </c>
      <c r="J277" t="n">
        <v>0</v>
      </c>
      <c r="K277" t="n">
        <v>0</v>
      </c>
      <c r="L277" t="n">
        <v>0</v>
      </c>
      <c r="M277" t="n">
        <v>0</v>
      </c>
      <c r="N277" t="n">
        <v>0</v>
      </c>
      <c r="O277" t="n">
        <v>0</v>
      </c>
      <c r="P277" t="n">
        <v>0</v>
      </c>
      <c r="Q277" t="n">
        <v>0</v>
      </c>
      <c r="R277" s="2" t="inlineStr"/>
    </row>
    <row r="278" ht="15" customHeight="1">
      <c r="A278" t="inlineStr">
        <is>
          <t>A 8864-2020</t>
        </is>
      </c>
      <c r="B278" s="1" t="n">
        <v>43878</v>
      </c>
      <c r="C278" s="1" t="n">
        <v>45812</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10047-2020</t>
        </is>
      </c>
      <c r="B279" s="1" t="n">
        <v>43882</v>
      </c>
      <c r="C279" s="1" t="n">
        <v>45812</v>
      </c>
      <c r="D279" t="inlineStr">
        <is>
          <t>DALARNAS LÄN</t>
        </is>
      </c>
      <c r="E279" t="inlineStr">
        <is>
          <t>ÄLVDALEN</t>
        </is>
      </c>
      <c r="G279" t="n">
        <v>5.7</v>
      </c>
      <c r="H279" t="n">
        <v>0</v>
      </c>
      <c r="I279" t="n">
        <v>0</v>
      </c>
      <c r="J279" t="n">
        <v>0</v>
      </c>
      <c r="K279" t="n">
        <v>0</v>
      </c>
      <c r="L279" t="n">
        <v>0</v>
      </c>
      <c r="M279" t="n">
        <v>0</v>
      </c>
      <c r="N279" t="n">
        <v>0</v>
      </c>
      <c r="O279" t="n">
        <v>0</v>
      </c>
      <c r="P279" t="n">
        <v>0</v>
      </c>
      <c r="Q279" t="n">
        <v>0</v>
      </c>
      <c r="R279" s="2" t="inlineStr"/>
    </row>
    <row r="280" ht="15" customHeight="1">
      <c r="A280" t="inlineStr">
        <is>
          <t>A 12540-2020</t>
        </is>
      </c>
      <c r="B280" s="1" t="n">
        <v>43897</v>
      </c>
      <c r="C280" s="1" t="n">
        <v>45812</v>
      </c>
      <c r="D280" t="inlineStr">
        <is>
          <t>DALARNAS LÄN</t>
        </is>
      </c>
      <c r="E280" t="inlineStr">
        <is>
          <t>ÄLVDALEN</t>
        </is>
      </c>
      <c r="G280" t="n">
        <v>3.7</v>
      </c>
      <c r="H280" t="n">
        <v>0</v>
      </c>
      <c r="I280" t="n">
        <v>0</v>
      </c>
      <c r="J280" t="n">
        <v>0</v>
      </c>
      <c r="K280" t="n">
        <v>0</v>
      </c>
      <c r="L280" t="n">
        <v>0</v>
      </c>
      <c r="M280" t="n">
        <v>0</v>
      </c>
      <c r="N280" t="n">
        <v>0</v>
      </c>
      <c r="O280" t="n">
        <v>0</v>
      </c>
      <c r="P280" t="n">
        <v>0</v>
      </c>
      <c r="Q280" t="n">
        <v>0</v>
      </c>
      <c r="R280" s="2" t="inlineStr"/>
    </row>
    <row r="281" ht="15" customHeight="1">
      <c r="A281" t="inlineStr">
        <is>
          <t>A 15596-2020</t>
        </is>
      </c>
      <c r="B281" s="1" t="n">
        <v>43914</v>
      </c>
      <c r="C281" s="1" t="n">
        <v>45812</v>
      </c>
      <c r="D281" t="inlineStr">
        <is>
          <t>DALARNAS LÄN</t>
        </is>
      </c>
      <c r="E281" t="inlineStr">
        <is>
          <t>ÄLVDALEN</t>
        </is>
      </c>
      <c r="F281" t="inlineStr">
        <is>
          <t>Allmännings- och besparingsskogar</t>
        </is>
      </c>
      <c r="G281" t="n">
        <v>19.5</v>
      </c>
      <c r="H281" t="n">
        <v>0</v>
      </c>
      <c r="I281" t="n">
        <v>0</v>
      </c>
      <c r="J281" t="n">
        <v>0</v>
      </c>
      <c r="K281" t="n">
        <v>0</v>
      </c>
      <c r="L281" t="n">
        <v>0</v>
      </c>
      <c r="M281" t="n">
        <v>0</v>
      </c>
      <c r="N281" t="n">
        <v>0</v>
      </c>
      <c r="O281" t="n">
        <v>0</v>
      </c>
      <c r="P281" t="n">
        <v>0</v>
      </c>
      <c r="Q281" t="n">
        <v>0</v>
      </c>
      <c r="R281" s="2" t="inlineStr"/>
    </row>
    <row r="282" ht="15" customHeight="1">
      <c r="A282" t="inlineStr">
        <is>
          <t>A 16308-2020</t>
        </is>
      </c>
      <c r="B282" s="1" t="n">
        <v>43917</v>
      </c>
      <c r="C282" s="1" t="n">
        <v>45812</v>
      </c>
      <c r="D282" t="inlineStr">
        <is>
          <t>DALARNAS LÄN</t>
        </is>
      </c>
      <c r="E282" t="inlineStr">
        <is>
          <t>ÄLVDALEN</t>
        </is>
      </c>
      <c r="F282" t="inlineStr">
        <is>
          <t>Allmännings- och besparingsskogar</t>
        </is>
      </c>
      <c r="G282" t="n">
        <v>29.7</v>
      </c>
      <c r="H282" t="n">
        <v>0</v>
      </c>
      <c r="I282" t="n">
        <v>0</v>
      </c>
      <c r="J282" t="n">
        <v>0</v>
      </c>
      <c r="K282" t="n">
        <v>0</v>
      </c>
      <c r="L282" t="n">
        <v>0</v>
      </c>
      <c r="M282" t="n">
        <v>0</v>
      </c>
      <c r="N282" t="n">
        <v>0</v>
      </c>
      <c r="O282" t="n">
        <v>0</v>
      </c>
      <c r="P282" t="n">
        <v>0</v>
      </c>
      <c r="Q282" t="n">
        <v>0</v>
      </c>
      <c r="R282" s="2" t="inlineStr"/>
    </row>
    <row r="283" ht="15" customHeight="1">
      <c r="A283" t="inlineStr">
        <is>
          <t>A 16911-2020</t>
        </is>
      </c>
      <c r="B283" s="1" t="n">
        <v>43921</v>
      </c>
      <c r="C283" s="1" t="n">
        <v>45812</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17096-2020</t>
        </is>
      </c>
      <c r="B284" s="1" t="n">
        <v>43922</v>
      </c>
      <c r="C284" s="1" t="n">
        <v>45812</v>
      </c>
      <c r="D284" t="inlineStr">
        <is>
          <t>DALARNAS LÄN</t>
        </is>
      </c>
      <c r="E284" t="inlineStr">
        <is>
          <t>ÄLVDALEN</t>
        </is>
      </c>
      <c r="F284" t="inlineStr">
        <is>
          <t>Allmännings- och besparingsskogar</t>
        </is>
      </c>
      <c r="G284" t="n">
        <v>66.7</v>
      </c>
      <c r="H284" t="n">
        <v>0</v>
      </c>
      <c r="I284" t="n">
        <v>0</v>
      </c>
      <c r="J284" t="n">
        <v>0</v>
      </c>
      <c r="K284" t="n">
        <v>0</v>
      </c>
      <c r="L284" t="n">
        <v>0</v>
      </c>
      <c r="M284" t="n">
        <v>0</v>
      </c>
      <c r="N284" t="n">
        <v>0</v>
      </c>
      <c r="O284" t="n">
        <v>0</v>
      </c>
      <c r="P284" t="n">
        <v>0</v>
      </c>
      <c r="Q284" t="n">
        <v>0</v>
      </c>
      <c r="R284" s="2" t="inlineStr"/>
    </row>
    <row r="285" ht="15" customHeight="1">
      <c r="A285" t="inlineStr">
        <is>
          <t>A 17109-2020</t>
        </is>
      </c>
      <c r="B285" s="1" t="n">
        <v>43922</v>
      </c>
      <c r="C285" s="1" t="n">
        <v>45812</v>
      </c>
      <c r="D285" t="inlineStr">
        <is>
          <t>DALARNAS LÄN</t>
        </is>
      </c>
      <c r="E285" t="inlineStr">
        <is>
          <t>ÄLVDALEN</t>
        </is>
      </c>
      <c r="F285" t="inlineStr">
        <is>
          <t>Allmännings- och besparingsskogar</t>
        </is>
      </c>
      <c r="G285" t="n">
        <v>22.3</v>
      </c>
      <c r="H285" t="n">
        <v>0</v>
      </c>
      <c r="I285" t="n">
        <v>0</v>
      </c>
      <c r="J285" t="n">
        <v>0</v>
      </c>
      <c r="K285" t="n">
        <v>0</v>
      </c>
      <c r="L285" t="n">
        <v>0</v>
      </c>
      <c r="M285" t="n">
        <v>0</v>
      </c>
      <c r="N285" t="n">
        <v>0</v>
      </c>
      <c r="O285" t="n">
        <v>0</v>
      </c>
      <c r="P285" t="n">
        <v>0</v>
      </c>
      <c r="Q285" t="n">
        <v>0</v>
      </c>
      <c r="R285" s="2" t="inlineStr"/>
    </row>
    <row r="286" ht="15" customHeight="1">
      <c r="A286" t="inlineStr">
        <is>
          <t>A 17099-2020</t>
        </is>
      </c>
      <c r="B286" s="1" t="n">
        <v>43922</v>
      </c>
      <c r="C286" s="1" t="n">
        <v>45812</v>
      </c>
      <c r="D286" t="inlineStr">
        <is>
          <t>DALARNAS LÄN</t>
        </is>
      </c>
      <c r="E286" t="inlineStr">
        <is>
          <t>ÄLVDALEN</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17103-2020</t>
        </is>
      </c>
      <c r="B287" s="1" t="n">
        <v>43922</v>
      </c>
      <c r="C287" s="1" t="n">
        <v>45812</v>
      </c>
      <c r="D287" t="inlineStr">
        <is>
          <t>DALARNAS LÄN</t>
        </is>
      </c>
      <c r="E287" t="inlineStr">
        <is>
          <t>ÄLVDALEN</t>
        </is>
      </c>
      <c r="F287" t="inlineStr">
        <is>
          <t>Allmännings- och besparingsskogar</t>
        </is>
      </c>
      <c r="G287" t="n">
        <v>54.1</v>
      </c>
      <c r="H287" t="n">
        <v>0</v>
      </c>
      <c r="I287" t="n">
        <v>0</v>
      </c>
      <c r="J287" t="n">
        <v>0</v>
      </c>
      <c r="K287" t="n">
        <v>0</v>
      </c>
      <c r="L287" t="n">
        <v>0</v>
      </c>
      <c r="M287" t="n">
        <v>0</v>
      </c>
      <c r="N287" t="n">
        <v>0</v>
      </c>
      <c r="O287" t="n">
        <v>0</v>
      </c>
      <c r="P287" t="n">
        <v>0</v>
      </c>
      <c r="Q287" t="n">
        <v>0</v>
      </c>
      <c r="R287" s="2" t="inlineStr"/>
    </row>
    <row r="288" ht="15" customHeight="1">
      <c r="A288" t="inlineStr">
        <is>
          <t>A 17430-2020</t>
        </is>
      </c>
      <c r="B288" s="1" t="n">
        <v>43923</v>
      </c>
      <c r="C288" s="1" t="n">
        <v>45812</v>
      </c>
      <c r="D288" t="inlineStr">
        <is>
          <t>DALARNAS LÄN</t>
        </is>
      </c>
      <c r="E288" t="inlineStr">
        <is>
          <t>ÄLVDALEN</t>
        </is>
      </c>
      <c r="G288" t="n">
        <v>1.8</v>
      </c>
      <c r="H288" t="n">
        <v>0</v>
      </c>
      <c r="I288" t="n">
        <v>0</v>
      </c>
      <c r="J288" t="n">
        <v>0</v>
      </c>
      <c r="K288" t="n">
        <v>0</v>
      </c>
      <c r="L288" t="n">
        <v>0</v>
      </c>
      <c r="M288" t="n">
        <v>0</v>
      </c>
      <c r="N288" t="n">
        <v>0</v>
      </c>
      <c r="O288" t="n">
        <v>0</v>
      </c>
      <c r="P288" t="n">
        <v>0</v>
      </c>
      <c r="Q288" t="n">
        <v>0</v>
      </c>
      <c r="R288" s="2" t="inlineStr"/>
    </row>
    <row r="289" ht="15" customHeight="1">
      <c r="A289" t="inlineStr">
        <is>
          <t>A 18378-2020</t>
        </is>
      </c>
      <c r="B289" s="1" t="n">
        <v>43928</v>
      </c>
      <c r="C289" s="1" t="n">
        <v>45812</v>
      </c>
      <c r="D289" t="inlineStr">
        <is>
          <t>DALARNAS LÄN</t>
        </is>
      </c>
      <c r="E289" t="inlineStr">
        <is>
          <t>ÄLVDALEN</t>
        </is>
      </c>
      <c r="F289" t="inlineStr">
        <is>
          <t>Allmännings- och besparingsskogar</t>
        </is>
      </c>
      <c r="G289" t="n">
        <v>48.4</v>
      </c>
      <c r="H289" t="n">
        <v>0</v>
      </c>
      <c r="I289" t="n">
        <v>0</v>
      </c>
      <c r="J289" t="n">
        <v>0</v>
      </c>
      <c r="K289" t="n">
        <v>0</v>
      </c>
      <c r="L289" t="n">
        <v>0</v>
      </c>
      <c r="M289" t="n">
        <v>0</v>
      </c>
      <c r="N289" t="n">
        <v>0</v>
      </c>
      <c r="O289" t="n">
        <v>0</v>
      </c>
      <c r="P289" t="n">
        <v>0</v>
      </c>
      <c r="Q289" t="n">
        <v>0</v>
      </c>
      <c r="R289" s="2" t="inlineStr"/>
    </row>
    <row r="290" ht="15" customHeight="1">
      <c r="A290" t="inlineStr">
        <is>
          <t>A 23179-2020</t>
        </is>
      </c>
      <c r="B290" s="1" t="n">
        <v>43937</v>
      </c>
      <c r="C290" s="1" t="n">
        <v>45812</v>
      </c>
      <c r="D290" t="inlineStr">
        <is>
          <t>DALARNAS LÄN</t>
        </is>
      </c>
      <c r="E290" t="inlineStr">
        <is>
          <t>ÄLVDALEN</t>
        </is>
      </c>
      <c r="F290" t="inlineStr">
        <is>
          <t>Sveaskog</t>
        </is>
      </c>
      <c r="G290" t="n">
        <v>75.09999999999999</v>
      </c>
      <c r="H290" t="n">
        <v>0</v>
      </c>
      <c r="I290" t="n">
        <v>0</v>
      </c>
      <c r="J290" t="n">
        <v>0</v>
      </c>
      <c r="K290" t="n">
        <v>0</v>
      </c>
      <c r="L290" t="n">
        <v>0</v>
      </c>
      <c r="M290" t="n">
        <v>0</v>
      </c>
      <c r="N290" t="n">
        <v>0</v>
      </c>
      <c r="O290" t="n">
        <v>0</v>
      </c>
      <c r="P290" t="n">
        <v>0</v>
      </c>
      <c r="Q290" t="n">
        <v>0</v>
      </c>
      <c r="R290" s="2" t="inlineStr"/>
    </row>
    <row r="291" ht="15" customHeight="1">
      <c r="A291" t="inlineStr">
        <is>
          <t>A 20189-2020</t>
        </is>
      </c>
      <c r="B291" s="1" t="n">
        <v>43944</v>
      </c>
      <c r="C291" s="1" t="n">
        <v>45812</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20290-2020</t>
        </is>
      </c>
      <c r="B292" s="1" t="n">
        <v>43944</v>
      </c>
      <c r="C292" s="1" t="n">
        <v>45812</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21120-2020</t>
        </is>
      </c>
      <c r="B293" s="1" t="n">
        <v>43951</v>
      </c>
      <c r="C293" s="1" t="n">
        <v>45812</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21128-2020</t>
        </is>
      </c>
      <c r="B294" s="1" t="n">
        <v>43951</v>
      </c>
      <c r="C294" s="1" t="n">
        <v>45812</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21367-2020</t>
        </is>
      </c>
      <c r="B295" s="1" t="n">
        <v>43955</v>
      </c>
      <c r="C295" s="1" t="n">
        <v>45812</v>
      </c>
      <c r="D295" t="inlineStr">
        <is>
          <t>DALARNAS LÄN</t>
        </is>
      </c>
      <c r="E295" t="inlineStr">
        <is>
          <t>ÄLVDALEN</t>
        </is>
      </c>
      <c r="G295" t="n">
        <v>4</v>
      </c>
      <c r="H295" t="n">
        <v>0</v>
      </c>
      <c r="I295" t="n">
        <v>0</v>
      </c>
      <c r="J295" t="n">
        <v>0</v>
      </c>
      <c r="K295" t="n">
        <v>0</v>
      </c>
      <c r="L295" t="n">
        <v>0</v>
      </c>
      <c r="M295" t="n">
        <v>0</v>
      </c>
      <c r="N295" t="n">
        <v>0</v>
      </c>
      <c r="O295" t="n">
        <v>0</v>
      </c>
      <c r="P295" t="n">
        <v>0</v>
      </c>
      <c r="Q295" t="n">
        <v>0</v>
      </c>
      <c r="R295" s="2" t="inlineStr"/>
    </row>
    <row r="296" ht="15" customHeight="1">
      <c r="A296" t="inlineStr">
        <is>
          <t>A 21927-2020</t>
        </is>
      </c>
      <c r="B296" s="1" t="n">
        <v>43955</v>
      </c>
      <c r="C296" s="1" t="n">
        <v>45812</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23448-2020</t>
        </is>
      </c>
      <c r="B297" s="1" t="n">
        <v>43969</v>
      </c>
      <c r="C297" s="1" t="n">
        <v>45812</v>
      </c>
      <c r="D297" t="inlineStr">
        <is>
          <t>DALARNAS LÄN</t>
        </is>
      </c>
      <c r="E297" t="inlineStr">
        <is>
          <t>ÄLVDALEN</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25966-2020</t>
        </is>
      </c>
      <c r="B298" s="1" t="n">
        <v>43985</v>
      </c>
      <c r="C298" s="1" t="n">
        <v>45812</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26792-2020</t>
        </is>
      </c>
      <c r="B299" s="1" t="n">
        <v>43990</v>
      </c>
      <c r="C299" s="1" t="n">
        <v>45812</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26808-2020</t>
        </is>
      </c>
      <c r="B300" s="1" t="n">
        <v>43990</v>
      </c>
      <c r="C300" s="1" t="n">
        <v>45812</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26788-2020</t>
        </is>
      </c>
      <c r="B301" s="1" t="n">
        <v>43990</v>
      </c>
      <c r="C301" s="1" t="n">
        <v>45812</v>
      </c>
      <c r="D301" t="inlineStr">
        <is>
          <t>DALARNAS LÄN</t>
        </is>
      </c>
      <c r="E301" t="inlineStr">
        <is>
          <t>ÄLVDALEN</t>
        </is>
      </c>
      <c r="G301" t="n">
        <v>0.2</v>
      </c>
      <c r="H301" t="n">
        <v>0</v>
      </c>
      <c r="I301" t="n">
        <v>0</v>
      </c>
      <c r="J301" t="n">
        <v>0</v>
      </c>
      <c r="K301" t="n">
        <v>0</v>
      </c>
      <c r="L301" t="n">
        <v>0</v>
      </c>
      <c r="M301" t="n">
        <v>0</v>
      </c>
      <c r="N301" t="n">
        <v>0</v>
      </c>
      <c r="O301" t="n">
        <v>0</v>
      </c>
      <c r="P301" t="n">
        <v>0</v>
      </c>
      <c r="Q301" t="n">
        <v>0</v>
      </c>
      <c r="R301" s="2" t="inlineStr"/>
    </row>
    <row r="302" ht="15" customHeight="1">
      <c r="A302" t="inlineStr">
        <is>
          <t>A 26801-2020</t>
        </is>
      </c>
      <c r="B302" s="1" t="n">
        <v>43990</v>
      </c>
      <c r="C302" s="1" t="n">
        <v>45812</v>
      </c>
      <c r="D302" t="inlineStr">
        <is>
          <t>DALARNAS LÄN</t>
        </is>
      </c>
      <c r="E302" t="inlineStr">
        <is>
          <t>ÄLVDALEN</t>
        </is>
      </c>
      <c r="G302" t="n">
        <v>0.5</v>
      </c>
      <c r="H302" t="n">
        <v>0</v>
      </c>
      <c r="I302" t="n">
        <v>0</v>
      </c>
      <c r="J302" t="n">
        <v>0</v>
      </c>
      <c r="K302" t="n">
        <v>0</v>
      </c>
      <c r="L302" t="n">
        <v>0</v>
      </c>
      <c r="M302" t="n">
        <v>0</v>
      </c>
      <c r="N302" t="n">
        <v>0</v>
      </c>
      <c r="O302" t="n">
        <v>0</v>
      </c>
      <c r="P302" t="n">
        <v>0</v>
      </c>
      <c r="Q302" t="n">
        <v>0</v>
      </c>
      <c r="R302" s="2" t="inlineStr"/>
    </row>
    <row r="303" ht="15" customHeight="1">
      <c r="A303" t="inlineStr">
        <is>
          <t>A 27040-2020</t>
        </is>
      </c>
      <c r="B303" s="1" t="n">
        <v>43991</v>
      </c>
      <c r="C303" s="1" t="n">
        <v>45812</v>
      </c>
      <c r="D303" t="inlineStr">
        <is>
          <t>DALARNAS LÄN</t>
        </is>
      </c>
      <c r="E303" t="inlineStr">
        <is>
          <t>ÄLVDALEN</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27038-2020</t>
        </is>
      </c>
      <c r="B304" s="1" t="n">
        <v>43991</v>
      </c>
      <c r="C304" s="1" t="n">
        <v>45812</v>
      </c>
      <c r="D304" t="inlineStr">
        <is>
          <t>DALARNAS LÄN</t>
        </is>
      </c>
      <c r="E304" t="inlineStr">
        <is>
          <t>ÄLVDALEN</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27041-2020</t>
        </is>
      </c>
      <c r="B305" s="1" t="n">
        <v>43991</v>
      </c>
      <c r="C305" s="1" t="n">
        <v>45812</v>
      </c>
      <c r="D305" t="inlineStr">
        <is>
          <t>DALARNAS LÄN</t>
        </is>
      </c>
      <c r="E305" t="inlineStr">
        <is>
          <t>ÄLVDALEN</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29545-2020</t>
        </is>
      </c>
      <c r="B306" s="1" t="n">
        <v>44005</v>
      </c>
      <c r="C306" s="1" t="n">
        <v>45812</v>
      </c>
      <c r="D306" t="inlineStr">
        <is>
          <t>DALARNAS LÄN</t>
        </is>
      </c>
      <c r="E306" t="inlineStr">
        <is>
          <t>ÄLVDALEN</t>
        </is>
      </c>
      <c r="F306" t="inlineStr">
        <is>
          <t>Bergvik skog väst AB</t>
        </is>
      </c>
      <c r="G306" t="n">
        <v>7.2</v>
      </c>
      <c r="H306" t="n">
        <v>0</v>
      </c>
      <c r="I306" t="n">
        <v>0</v>
      </c>
      <c r="J306" t="n">
        <v>0</v>
      </c>
      <c r="K306" t="n">
        <v>0</v>
      </c>
      <c r="L306" t="n">
        <v>0</v>
      </c>
      <c r="M306" t="n">
        <v>0</v>
      </c>
      <c r="N306" t="n">
        <v>0</v>
      </c>
      <c r="O306" t="n">
        <v>0</v>
      </c>
      <c r="P306" t="n">
        <v>0</v>
      </c>
      <c r="Q306" t="n">
        <v>0</v>
      </c>
      <c r="R306" s="2" t="inlineStr"/>
    </row>
    <row r="307" ht="15" customHeight="1">
      <c r="A307" t="inlineStr">
        <is>
          <t>A 29703-2020</t>
        </is>
      </c>
      <c r="B307" s="1" t="n">
        <v>44005</v>
      </c>
      <c r="C307" s="1" t="n">
        <v>45812</v>
      </c>
      <c r="D307" t="inlineStr">
        <is>
          <t>DALARNAS LÄN</t>
        </is>
      </c>
      <c r="E307" t="inlineStr">
        <is>
          <t>ÄLVDALEN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32286-2020</t>
        </is>
      </c>
      <c r="B308" s="1" t="n">
        <v>44015</v>
      </c>
      <c r="C308" s="1" t="n">
        <v>45812</v>
      </c>
      <c r="D308" t="inlineStr">
        <is>
          <t>DALARNAS LÄN</t>
        </is>
      </c>
      <c r="E308" t="inlineStr">
        <is>
          <t>ÄLVDALEN</t>
        </is>
      </c>
      <c r="F308" t="inlineStr">
        <is>
          <t>Sveaskog</t>
        </is>
      </c>
      <c r="G308" t="n">
        <v>10.5</v>
      </c>
      <c r="H308" t="n">
        <v>0</v>
      </c>
      <c r="I308" t="n">
        <v>0</v>
      </c>
      <c r="J308" t="n">
        <v>0</v>
      </c>
      <c r="K308" t="n">
        <v>0</v>
      </c>
      <c r="L308" t="n">
        <v>0</v>
      </c>
      <c r="M308" t="n">
        <v>0</v>
      </c>
      <c r="N308" t="n">
        <v>0</v>
      </c>
      <c r="O308" t="n">
        <v>0</v>
      </c>
      <c r="P308" t="n">
        <v>0</v>
      </c>
      <c r="Q308" t="n">
        <v>0</v>
      </c>
      <c r="R308" s="2" t="inlineStr"/>
    </row>
    <row r="309" ht="15" customHeight="1">
      <c r="A309" t="inlineStr">
        <is>
          <t>A 32282-2020</t>
        </is>
      </c>
      <c r="B309" s="1" t="n">
        <v>44015</v>
      </c>
      <c r="C309" s="1" t="n">
        <v>45812</v>
      </c>
      <c r="D309" t="inlineStr">
        <is>
          <t>DALARNAS LÄN</t>
        </is>
      </c>
      <c r="E309" t="inlineStr">
        <is>
          <t>ÄLVDALEN</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32285-2020</t>
        </is>
      </c>
      <c r="B310" s="1" t="n">
        <v>44015</v>
      </c>
      <c r="C310" s="1" t="n">
        <v>45812</v>
      </c>
      <c r="D310" t="inlineStr">
        <is>
          <t>DALARNAS LÄN</t>
        </is>
      </c>
      <c r="E310" t="inlineStr">
        <is>
          <t>ÄLVDALEN</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33816-2020</t>
        </is>
      </c>
      <c r="B311" s="1" t="n">
        <v>44027</v>
      </c>
      <c r="C311" s="1" t="n">
        <v>45812</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35833-2020</t>
        </is>
      </c>
      <c r="B312" s="1" t="n">
        <v>44047</v>
      </c>
      <c r="C312" s="1" t="n">
        <v>45812</v>
      </c>
      <c r="D312" t="inlineStr">
        <is>
          <t>DALARNAS LÄN</t>
        </is>
      </c>
      <c r="E312" t="inlineStr">
        <is>
          <t>ÄLVDALEN</t>
        </is>
      </c>
      <c r="G312" t="n">
        <v>5.8</v>
      </c>
      <c r="H312" t="n">
        <v>0</v>
      </c>
      <c r="I312" t="n">
        <v>0</v>
      </c>
      <c r="J312" t="n">
        <v>0</v>
      </c>
      <c r="K312" t="n">
        <v>0</v>
      </c>
      <c r="L312" t="n">
        <v>0</v>
      </c>
      <c r="M312" t="n">
        <v>0</v>
      </c>
      <c r="N312" t="n">
        <v>0</v>
      </c>
      <c r="O312" t="n">
        <v>0</v>
      </c>
      <c r="P312" t="n">
        <v>0</v>
      </c>
      <c r="Q312" t="n">
        <v>0</v>
      </c>
      <c r="R312" s="2" t="inlineStr"/>
    </row>
    <row r="313" ht="15" customHeight="1">
      <c r="A313" t="inlineStr">
        <is>
          <t>A 36741-2020</t>
        </is>
      </c>
      <c r="B313" s="1" t="n">
        <v>44053</v>
      </c>
      <c r="C313" s="1" t="n">
        <v>45812</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37580-2020</t>
        </is>
      </c>
      <c r="B314" s="1" t="n">
        <v>44056</v>
      </c>
      <c r="C314" s="1" t="n">
        <v>45812</v>
      </c>
      <c r="D314" t="inlineStr">
        <is>
          <t>DALARNAS LÄN</t>
        </is>
      </c>
      <c r="E314" t="inlineStr">
        <is>
          <t>ÄLVDALEN</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39203-2020</t>
        </is>
      </c>
      <c r="B315" s="1" t="n">
        <v>44063</v>
      </c>
      <c r="C315" s="1" t="n">
        <v>45812</v>
      </c>
      <c r="D315" t="inlineStr">
        <is>
          <t>DALARNAS LÄN</t>
        </is>
      </c>
      <c r="E315" t="inlineStr">
        <is>
          <t>ÄLVDALEN</t>
        </is>
      </c>
      <c r="G315" t="n">
        <v>1.4</v>
      </c>
      <c r="H315" t="n">
        <v>0</v>
      </c>
      <c r="I315" t="n">
        <v>0</v>
      </c>
      <c r="J315" t="n">
        <v>0</v>
      </c>
      <c r="K315" t="n">
        <v>0</v>
      </c>
      <c r="L315" t="n">
        <v>0</v>
      </c>
      <c r="M315" t="n">
        <v>0</v>
      </c>
      <c r="N315" t="n">
        <v>0</v>
      </c>
      <c r="O315" t="n">
        <v>0</v>
      </c>
      <c r="P315" t="n">
        <v>0</v>
      </c>
      <c r="Q315" t="n">
        <v>0</v>
      </c>
      <c r="R315" s="2" t="inlineStr"/>
    </row>
    <row r="316" ht="15" customHeight="1">
      <c r="A316" t="inlineStr">
        <is>
          <t>A 41831-2020</t>
        </is>
      </c>
      <c r="B316" s="1" t="n">
        <v>44074</v>
      </c>
      <c r="C316" s="1" t="n">
        <v>45812</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41814-2020</t>
        </is>
      </c>
      <c r="B317" s="1" t="n">
        <v>44074</v>
      </c>
      <c r="C317" s="1" t="n">
        <v>45812</v>
      </c>
      <c r="D317" t="inlineStr">
        <is>
          <t>DALARNAS LÄN</t>
        </is>
      </c>
      <c r="E317" t="inlineStr">
        <is>
          <t>ÄLVDALEN</t>
        </is>
      </c>
      <c r="G317" t="n">
        <v>0.3</v>
      </c>
      <c r="H317" t="n">
        <v>0</v>
      </c>
      <c r="I317" t="n">
        <v>0</v>
      </c>
      <c r="J317" t="n">
        <v>0</v>
      </c>
      <c r="K317" t="n">
        <v>0</v>
      </c>
      <c r="L317" t="n">
        <v>0</v>
      </c>
      <c r="M317" t="n">
        <v>0</v>
      </c>
      <c r="N317" t="n">
        <v>0</v>
      </c>
      <c r="O317" t="n">
        <v>0</v>
      </c>
      <c r="P317" t="n">
        <v>0</v>
      </c>
      <c r="Q317" t="n">
        <v>0</v>
      </c>
      <c r="R317" s="2" t="inlineStr"/>
    </row>
    <row r="318" ht="15" customHeight="1">
      <c r="A318" t="inlineStr">
        <is>
          <t>A 42861-2020</t>
        </is>
      </c>
      <c r="B318" s="1" t="n">
        <v>44078</v>
      </c>
      <c r="C318" s="1" t="n">
        <v>45812</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46881-2020</t>
        </is>
      </c>
      <c r="B319" s="1" t="n">
        <v>44096</v>
      </c>
      <c r="C319" s="1" t="n">
        <v>45812</v>
      </c>
      <c r="D319" t="inlineStr">
        <is>
          <t>DALARNAS LÄN</t>
        </is>
      </c>
      <c r="E319" t="inlineStr">
        <is>
          <t>ÄLVDALEN</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46893-2020</t>
        </is>
      </c>
      <c r="B320" s="1" t="n">
        <v>44096</v>
      </c>
      <c r="C320" s="1" t="n">
        <v>45812</v>
      </c>
      <c r="D320" t="inlineStr">
        <is>
          <t>DALARNAS LÄN</t>
        </is>
      </c>
      <c r="E320" t="inlineStr">
        <is>
          <t>ÄLVDALEN</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49737-2020</t>
        </is>
      </c>
      <c r="B321" s="1" t="n">
        <v>44106</v>
      </c>
      <c r="C321" s="1" t="n">
        <v>45812</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49587-2020</t>
        </is>
      </c>
      <c r="B322" s="1" t="n">
        <v>44106</v>
      </c>
      <c r="C322" s="1" t="n">
        <v>45812</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49734-2020</t>
        </is>
      </c>
      <c r="B323" s="1" t="n">
        <v>44106</v>
      </c>
      <c r="C323" s="1" t="n">
        <v>45812</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49956-2020</t>
        </is>
      </c>
      <c r="B324" s="1" t="n">
        <v>44109</v>
      </c>
      <c r="C324" s="1" t="n">
        <v>45812</v>
      </c>
      <c r="D324" t="inlineStr">
        <is>
          <t>DALARNAS LÄN</t>
        </is>
      </c>
      <c r="E324" t="inlineStr">
        <is>
          <t>ÄLVDALEN</t>
        </is>
      </c>
      <c r="F324" t="inlineStr">
        <is>
          <t>Övriga Aktiebolag</t>
        </is>
      </c>
      <c r="G324" t="n">
        <v>25.8</v>
      </c>
      <c r="H324" t="n">
        <v>0</v>
      </c>
      <c r="I324" t="n">
        <v>0</v>
      </c>
      <c r="J324" t="n">
        <v>0</v>
      </c>
      <c r="K324" t="n">
        <v>0</v>
      </c>
      <c r="L324" t="n">
        <v>0</v>
      </c>
      <c r="M324" t="n">
        <v>0</v>
      </c>
      <c r="N324" t="n">
        <v>0</v>
      </c>
      <c r="O324" t="n">
        <v>0</v>
      </c>
      <c r="P324" t="n">
        <v>0</v>
      </c>
      <c r="Q324" t="n">
        <v>0</v>
      </c>
      <c r="R324" s="2" t="inlineStr"/>
    </row>
    <row r="325" ht="15" customHeight="1">
      <c r="A325" t="inlineStr">
        <is>
          <t>A 49968-2020</t>
        </is>
      </c>
      <c r="B325" s="1" t="n">
        <v>44109</v>
      </c>
      <c r="C325" s="1" t="n">
        <v>45812</v>
      </c>
      <c r="D325" t="inlineStr">
        <is>
          <t>DALARNAS LÄN</t>
        </is>
      </c>
      <c r="E325" t="inlineStr">
        <is>
          <t>ÄLVDALEN</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51519-2020</t>
        </is>
      </c>
      <c r="B326" s="1" t="n">
        <v>44113</v>
      </c>
      <c r="C326" s="1" t="n">
        <v>45812</v>
      </c>
      <c r="D326" t="inlineStr">
        <is>
          <t>DALARNAS LÄN</t>
        </is>
      </c>
      <c r="E326" t="inlineStr">
        <is>
          <t>ÄLVDALEN</t>
        </is>
      </c>
      <c r="G326" t="n">
        <v>0.8</v>
      </c>
      <c r="H326" t="n">
        <v>0</v>
      </c>
      <c r="I326" t="n">
        <v>0</v>
      </c>
      <c r="J326" t="n">
        <v>0</v>
      </c>
      <c r="K326" t="n">
        <v>0</v>
      </c>
      <c r="L326" t="n">
        <v>0</v>
      </c>
      <c r="M326" t="n">
        <v>0</v>
      </c>
      <c r="N326" t="n">
        <v>0</v>
      </c>
      <c r="O326" t="n">
        <v>0</v>
      </c>
      <c r="P326" t="n">
        <v>0</v>
      </c>
      <c r="Q326" t="n">
        <v>0</v>
      </c>
      <c r="R326" s="2" t="inlineStr"/>
    </row>
    <row r="327" ht="15" customHeight="1">
      <c r="A327" t="inlineStr">
        <is>
          <t>A 52401-2020</t>
        </is>
      </c>
      <c r="B327" s="1" t="n">
        <v>44113</v>
      </c>
      <c r="C327" s="1" t="n">
        <v>45812</v>
      </c>
      <c r="D327" t="inlineStr">
        <is>
          <t>DALARNAS LÄN</t>
        </is>
      </c>
      <c r="E327" t="inlineStr">
        <is>
          <t>ÄLVDALEN</t>
        </is>
      </c>
      <c r="G327" t="n">
        <v>4.4</v>
      </c>
      <c r="H327" t="n">
        <v>0</v>
      </c>
      <c r="I327" t="n">
        <v>0</v>
      </c>
      <c r="J327" t="n">
        <v>0</v>
      </c>
      <c r="K327" t="n">
        <v>0</v>
      </c>
      <c r="L327" t="n">
        <v>0</v>
      </c>
      <c r="M327" t="n">
        <v>0</v>
      </c>
      <c r="N327" t="n">
        <v>0</v>
      </c>
      <c r="O327" t="n">
        <v>0</v>
      </c>
      <c r="P327" t="n">
        <v>0</v>
      </c>
      <c r="Q327" t="n">
        <v>0</v>
      </c>
      <c r="R327" s="2" t="inlineStr"/>
    </row>
    <row r="328" ht="15" customHeight="1">
      <c r="A328" t="inlineStr">
        <is>
          <t>A 54138-2020</t>
        </is>
      </c>
      <c r="B328" s="1" t="n">
        <v>44125</v>
      </c>
      <c r="C328" s="1" t="n">
        <v>45812</v>
      </c>
      <c r="D328" t="inlineStr">
        <is>
          <t>DALARNAS LÄN</t>
        </is>
      </c>
      <c r="E328" t="inlineStr">
        <is>
          <t>ÄLVDALEN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54338-2020</t>
        </is>
      </c>
      <c r="B329" s="1" t="n">
        <v>44126</v>
      </c>
      <c r="C329" s="1" t="n">
        <v>45812</v>
      </c>
      <c r="D329" t="inlineStr">
        <is>
          <t>DALARNAS LÄN</t>
        </is>
      </c>
      <c r="E329" t="inlineStr">
        <is>
          <t>ÄLVDALEN</t>
        </is>
      </c>
      <c r="G329" t="n">
        <v>3.4</v>
      </c>
      <c r="H329" t="n">
        <v>0</v>
      </c>
      <c r="I329" t="n">
        <v>0</v>
      </c>
      <c r="J329" t="n">
        <v>0</v>
      </c>
      <c r="K329" t="n">
        <v>0</v>
      </c>
      <c r="L329" t="n">
        <v>0</v>
      </c>
      <c r="M329" t="n">
        <v>0</v>
      </c>
      <c r="N329" t="n">
        <v>0</v>
      </c>
      <c r="O329" t="n">
        <v>0</v>
      </c>
      <c r="P329" t="n">
        <v>0</v>
      </c>
      <c r="Q329" t="n">
        <v>0</v>
      </c>
      <c r="R329" s="2" t="inlineStr"/>
    </row>
    <row r="330" ht="15" customHeight="1">
      <c r="A330" t="inlineStr">
        <is>
          <t>A 58004-2020</t>
        </is>
      </c>
      <c r="B330" s="1" t="n">
        <v>44140</v>
      </c>
      <c r="C330" s="1" t="n">
        <v>45812</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58571-2020</t>
        </is>
      </c>
      <c r="B331" s="1" t="n">
        <v>44145</v>
      </c>
      <c r="C331" s="1" t="n">
        <v>45812</v>
      </c>
      <c r="D331" t="inlineStr">
        <is>
          <t>DALARNAS LÄN</t>
        </is>
      </c>
      <c r="E331" t="inlineStr">
        <is>
          <t>ÄLVDALEN</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58573-2020</t>
        </is>
      </c>
      <c r="B332" s="1" t="n">
        <v>44145</v>
      </c>
      <c r="C332" s="1" t="n">
        <v>45812</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58719-2020</t>
        </is>
      </c>
      <c r="B333" s="1" t="n">
        <v>44146</v>
      </c>
      <c r="C333" s="1" t="n">
        <v>45812</v>
      </c>
      <c r="D333" t="inlineStr">
        <is>
          <t>DALARNAS LÄN</t>
        </is>
      </c>
      <c r="E333" t="inlineStr">
        <is>
          <t>ÄLVDALEN</t>
        </is>
      </c>
      <c r="F333" t="inlineStr">
        <is>
          <t>Sveaskog</t>
        </is>
      </c>
      <c r="G333" t="n">
        <v>0.4</v>
      </c>
      <c r="H333" t="n">
        <v>0</v>
      </c>
      <c r="I333" t="n">
        <v>0</v>
      </c>
      <c r="J333" t="n">
        <v>0</v>
      </c>
      <c r="K333" t="n">
        <v>0</v>
      </c>
      <c r="L333" t="n">
        <v>0</v>
      </c>
      <c r="M333" t="n">
        <v>0</v>
      </c>
      <c r="N333" t="n">
        <v>0</v>
      </c>
      <c r="O333" t="n">
        <v>0</v>
      </c>
      <c r="P333" t="n">
        <v>0</v>
      </c>
      <c r="Q333" t="n">
        <v>0</v>
      </c>
      <c r="R333" s="2" t="inlineStr"/>
    </row>
    <row r="334" ht="15" customHeight="1">
      <c r="A334" t="inlineStr">
        <is>
          <t>A 58718-2020</t>
        </is>
      </c>
      <c r="B334" s="1" t="n">
        <v>44146</v>
      </c>
      <c r="C334" s="1" t="n">
        <v>45812</v>
      </c>
      <c r="D334" t="inlineStr">
        <is>
          <t>DALARNAS LÄN</t>
        </is>
      </c>
      <c r="E334" t="inlineStr">
        <is>
          <t>ÄLVDALEN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61160-2020</t>
        </is>
      </c>
      <c r="B335" s="1" t="n">
        <v>44153</v>
      </c>
      <c r="C335" s="1" t="n">
        <v>45812</v>
      </c>
      <c r="D335" t="inlineStr">
        <is>
          <t>DALARNAS LÄN</t>
        </is>
      </c>
      <c r="E335" t="inlineStr">
        <is>
          <t>ÄLVDALEN</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63296-2020</t>
        </is>
      </c>
      <c r="B336" s="1" t="n">
        <v>44165</v>
      </c>
      <c r="C336" s="1" t="n">
        <v>45812</v>
      </c>
      <c r="D336" t="inlineStr">
        <is>
          <t>DALARNAS LÄN</t>
        </is>
      </c>
      <c r="E336" t="inlineStr">
        <is>
          <t>ÄLVDALEN</t>
        </is>
      </c>
      <c r="F336" t="inlineStr">
        <is>
          <t>Bergvik skog väst AB</t>
        </is>
      </c>
      <c r="G336" t="n">
        <v>2.8</v>
      </c>
      <c r="H336" t="n">
        <v>0</v>
      </c>
      <c r="I336" t="n">
        <v>0</v>
      </c>
      <c r="J336" t="n">
        <v>0</v>
      </c>
      <c r="K336" t="n">
        <v>0</v>
      </c>
      <c r="L336" t="n">
        <v>0</v>
      </c>
      <c r="M336" t="n">
        <v>0</v>
      </c>
      <c r="N336" t="n">
        <v>0</v>
      </c>
      <c r="O336" t="n">
        <v>0</v>
      </c>
      <c r="P336" t="n">
        <v>0</v>
      </c>
      <c r="Q336" t="n">
        <v>0</v>
      </c>
      <c r="R336" s="2" t="inlineStr"/>
    </row>
    <row r="337" ht="15" customHeight="1">
      <c r="A337" t="inlineStr">
        <is>
          <t>A 66589-2020</t>
        </is>
      </c>
      <c r="B337" s="1" t="n">
        <v>44179</v>
      </c>
      <c r="C337" s="1" t="n">
        <v>45812</v>
      </c>
      <c r="D337" t="inlineStr">
        <is>
          <t>DALARNAS LÄN</t>
        </is>
      </c>
      <c r="E337" t="inlineStr">
        <is>
          <t>ÄLVDALEN</t>
        </is>
      </c>
      <c r="G337" t="n">
        <v>3.3</v>
      </c>
      <c r="H337" t="n">
        <v>0</v>
      </c>
      <c r="I337" t="n">
        <v>0</v>
      </c>
      <c r="J337" t="n">
        <v>0</v>
      </c>
      <c r="K337" t="n">
        <v>0</v>
      </c>
      <c r="L337" t="n">
        <v>0</v>
      </c>
      <c r="M337" t="n">
        <v>0</v>
      </c>
      <c r="N337" t="n">
        <v>0</v>
      </c>
      <c r="O337" t="n">
        <v>0</v>
      </c>
      <c r="P337" t="n">
        <v>0</v>
      </c>
      <c r="Q337" t="n">
        <v>0</v>
      </c>
      <c r="R337" s="2" t="inlineStr"/>
    </row>
    <row r="338" ht="15" customHeight="1">
      <c r="A338" t="inlineStr">
        <is>
          <t>A 33-2021</t>
        </is>
      </c>
      <c r="B338" s="1" t="n">
        <v>44198</v>
      </c>
      <c r="C338" s="1" t="n">
        <v>45812</v>
      </c>
      <c r="D338" t="inlineStr">
        <is>
          <t>DALARNAS LÄN</t>
        </is>
      </c>
      <c r="E338" t="inlineStr">
        <is>
          <t>ÄLVDALEN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203-2021</t>
        </is>
      </c>
      <c r="B339" s="1" t="n">
        <v>44200</v>
      </c>
      <c r="C339" s="1" t="n">
        <v>45812</v>
      </c>
      <c r="D339" t="inlineStr">
        <is>
          <t>DALARNAS LÄN</t>
        </is>
      </c>
      <c r="E339" t="inlineStr">
        <is>
          <t>ÄLVDALEN</t>
        </is>
      </c>
      <c r="F339" t="inlineStr">
        <is>
          <t>Övriga statliga verk och myndigheter</t>
        </is>
      </c>
      <c r="G339" t="n">
        <v>19.1</v>
      </c>
      <c r="H339" t="n">
        <v>0</v>
      </c>
      <c r="I339" t="n">
        <v>0</v>
      </c>
      <c r="J339" t="n">
        <v>0</v>
      </c>
      <c r="K339" t="n">
        <v>0</v>
      </c>
      <c r="L339" t="n">
        <v>0</v>
      </c>
      <c r="M339" t="n">
        <v>0</v>
      </c>
      <c r="N339" t="n">
        <v>0</v>
      </c>
      <c r="O339" t="n">
        <v>0</v>
      </c>
      <c r="P339" t="n">
        <v>0</v>
      </c>
      <c r="Q339" t="n">
        <v>0</v>
      </c>
      <c r="R339" s="2" t="inlineStr"/>
    </row>
    <row r="340" ht="15" customHeight="1">
      <c r="A340" t="inlineStr">
        <is>
          <t>A 257-2021</t>
        </is>
      </c>
      <c r="B340" s="1" t="n">
        <v>44200</v>
      </c>
      <c r="C340" s="1" t="n">
        <v>45812</v>
      </c>
      <c r="D340" t="inlineStr">
        <is>
          <t>DALARNAS LÄN</t>
        </is>
      </c>
      <c r="E340" t="inlineStr">
        <is>
          <t>ÄLVDALEN</t>
        </is>
      </c>
      <c r="F340" t="inlineStr">
        <is>
          <t>Övriga statliga verk och myndigheter</t>
        </is>
      </c>
      <c r="G340" t="n">
        <v>6.1</v>
      </c>
      <c r="H340" t="n">
        <v>0</v>
      </c>
      <c r="I340" t="n">
        <v>0</v>
      </c>
      <c r="J340" t="n">
        <v>0</v>
      </c>
      <c r="K340" t="n">
        <v>0</v>
      </c>
      <c r="L340" t="n">
        <v>0</v>
      </c>
      <c r="M340" t="n">
        <v>0</v>
      </c>
      <c r="N340" t="n">
        <v>0</v>
      </c>
      <c r="O340" t="n">
        <v>0</v>
      </c>
      <c r="P340" t="n">
        <v>0</v>
      </c>
      <c r="Q340" t="n">
        <v>0</v>
      </c>
      <c r="R340" s="2" t="inlineStr"/>
    </row>
    <row r="341" ht="15" customHeight="1">
      <c r="A341" t="inlineStr">
        <is>
          <t>A 333-2021</t>
        </is>
      </c>
      <c r="B341" s="1" t="n">
        <v>44201</v>
      </c>
      <c r="C341" s="1" t="n">
        <v>45812</v>
      </c>
      <c r="D341" t="inlineStr">
        <is>
          <t>DALARNAS LÄN</t>
        </is>
      </c>
      <c r="E341" t="inlineStr">
        <is>
          <t>ÄLVDALEN</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435-2021</t>
        </is>
      </c>
      <c r="B342" s="1" t="n">
        <v>44201</v>
      </c>
      <c r="C342" s="1" t="n">
        <v>45812</v>
      </c>
      <c r="D342" t="inlineStr">
        <is>
          <t>DALARNAS LÄN</t>
        </is>
      </c>
      <c r="E342" t="inlineStr">
        <is>
          <t>ÄLVDALEN</t>
        </is>
      </c>
      <c r="F342" t="inlineStr">
        <is>
          <t>Övriga statliga verk och myndigheter</t>
        </is>
      </c>
      <c r="G342" t="n">
        <v>1.7</v>
      </c>
      <c r="H342" t="n">
        <v>0</v>
      </c>
      <c r="I342" t="n">
        <v>0</v>
      </c>
      <c r="J342" t="n">
        <v>0</v>
      </c>
      <c r="K342" t="n">
        <v>0</v>
      </c>
      <c r="L342" t="n">
        <v>0</v>
      </c>
      <c r="M342" t="n">
        <v>0</v>
      </c>
      <c r="N342" t="n">
        <v>0</v>
      </c>
      <c r="O342" t="n">
        <v>0</v>
      </c>
      <c r="P342" t="n">
        <v>0</v>
      </c>
      <c r="Q342" t="n">
        <v>0</v>
      </c>
      <c r="R342" s="2" t="inlineStr"/>
    </row>
    <row r="343" ht="15" customHeight="1">
      <c r="A343" t="inlineStr">
        <is>
          <t>A 1871-2021</t>
        </is>
      </c>
      <c r="B343" s="1" t="n">
        <v>44210</v>
      </c>
      <c r="C343" s="1" t="n">
        <v>45812</v>
      </c>
      <c r="D343" t="inlineStr">
        <is>
          <t>DALARNAS LÄN</t>
        </is>
      </c>
      <c r="E343" t="inlineStr">
        <is>
          <t>ÄLVDALEN</t>
        </is>
      </c>
      <c r="F343" t="inlineStr">
        <is>
          <t>Övriga statliga verk och myndigheter</t>
        </is>
      </c>
      <c r="G343" t="n">
        <v>4.8</v>
      </c>
      <c r="H343" t="n">
        <v>0</v>
      </c>
      <c r="I343" t="n">
        <v>0</v>
      </c>
      <c r="J343" t="n">
        <v>0</v>
      </c>
      <c r="K343" t="n">
        <v>0</v>
      </c>
      <c r="L343" t="n">
        <v>0</v>
      </c>
      <c r="M343" t="n">
        <v>0</v>
      </c>
      <c r="N343" t="n">
        <v>0</v>
      </c>
      <c r="O343" t="n">
        <v>0</v>
      </c>
      <c r="P343" t="n">
        <v>0</v>
      </c>
      <c r="Q343" t="n">
        <v>0</v>
      </c>
      <c r="R343" s="2" t="inlineStr"/>
    </row>
    <row r="344" ht="15" customHeight="1">
      <c r="A344" t="inlineStr">
        <is>
          <t>A 1872-2021</t>
        </is>
      </c>
      <c r="B344" s="1" t="n">
        <v>44210</v>
      </c>
      <c r="C344" s="1" t="n">
        <v>45812</v>
      </c>
      <c r="D344" t="inlineStr">
        <is>
          <t>DALARNAS LÄN</t>
        </is>
      </c>
      <c r="E344" t="inlineStr">
        <is>
          <t>ÄLVDALEN</t>
        </is>
      </c>
      <c r="F344" t="inlineStr">
        <is>
          <t>Övriga statliga verk och myndigheter</t>
        </is>
      </c>
      <c r="G344" t="n">
        <v>19.6</v>
      </c>
      <c r="H344" t="n">
        <v>0</v>
      </c>
      <c r="I344" t="n">
        <v>0</v>
      </c>
      <c r="J344" t="n">
        <v>0</v>
      </c>
      <c r="K344" t="n">
        <v>0</v>
      </c>
      <c r="L344" t="n">
        <v>0</v>
      </c>
      <c r="M344" t="n">
        <v>0</v>
      </c>
      <c r="N344" t="n">
        <v>0</v>
      </c>
      <c r="O344" t="n">
        <v>0</v>
      </c>
      <c r="P344" t="n">
        <v>0</v>
      </c>
      <c r="Q344" t="n">
        <v>0</v>
      </c>
      <c r="R344" s="2" t="inlineStr"/>
    </row>
    <row r="345" ht="15" customHeight="1">
      <c r="A345" t="inlineStr">
        <is>
          <t>A 2219-2021</t>
        </is>
      </c>
      <c r="B345" s="1" t="n">
        <v>44210</v>
      </c>
      <c r="C345" s="1" t="n">
        <v>45812</v>
      </c>
      <c r="D345" t="inlineStr">
        <is>
          <t>DALARNAS LÄN</t>
        </is>
      </c>
      <c r="E345" t="inlineStr">
        <is>
          <t>ÄLVDALEN</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2690-2021</t>
        </is>
      </c>
      <c r="B346" s="1" t="n">
        <v>44214</v>
      </c>
      <c r="C346" s="1" t="n">
        <v>45812</v>
      </c>
      <c r="D346" t="inlineStr">
        <is>
          <t>DALARNAS LÄN</t>
        </is>
      </c>
      <c r="E346" t="inlineStr">
        <is>
          <t>ÄLVDALEN</t>
        </is>
      </c>
      <c r="F346" t="inlineStr">
        <is>
          <t>Allmännings- och besparingsskogar</t>
        </is>
      </c>
      <c r="G346" t="n">
        <v>70.3</v>
      </c>
      <c r="H346" t="n">
        <v>0</v>
      </c>
      <c r="I346" t="n">
        <v>0</v>
      </c>
      <c r="J346" t="n">
        <v>0</v>
      </c>
      <c r="K346" t="n">
        <v>0</v>
      </c>
      <c r="L346" t="n">
        <v>0</v>
      </c>
      <c r="M346" t="n">
        <v>0</v>
      </c>
      <c r="N346" t="n">
        <v>0</v>
      </c>
      <c r="O346" t="n">
        <v>0</v>
      </c>
      <c r="P346" t="n">
        <v>0</v>
      </c>
      <c r="Q346" t="n">
        <v>0</v>
      </c>
      <c r="R346" s="2" t="inlineStr"/>
    </row>
    <row r="347" ht="15" customHeight="1">
      <c r="A347" t="inlineStr">
        <is>
          <t>A 2746-2021</t>
        </is>
      </c>
      <c r="B347" s="1" t="n">
        <v>44215</v>
      </c>
      <c r="C347" s="1" t="n">
        <v>45812</v>
      </c>
      <c r="D347" t="inlineStr">
        <is>
          <t>DALARNAS LÄN</t>
        </is>
      </c>
      <c r="E347" t="inlineStr">
        <is>
          <t>ÄLVDALEN</t>
        </is>
      </c>
      <c r="F347" t="inlineStr">
        <is>
          <t>Kommuner</t>
        </is>
      </c>
      <c r="G347" t="n">
        <v>14.7</v>
      </c>
      <c r="H347" t="n">
        <v>0</v>
      </c>
      <c r="I347" t="n">
        <v>0</v>
      </c>
      <c r="J347" t="n">
        <v>0</v>
      </c>
      <c r="K347" t="n">
        <v>0</v>
      </c>
      <c r="L347" t="n">
        <v>0</v>
      </c>
      <c r="M347" t="n">
        <v>0</v>
      </c>
      <c r="N347" t="n">
        <v>0</v>
      </c>
      <c r="O347" t="n">
        <v>0</v>
      </c>
      <c r="P347" t="n">
        <v>0</v>
      </c>
      <c r="Q347" t="n">
        <v>0</v>
      </c>
      <c r="R347" s="2" t="inlineStr"/>
    </row>
    <row r="348" ht="15" customHeight="1">
      <c r="A348" t="inlineStr">
        <is>
          <t>A 4034-2021</t>
        </is>
      </c>
      <c r="B348" s="1" t="n">
        <v>44222</v>
      </c>
      <c r="C348" s="1" t="n">
        <v>45812</v>
      </c>
      <c r="D348" t="inlineStr">
        <is>
          <t>DALARNAS LÄN</t>
        </is>
      </c>
      <c r="E348" t="inlineStr">
        <is>
          <t>ÄLVDALEN</t>
        </is>
      </c>
      <c r="G348" t="n">
        <v>0.9</v>
      </c>
      <c r="H348" t="n">
        <v>0</v>
      </c>
      <c r="I348" t="n">
        <v>0</v>
      </c>
      <c r="J348" t="n">
        <v>0</v>
      </c>
      <c r="K348" t="n">
        <v>0</v>
      </c>
      <c r="L348" t="n">
        <v>0</v>
      </c>
      <c r="M348" t="n">
        <v>0</v>
      </c>
      <c r="N348" t="n">
        <v>0</v>
      </c>
      <c r="O348" t="n">
        <v>0</v>
      </c>
      <c r="P348" t="n">
        <v>0</v>
      </c>
      <c r="Q348" t="n">
        <v>0</v>
      </c>
      <c r="R348" s="2" t="inlineStr"/>
    </row>
    <row r="349" ht="15" customHeight="1">
      <c r="A349" t="inlineStr">
        <is>
          <t>A 4589-2021</t>
        </is>
      </c>
      <c r="B349" s="1" t="n">
        <v>44224</v>
      </c>
      <c r="C349" s="1" t="n">
        <v>45812</v>
      </c>
      <c r="D349" t="inlineStr">
        <is>
          <t>DALARNAS LÄN</t>
        </is>
      </c>
      <c r="E349" t="inlineStr">
        <is>
          <t>ÄLVDALEN</t>
        </is>
      </c>
      <c r="G349" t="n">
        <v>4.9</v>
      </c>
      <c r="H349" t="n">
        <v>0</v>
      </c>
      <c r="I349" t="n">
        <v>0</v>
      </c>
      <c r="J349" t="n">
        <v>0</v>
      </c>
      <c r="K349" t="n">
        <v>0</v>
      </c>
      <c r="L349" t="n">
        <v>0</v>
      </c>
      <c r="M349" t="n">
        <v>0</v>
      </c>
      <c r="N349" t="n">
        <v>0</v>
      </c>
      <c r="O349" t="n">
        <v>0</v>
      </c>
      <c r="P349" t="n">
        <v>0</v>
      </c>
      <c r="Q349" t="n">
        <v>0</v>
      </c>
      <c r="R349" s="2" t="inlineStr"/>
    </row>
    <row r="350" ht="15" customHeight="1">
      <c r="A350" t="inlineStr">
        <is>
          <t>A 5319-2021</t>
        </is>
      </c>
      <c r="B350" s="1" t="n">
        <v>44229</v>
      </c>
      <c r="C350" s="1" t="n">
        <v>45812</v>
      </c>
      <c r="D350" t="inlineStr">
        <is>
          <t>DALARNAS LÄN</t>
        </is>
      </c>
      <c r="E350" t="inlineStr">
        <is>
          <t>ÄLVDALEN</t>
        </is>
      </c>
      <c r="F350" t="inlineStr">
        <is>
          <t>Kommuner</t>
        </is>
      </c>
      <c r="G350" t="n">
        <v>15.3</v>
      </c>
      <c r="H350" t="n">
        <v>0</v>
      </c>
      <c r="I350" t="n">
        <v>0</v>
      </c>
      <c r="J350" t="n">
        <v>0</v>
      </c>
      <c r="K350" t="n">
        <v>0</v>
      </c>
      <c r="L350" t="n">
        <v>0</v>
      </c>
      <c r="M350" t="n">
        <v>0</v>
      </c>
      <c r="N350" t="n">
        <v>0</v>
      </c>
      <c r="O350" t="n">
        <v>0</v>
      </c>
      <c r="P350" t="n">
        <v>0</v>
      </c>
      <c r="Q350" t="n">
        <v>0</v>
      </c>
      <c r="R350" s="2" t="inlineStr"/>
    </row>
    <row r="351" ht="15" customHeight="1">
      <c r="A351" t="inlineStr">
        <is>
          <t>A 5567-2021</t>
        </is>
      </c>
      <c r="B351" s="1" t="n">
        <v>44230</v>
      </c>
      <c r="C351" s="1" t="n">
        <v>45812</v>
      </c>
      <c r="D351" t="inlineStr">
        <is>
          <t>DALARNAS LÄN</t>
        </is>
      </c>
      <c r="E351" t="inlineStr">
        <is>
          <t>ÄLVDALEN</t>
        </is>
      </c>
      <c r="F351" t="inlineStr">
        <is>
          <t>Övriga statliga verk och myndigheter</t>
        </is>
      </c>
      <c r="G351" t="n">
        <v>29.1</v>
      </c>
      <c r="H351" t="n">
        <v>0</v>
      </c>
      <c r="I351" t="n">
        <v>0</v>
      </c>
      <c r="J351" t="n">
        <v>0</v>
      </c>
      <c r="K351" t="n">
        <v>0</v>
      </c>
      <c r="L351" t="n">
        <v>0</v>
      </c>
      <c r="M351" t="n">
        <v>0</v>
      </c>
      <c r="N351" t="n">
        <v>0</v>
      </c>
      <c r="O351" t="n">
        <v>0</v>
      </c>
      <c r="P351" t="n">
        <v>0</v>
      </c>
      <c r="Q351" t="n">
        <v>0</v>
      </c>
      <c r="R351" s="2" t="inlineStr"/>
    </row>
    <row r="352" ht="15" customHeight="1">
      <c r="A352" t="inlineStr">
        <is>
          <t>A 7164-2021</t>
        </is>
      </c>
      <c r="B352" s="1" t="n">
        <v>44238</v>
      </c>
      <c r="C352" s="1" t="n">
        <v>45812</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7232-2021</t>
        </is>
      </c>
      <c r="B353" s="1" t="n">
        <v>44238</v>
      </c>
      <c r="C353" s="1" t="n">
        <v>45812</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11032-2021</t>
        </is>
      </c>
      <c r="B354" s="1" t="n">
        <v>44260</v>
      </c>
      <c r="C354" s="1" t="n">
        <v>45812</v>
      </c>
      <c r="D354" t="inlineStr">
        <is>
          <t>DALARNAS LÄN</t>
        </is>
      </c>
      <c r="E354" t="inlineStr">
        <is>
          <t>ÄLVDALEN</t>
        </is>
      </c>
      <c r="F354" t="inlineStr">
        <is>
          <t>Övriga statliga verk och myndigheter</t>
        </is>
      </c>
      <c r="G354" t="n">
        <v>35.9</v>
      </c>
      <c r="H354" t="n">
        <v>0</v>
      </c>
      <c r="I354" t="n">
        <v>0</v>
      </c>
      <c r="J354" t="n">
        <v>0</v>
      </c>
      <c r="K354" t="n">
        <v>0</v>
      </c>
      <c r="L354" t="n">
        <v>0</v>
      </c>
      <c r="M354" t="n">
        <v>0</v>
      </c>
      <c r="N354" t="n">
        <v>0</v>
      </c>
      <c r="O354" t="n">
        <v>0</v>
      </c>
      <c r="P354" t="n">
        <v>0</v>
      </c>
      <c r="Q354" t="n">
        <v>0</v>
      </c>
      <c r="R354" s="2" t="inlineStr"/>
    </row>
    <row r="355" ht="15" customHeight="1">
      <c r="A355" t="inlineStr">
        <is>
          <t>A 14290-2021</t>
        </is>
      </c>
      <c r="B355" s="1" t="n">
        <v>44278</v>
      </c>
      <c r="C355" s="1" t="n">
        <v>45812</v>
      </c>
      <c r="D355" t="inlineStr">
        <is>
          <t>DALARNAS LÄN</t>
        </is>
      </c>
      <c r="E355" t="inlineStr">
        <is>
          <t>ÄLVDALEN</t>
        </is>
      </c>
      <c r="G355" t="n">
        <v>1.9</v>
      </c>
      <c r="H355" t="n">
        <v>0</v>
      </c>
      <c r="I355" t="n">
        <v>0</v>
      </c>
      <c r="J355" t="n">
        <v>0</v>
      </c>
      <c r="K355" t="n">
        <v>0</v>
      </c>
      <c r="L355" t="n">
        <v>0</v>
      </c>
      <c r="M355" t="n">
        <v>0</v>
      </c>
      <c r="N355" t="n">
        <v>0</v>
      </c>
      <c r="O355" t="n">
        <v>0</v>
      </c>
      <c r="P355" t="n">
        <v>0</v>
      </c>
      <c r="Q355" t="n">
        <v>0</v>
      </c>
      <c r="R355" s="2" t="inlineStr"/>
    </row>
    <row r="356" ht="15" customHeight="1">
      <c r="A356" t="inlineStr">
        <is>
          <t>A 14548-2021</t>
        </is>
      </c>
      <c r="B356" s="1" t="n">
        <v>44279</v>
      </c>
      <c r="C356" s="1" t="n">
        <v>45812</v>
      </c>
      <c r="D356" t="inlineStr">
        <is>
          <t>DALARNAS LÄN</t>
        </is>
      </c>
      <c r="E356" t="inlineStr">
        <is>
          <t>ÄLVDALEN</t>
        </is>
      </c>
      <c r="G356" t="n">
        <v>6</v>
      </c>
      <c r="H356" t="n">
        <v>0</v>
      </c>
      <c r="I356" t="n">
        <v>0</v>
      </c>
      <c r="J356" t="n">
        <v>0</v>
      </c>
      <c r="K356" t="n">
        <v>0</v>
      </c>
      <c r="L356" t="n">
        <v>0</v>
      </c>
      <c r="M356" t="n">
        <v>0</v>
      </c>
      <c r="N356" t="n">
        <v>0</v>
      </c>
      <c r="O356" t="n">
        <v>0</v>
      </c>
      <c r="P356" t="n">
        <v>0</v>
      </c>
      <c r="Q356" t="n">
        <v>0</v>
      </c>
      <c r="R356" s="2" t="inlineStr"/>
    </row>
    <row r="357" ht="15" customHeight="1">
      <c r="A357" t="inlineStr">
        <is>
          <t>A 15045-2021</t>
        </is>
      </c>
      <c r="B357" s="1" t="n">
        <v>44281</v>
      </c>
      <c r="C357" s="1" t="n">
        <v>45812</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14995-2021</t>
        </is>
      </c>
      <c r="B358" s="1" t="n">
        <v>44281</v>
      </c>
      <c r="C358" s="1" t="n">
        <v>45812</v>
      </c>
      <c r="D358" t="inlineStr">
        <is>
          <t>DALARNAS LÄN</t>
        </is>
      </c>
      <c r="E358" t="inlineStr">
        <is>
          <t>ÄLVDALEN</t>
        </is>
      </c>
      <c r="G358" t="n">
        <v>17.8</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45812</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45812</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16262-2021</t>
        </is>
      </c>
      <c r="B361" s="1" t="n">
        <v>44292</v>
      </c>
      <c r="C361" s="1" t="n">
        <v>45812</v>
      </c>
      <c r="D361" t="inlineStr">
        <is>
          <t>DALARNAS LÄN</t>
        </is>
      </c>
      <c r="E361" t="inlineStr">
        <is>
          <t>ÄLVDALEN</t>
        </is>
      </c>
      <c r="G361" t="n">
        <v>2.2</v>
      </c>
      <c r="H361" t="n">
        <v>0</v>
      </c>
      <c r="I361" t="n">
        <v>0</v>
      </c>
      <c r="J361" t="n">
        <v>0</v>
      </c>
      <c r="K361" t="n">
        <v>0</v>
      </c>
      <c r="L361" t="n">
        <v>0</v>
      </c>
      <c r="M361" t="n">
        <v>0</v>
      </c>
      <c r="N361" t="n">
        <v>0</v>
      </c>
      <c r="O361" t="n">
        <v>0</v>
      </c>
      <c r="P361" t="n">
        <v>0</v>
      </c>
      <c r="Q361" t="n">
        <v>0</v>
      </c>
      <c r="R361" s="2" t="inlineStr"/>
    </row>
    <row r="362" ht="15" customHeight="1">
      <c r="A362" t="inlineStr">
        <is>
          <t>A 18961-2021</t>
        </is>
      </c>
      <c r="B362" s="1" t="n">
        <v>44308</v>
      </c>
      <c r="C362" s="1" t="n">
        <v>45812</v>
      </c>
      <c r="D362" t="inlineStr">
        <is>
          <t>DALARNAS LÄN</t>
        </is>
      </c>
      <c r="E362" t="inlineStr">
        <is>
          <t>ÄLVDALEN</t>
        </is>
      </c>
      <c r="F362" t="inlineStr">
        <is>
          <t>Övriga statliga verk och myndigheter</t>
        </is>
      </c>
      <c r="G362" t="n">
        <v>17.6</v>
      </c>
      <c r="H362" t="n">
        <v>0</v>
      </c>
      <c r="I362" t="n">
        <v>0</v>
      </c>
      <c r="J362" t="n">
        <v>0</v>
      </c>
      <c r="K362" t="n">
        <v>0</v>
      </c>
      <c r="L362" t="n">
        <v>0</v>
      </c>
      <c r="M362" t="n">
        <v>0</v>
      </c>
      <c r="N362" t="n">
        <v>0</v>
      </c>
      <c r="O362" t="n">
        <v>0</v>
      </c>
      <c r="P362" t="n">
        <v>0</v>
      </c>
      <c r="Q362" t="n">
        <v>0</v>
      </c>
      <c r="R362" s="2" t="inlineStr"/>
    </row>
    <row r="363" ht="15" customHeight="1">
      <c r="A363" t="inlineStr">
        <is>
          <t>A 19766-2021</t>
        </is>
      </c>
      <c r="B363" s="1" t="n">
        <v>44309</v>
      </c>
      <c r="C363" s="1" t="n">
        <v>45812</v>
      </c>
      <c r="D363" t="inlineStr">
        <is>
          <t>DALARNAS LÄN</t>
        </is>
      </c>
      <c r="E363" t="inlineStr">
        <is>
          <t>ÄLVDALEN</t>
        </is>
      </c>
      <c r="G363" t="n">
        <v>8.9</v>
      </c>
      <c r="H363" t="n">
        <v>0</v>
      </c>
      <c r="I363" t="n">
        <v>0</v>
      </c>
      <c r="J363" t="n">
        <v>0</v>
      </c>
      <c r="K363" t="n">
        <v>0</v>
      </c>
      <c r="L363" t="n">
        <v>0</v>
      </c>
      <c r="M363" t="n">
        <v>0</v>
      </c>
      <c r="N363" t="n">
        <v>0</v>
      </c>
      <c r="O363" t="n">
        <v>0</v>
      </c>
      <c r="P363" t="n">
        <v>0</v>
      </c>
      <c r="Q363" t="n">
        <v>0</v>
      </c>
      <c r="R363" s="2" t="inlineStr"/>
    </row>
    <row r="364" ht="15" customHeight="1">
      <c r="A364" t="inlineStr">
        <is>
          <t>A 19763-2021</t>
        </is>
      </c>
      <c r="B364" s="1" t="n">
        <v>44309</v>
      </c>
      <c r="C364" s="1" t="n">
        <v>45812</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19313-2021</t>
        </is>
      </c>
      <c r="B365" s="1" t="n">
        <v>44309</v>
      </c>
      <c r="C365" s="1" t="n">
        <v>45812</v>
      </c>
      <c r="D365" t="inlineStr">
        <is>
          <t>DALARNAS LÄN</t>
        </is>
      </c>
      <c r="E365" t="inlineStr">
        <is>
          <t>ÄLVDALEN</t>
        </is>
      </c>
      <c r="G365" t="n">
        <v>0.2</v>
      </c>
      <c r="H365" t="n">
        <v>0</v>
      </c>
      <c r="I365" t="n">
        <v>0</v>
      </c>
      <c r="J365" t="n">
        <v>0</v>
      </c>
      <c r="K365" t="n">
        <v>0</v>
      </c>
      <c r="L365" t="n">
        <v>0</v>
      </c>
      <c r="M365" t="n">
        <v>0</v>
      </c>
      <c r="N365" t="n">
        <v>0</v>
      </c>
      <c r="O365" t="n">
        <v>0</v>
      </c>
      <c r="P365" t="n">
        <v>0</v>
      </c>
      <c r="Q365" t="n">
        <v>0</v>
      </c>
      <c r="R365" s="2" t="inlineStr"/>
    </row>
    <row r="366" ht="15" customHeight="1">
      <c r="A366" t="inlineStr">
        <is>
          <t>A 19312-2021</t>
        </is>
      </c>
      <c r="B366" s="1" t="n">
        <v>44309</v>
      </c>
      <c r="C366" s="1" t="n">
        <v>45812</v>
      </c>
      <c r="D366" t="inlineStr">
        <is>
          <t>DALARNAS LÄN</t>
        </is>
      </c>
      <c r="E366" t="inlineStr">
        <is>
          <t>ÄLVDALEN</t>
        </is>
      </c>
      <c r="G366" t="n">
        <v>0.4</v>
      </c>
      <c r="H366" t="n">
        <v>0</v>
      </c>
      <c r="I366" t="n">
        <v>0</v>
      </c>
      <c r="J366" t="n">
        <v>0</v>
      </c>
      <c r="K366" t="n">
        <v>0</v>
      </c>
      <c r="L366" t="n">
        <v>0</v>
      </c>
      <c r="M366" t="n">
        <v>0</v>
      </c>
      <c r="N366" t="n">
        <v>0</v>
      </c>
      <c r="O366" t="n">
        <v>0</v>
      </c>
      <c r="P366" t="n">
        <v>0</v>
      </c>
      <c r="Q366" t="n">
        <v>0</v>
      </c>
      <c r="R366" s="2" t="inlineStr"/>
    </row>
    <row r="367" ht="15" customHeight="1">
      <c r="A367" t="inlineStr">
        <is>
          <t>A 19761-2021</t>
        </is>
      </c>
      <c r="B367" s="1" t="n">
        <v>44309</v>
      </c>
      <c r="C367" s="1" t="n">
        <v>45812</v>
      </c>
      <c r="D367" t="inlineStr">
        <is>
          <t>DALARNAS LÄN</t>
        </is>
      </c>
      <c r="E367" t="inlineStr">
        <is>
          <t>ÄLVDALEN</t>
        </is>
      </c>
      <c r="G367" t="n">
        <v>4.3</v>
      </c>
      <c r="H367" t="n">
        <v>0</v>
      </c>
      <c r="I367" t="n">
        <v>0</v>
      </c>
      <c r="J367" t="n">
        <v>0</v>
      </c>
      <c r="K367" t="n">
        <v>0</v>
      </c>
      <c r="L367" t="n">
        <v>0</v>
      </c>
      <c r="M367" t="n">
        <v>0</v>
      </c>
      <c r="N367" t="n">
        <v>0</v>
      </c>
      <c r="O367" t="n">
        <v>0</v>
      </c>
      <c r="P367" t="n">
        <v>0</v>
      </c>
      <c r="Q367" t="n">
        <v>0</v>
      </c>
      <c r="R367" s="2" t="inlineStr"/>
    </row>
    <row r="368" ht="15" customHeight="1">
      <c r="A368" t="inlineStr">
        <is>
          <t>A 19759-2021</t>
        </is>
      </c>
      <c r="B368" s="1" t="n">
        <v>44309</v>
      </c>
      <c r="C368" s="1" t="n">
        <v>45812</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20050-2021</t>
        </is>
      </c>
      <c r="B369" s="1" t="n">
        <v>44314</v>
      </c>
      <c r="C369" s="1" t="n">
        <v>45812</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20162-2021</t>
        </is>
      </c>
      <c r="B370" s="1" t="n">
        <v>44314</v>
      </c>
      <c r="C370" s="1" t="n">
        <v>45812</v>
      </c>
      <c r="D370" t="inlineStr">
        <is>
          <t>DALARNAS LÄN</t>
        </is>
      </c>
      <c r="E370" t="inlineStr">
        <is>
          <t>ÄLVDALEN</t>
        </is>
      </c>
      <c r="G370" t="n">
        <v>3.9</v>
      </c>
      <c r="H370" t="n">
        <v>0</v>
      </c>
      <c r="I370" t="n">
        <v>0</v>
      </c>
      <c r="J370" t="n">
        <v>0</v>
      </c>
      <c r="K370" t="n">
        <v>0</v>
      </c>
      <c r="L370" t="n">
        <v>0</v>
      </c>
      <c r="M370" t="n">
        <v>0</v>
      </c>
      <c r="N370" t="n">
        <v>0</v>
      </c>
      <c r="O370" t="n">
        <v>0</v>
      </c>
      <c r="P370" t="n">
        <v>0</v>
      </c>
      <c r="Q370" t="n">
        <v>0</v>
      </c>
      <c r="R370" s="2" t="inlineStr"/>
    </row>
    <row r="371" ht="15" customHeight="1">
      <c r="A371" t="inlineStr">
        <is>
          <t>A 21832-2021</t>
        </is>
      </c>
      <c r="B371" s="1" t="n">
        <v>44322</v>
      </c>
      <c r="C371" s="1" t="n">
        <v>45812</v>
      </c>
      <c r="D371" t="inlineStr">
        <is>
          <t>DALARNAS LÄN</t>
        </is>
      </c>
      <c r="E371" t="inlineStr">
        <is>
          <t>ÄLVDALEN</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22454-2021</t>
        </is>
      </c>
      <c r="B372" s="1" t="n">
        <v>44326</v>
      </c>
      <c r="C372" s="1" t="n">
        <v>45812</v>
      </c>
      <c r="D372" t="inlineStr">
        <is>
          <t>DALARNAS LÄN</t>
        </is>
      </c>
      <c r="E372" t="inlineStr">
        <is>
          <t>ÄLVDALEN</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22761-2021</t>
        </is>
      </c>
      <c r="B373" s="1" t="n">
        <v>44327</v>
      </c>
      <c r="C373" s="1" t="n">
        <v>45812</v>
      </c>
      <c r="D373" t="inlineStr">
        <is>
          <t>DALARNAS LÄN</t>
        </is>
      </c>
      <c r="E373" t="inlineStr">
        <is>
          <t>ÄLVDALEN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22760-2021</t>
        </is>
      </c>
      <c r="B374" s="1" t="n">
        <v>44327</v>
      </c>
      <c r="C374" s="1" t="n">
        <v>45812</v>
      </c>
      <c r="D374" t="inlineStr">
        <is>
          <t>DALARNAS LÄN</t>
        </is>
      </c>
      <c r="E374" t="inlineStr">
        <is>
          <t>ÄLVDALEN</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22651-2021</t>
        </is>
      </c>
      <c r="B375" s="1" t="n">
        <v>44327</v>
      </c>
      <c r="C375" s="1" t="n">
        <v>45812</v>
      </c>
      <c r="D375" t="inlineStr">
        <is>
          <t>DALARNAS LÄN</t>
        </is>
      </c>
      <c r="E375" t="inlineStr">
        <is>
          <t>ÄLVDALEN</t>
        </is>
      </c>
      <c r="G375" t="n">
        <v>5.9</v>
      </c>
      <c r="H375" t="n">
        <v>0</v>
      </c>
      <c r="I375" t="n">
        <v>0</v>
      </c>
      <c r="J375" t="n">
        <v>0</v>
      </c>
      <c r="K375" t="n">
        <v>0</v>
      </c>
      <c r="L375" t="n">
        <v>0</v>
      </c>
      <c r="M375" t="n">
        <v>0</v>
      </c>
      <c r="N375" t="n">
        <v>0</v>
      </c>
      <c r="O375" t="n">
        <v>0</v>
      </c>
      <c r="P375" t="n">
        <v>0</v>
      </c>
      <c r="Q375" t="n">
        <v>0</v>
      </c>
      <c r="R375" s="2" t="inlineStr"/>
    </row>
    <row r="376" ht="15" customHeight="1">
      <c r="A376" t="inlineStr">
        <is>
          <t>A 24849-2021</t>
        </is>
      </c>
      <c r="B376" s="1" t="n">
        <v>44340</v>
      </c>
      <c r="C376" s="1" t="n">
        <v>45812</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26080-2021</t>
        </is>
      </c>
      <c r="B377" s="1" t="n">
        <v>44344</v>
      </c>
      <c r="C377" s="1" t="n">
        <v>45812</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26249-2021</t>
        </is>
      </c>
      <c r="B378" s="1" t="n">
        <v>44347</v>
      </c>
      <c r="C378" s="1" t="n">
        <v>45812</v>
      </c>
      <c r="D378" t="inlineStr">
        <is>
          <t>DALARNAS LÄN</t>
        </is>
      </c>
      <c r="E378" t="inlineStr">
        <is>
          <t>ÄLVDALEN</t>
        </is>
      </c>
      <c r="F378" t="inlineStr">
        <is>
          <t>Bergvik skog väst AB</t>
        </is>
      </c>
      <c r="G378" t="n">
        <v>2.6</v>
      </c>
      <c r="H378" t="n">
        <v>0</v>
      </c>
      <c r="I378" t="n">
        <v>0</v>
      </c>
      <c r="J378" t="n">
        <v>0</v>
      </c>
      <c r="K378" t="n">
        <v>0</v>
      </c>
      <c r="L378" t="n">
        <v>0</v>
      </c>
      <c r="M378" t="n">
        <v>0</v>
      </c>
      <c r="N378" t="n">
        <v>0</v>
      </c>
      <c r="O378" t="n">
        <v>0</v>
      </c>
      <c r="P378" t="n">
        <v>0</v>
      </c>
      <c r="Q378" t="n">
        <v>0</v>
      </c>
      <c r="R378" s="2" t="inlineStr"/>
    </row>
    <row r="379" ht="15" customHeight="1">
      <c r="A379" t="inlineStr">
        <is>
          <t>A 26734-2021</t>
        </is>
      </c>
      <c r="B379" s="1" t="n">
        <v>44349</v>
      </c>
      <c r="C379" s="1" t="n">
        <v>45812</v>
      </c>
      <c r="D379" t="inlineStr">
        <is>
          <t>DALARNAS LÄN</t>
        </is>
      </c>
      <c r="E379" t="inlineStr">
        <is>
          <t>ÄLVDALEN</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26726-2021</t>
        </is>
      </c>
      <c r="B380" s="1" t="n">
        <v>44349</v>
      </c>
      <c r="C380" s="1" t="n">
        <v>45812</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26874-2021</t>
        </is>
      </c>
      <c r="B381" s="1" t="n">
        <v>44349</v>
      </c>
      <c r="C381" s="1" t="n">
        <v>45812</v>
      </c>
      <c r="D381" t="inlineStr">
        <is>
          <t>DALARNAS LÄN</t>
        </is>
      </c>
      <c r="E381" t="inlineStr">
        <is>
          <t>ÄLVDALEN</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27022-2021</t>
        </is>
      </c>
      <c r="B382" s="1" t="n">
        <v>44350</v>
      </c>
      <c r="C382" s="1" t="n">
        <v>45812</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28011-2021</t>
        </is>
      </c>
      <c r="B383" s="1" t="n">
        <v>44355</v>
      </c>
      <c r="C383" s="1" t="n">
        <v>45812</v>
      </c>
      <c r="D383" t="inlineStr">
        <is>
          <t>DALARNAS LÄN</t>
        </is>
      </c>
      <c r="E383" t="inlineStr">
        <is>
          <t>ÄLVDALEN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28712-2021</t>
        </is>
      </c>
      <c r="B384" s="1" t="n">
        <v>44357</v>
      </c>
      <c r="C384" s="1" t="n">
        <v>45812</v>
      </c>
      <c r="D384" t="inlineStr">
        <is>
          <t>DALARNAS LÄN</t>
        </is>
      </c>
      <c r="E384" t="inlineStr">
        <is>
          <t>ÄLVDALEN</t>
        </is>
      </c>
      <c r="G384" t="n">
        <v>2</v>
      </c>
      <c r="H384" t="n">
        <v>0</v>
      </c>
      <c r="I384" t="n">
        <v>0</v>
      </c>
      <c r="J384" t="n">
        <v>0</v>
      </c>
      <c r="K384" t="n">
        <v>0</v>
      </c>
      <c r="L384" t="n">
        <v>0</v>
      </c>
      <c r="M384" t="n">
        <v>0</v>
      </c>
      <c r="N384" t="n">
        <v>0</v>
      </c>
      <c r="O384" t="n">
        <v>0</v>
      </c>
      <c r="P384" t="n">
        <v>0</v>
      </c>
      <c r="Q384" t="n">
        <v>0</v>
      </c>
      <c r="R384" s="2" t="inlineStr"/>
    </row>
    <row r="385" ht="15" customHeight="1">
      <c r="A385" t="inlineStr">
        <is>
          <t>A 30255-2021</t>
        </is>
      </c>
      <c r="B385" s="1" t="n">
        <v>44363</v>
      </c>
      <c r="C385" s="1" t="n">
        <v>45812</v>
      </c>
      <c r="D385" t="inlineStr">
        <is>
          <t>DALARNAS LÄN</t>
        </is>
      </c>
      <c r="E385" t="inlineStr">
        <is>
          <t>ÄLVDALEN</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30254-2021</t>
        </is>
      </c>
      <c r="B386" s="1" t="n">
        <v>44363</v>
      </c>
      <c r="C386" s="1" t="n">
        <v>45812</v>
      </c>
      <c r="D386" t="inlineStr">
        <is>
          <t>DALARNAS LÄN</t>
        </is>
      </c>
      <c r="E386" t="inlineStr">
        <is>
          <t>ÄLVDALEN</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30249-2021</t>
        </is>
      </c>
      <c r="B387" s="1" t="n">
        <v>44363</v>
      </c>
      <c r="C387" s="1" t="n">
        <v>45812</v>
      </c>
      <c r="D387" t="inlineStr">
        <is>
          <t>DALARNAS LÄN</t>
        </is>
      </c>
      <c r="E387" t="inlineStr">
        <is>
          <t>ÄLVDALEN</t>
        </is>
      </c>
      <c r="F387" t="inlineStr">
        <is>
          <t>Sveaskog</t>
        </is>
      </c>
      <c r="G387" t="n">
        <v>0.2</v>
      </c>
      <c r="H387" t="n">
        <v>0</v>
      </c>
      <c r="I387" t="n">
        <v>0</v>
      </c>
      <c r="J387" t="n">
        <v>0</v>
      </c>
      <c r="K387" t="n">
        <v>0</v>
      </c>
      <c r="L387" t="n">
        <v>0</v>
      </c>
      <c r="M387" t="n">
        <v>0</v>
      </c>
      <c r="N387" t="n">
        <v>0</v>
      </c>
      <c r="O387" t="n">
        <v>0</v>
      </c>
      <c r="P387" t="n">
        <v>0</v>
      </c>
      <c r="Q387" t="n">
        <v>0</v>
      </c>
      <c r="R387" s="2" t="inlineStr"/>
    </row>
    <row r="388" ht="15" customHeight="1">
      <c r="A388" t="inlineStr">
        <is>
          <t>A 30355-2021</t>
        </is>
      </c>
      <c r="B388" s="1" t="n">
        <v>44364</v>
      </c>
      <c r="C388" s="1" t="n">
        <v>45812</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30797-2021</t>
        </is>
      </c>
      <c r="B389" s="1" t="n">
        <v>44365</v>
      </c>
      <c r="C389" s="1" t="n">
        <v>45812</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30799-2021</t>
        </is>
      </c>
      <c r="B390" s="1" t="n">
        <v>44365</v>
      </c>
      <c r="C390" s="1" t="n">
        <v>45812</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30972-2021</t>
        </is>
      </c>
      <c r="B391" s="1" t="n">
        <v>44365</v>
      </c>
      <c r="C391" s="1" t="n">
        <v>45812</v>
      </c>
      <c r="D391" t="inlineStr">
        <is>
          <t>DALARNAS LÄN</t>
        </is>
      </c>
      <c r="E391" t="inlineStr">
        <is>
          <t>ÄLVDALEN</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30969-2021</t>
        </is>
      </c>
      <c r="B392" s="1" t="n">
        <v>44365</v>
      </c>
      <c r="C392" s="1" t="n">
        <v>45812</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31167-2021</t>
        </is>
      </c>
      <c r="B393" s="1" t="n">
        <v>44368</v>
      </c>
      <c r="C393" s="1" t="n">
        <v>45812</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31714-2021</t>
        </is>
      </c>
      <c r="B394" s="1" t="n">
        <v>44369</v>
      </c>
      <c r="C394" s="1" t="n">
        <v>45812</v>
      </c>
      <c r="D394" t="inlineStr">
        <is>
          <t>DALARNAS LÄN</t>
        </is>
      </c>
      <c r="E394" t="inlineStr">
        <is>
          <t>ÄLVDALEN</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32009-2021</t>
        </is>
      </c>
      <c r="B395" s="1" t="n">
        <v>44370</v>
      </c>
      <c r="C395" s="1" t="n">
        <v>45812</v>
      </c>
      <c r="D395" t="inlineStr">
        <is>
          <t>DALARNAS LÄN</t>
        </is>
      </c>
      <c r="E395" t="inlineStr">
        <is>
          <t>ÄLVDALEN</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32362-2021</t>
        </is>
      </c>
      <c r="B396" s="1" t="n">
        <v>44371</v>
      </c>
      <c r="C396" s="1" t="n">
        <v>45812</v>
      </c>
      <c r="D396" t="inlineStr">
        <is>
          <t>DALARNAS LÄN</t>
        </is>
      </c>
      <c r="E396" t="inlineStr">
        <is>
          <t>ÄLVDALEN</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33690-2021</t>
        </is>
      </c>
      <c r="B397" s="1" t="n">
        <v>44378</v>
      </c>
      <c r="C397" s="1" t="n">
        <v>45812</v>
      </c>
      <c r="D397" t="inlineStr">
        <is>
          <t>DALARNAS LÄN</t>
        </is>
      </c>
      <c r="E397" t="inlineStr">
        <is>
          <t>ÄLVDALEN</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33689-2021</t>
        </is>
      </c>
      <c r="B398" s="1" t="n">
        <v>44378</v>
      </c>
      <c r="C398" s="1" t="n">
        <v>45812</v>
      </c>
      <c r="D398" t="inlineStr">
        <is>
          <t>DALARNAS LÄN</t>
        </is>
      </c>
      <c r="E398" t="inlineStr">
        <is>
          <t>ÄLVDALEN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36134-2021</t>
        </is>
      </c>
      <c r="B399" s="1" t="n">
        <v>44389</v>
      </c>
      <c r="C399" s="1" t="n">
        <v>45812</v>
      </c>
      <c r="D399" t="inlineStr">
        <is>
          <t>DALARNAS LÄN</t>
        </is>
      </c>
      <c r="E399" t="inlineStr">
        <is>
          <t>ÄLVDALEN</t>
        </is>
      </c>
      <c r="G399" t="n">
        <v>0.5</v>
      </c>
      <c r="H399" t="n">
        <v>0</v>
      </c>
      <c r="I399" t="n">
        <v>0</v>
      </c>
      <c r="J399" t="n">
        <v>0</v>
      </c>
      <c r="K399" t="n">
        <v>0</v>
      </c>
      <c r="L399" t="n">
        <v>0</v>
      </c>
      <c r="M399" t="n">
        <v>0</v>
      </c>
      <c r="N399" t="n">
        <v>0</v>
      </c>
      <c r="O399" t="n">
        <v>0</v>
      </c>
      <c r="P399" t="n">
        <v>0</v>
      </c>
      <c r="Q399" t="n">
        <v>0</v>
      </c>
      <c r="R399" s="2" t="inlineStr"/>
    </row>
    <row r="400" ht="15" customHeight="1">
      <c r="A400" t="inlineStr">
        <is>
          <t>A 36825-2021</t>
        </is>
      </c>
      <c r="B400" s="1" t="n">
        <v>44393</v>
      </c>
      <c r="C400" s="1" t="n">
        <v>45812</v>
      </c>
      <c r="D400" t="inlineStr">
        <is>
          <t>DALARNAS LÄN</t>
        </is>
      </c>
      <c r="E400" t="inlineStr">
        <is>
          <t>ÄLVDALEN</t>
        </is>
      </c>
      <c r="F400" t="inlineStr">
        <is>
          <t>Sveaskog</t>
        </is>
      </c>
      <c r="G400" t="n">
        <v>12.2</v>
      </c>
      <c r="H400" t="n">
        <v>0</v>
      </c>
      <c r="I400" t="n">
        <v>0</v>
      </c>
      <c r="J400" t="n">
        <v>0</v>
      </c>
      <c r="K400" t="n">
        <v>0</v>
      </c>
      <c r="L400" t="n">
        <v>0</v>
      </c>
      <c r="M400" t="n">
        <v>0</v>
      </c>
      <c r="N400" t="n">
        <v>0</v>
      </c>
      <c r="O400" t="n">
        <v>0</v>
      </c>
      <c r="P400" t="n">
        <v>0</v>
      </c>
      <c r="Q400" t="n">
        <v>0</v>
      </c>
      <c r="R400" s="2" t="inlineStr"/>
    </row>
    <row r="401" ht="15" customHeight="1">
      <c r="A401" t="inlineStr">
        <is>
          <t>A 36846-2021</t>
        </is>
      </c>
      <c r="B401" s="1" t="n">
        <v>44393</v>
      </c>
      <c r="C401" s="1" t="n">
        <v>45812</v>
      </c>
      <c r="D401" t="inlineStr">
        <is>
          <t>DALARNAS LÄN</t>
        </is>
      </c>
      <c r="E401" t="inlineStr">
        <is>
          <t>ÄLVDALEN</t>
        </is>
      </c>
      <c r="F401" t="inlineStr">
        <is>
          <t>Sveaskog</t>
        </is>
      </c>
      <c r="G401" t="n">
        <v>10.8</v>
      </c>
      <c r="H401" t="n">
        <v>0</v>
      </c>
      <c r="I401" t="n">
        <v>0</v>
      </c>
      <c r="J401" t="n">
        <v>0</v>
      </c>
      <c r="K401" t="n">
        <v>0</v>
      </c>
      <c r="L401" t="n">
        <v>0</v>
      </c>
      <c r="M401" t="n">
        <v>0</v>
      </c>
      <c r="N401" t="n">
        <v>0</v>
      </c>
      <c r="O401" t="n">
        <v>0</v>
      </c>
      <c r="P401" t="n">
        <v>0</v>
      </c>
      <c r="Q401" t="n">
        <v>0</v>
      </c>
      <c r="R401" s="2" t="inlineStr"/>
    </row>
    <row r="402" ht="15" customHeight="1">
      <c r="A402" t="inlineStr">
        <is>
          <t>A 36826-2021</t>
        </is>
      </c>
      <c r="B402" s="1" t="n">
        <v>44393</v>
      </c>
      <c r="C402" s="1" t="n">
        <v>45812</v>
      </c>
      <c r="D402" t="inlineStr">
        <is>
          <t>DALARNAS LÄN</t>
        </is>
      </c>
      <c r="E402" t="inlineStr">
        <is>
          <t>ÄLVDALEN</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36824-2021</t>
        </is>
      </c>
      <c r="B403" s="1" t="n">
        <v>44393</v>
      </c>
      <c r="C403" s="1" t="n">
        <v>45812</v>
      </c>
      <c r="D403" t="inlineStr">
        <is>
          <t>DALARNAS LÄN</t>
        </is>
      </c>
      <c r="E403" t="inlineStr">
        <is>
          <t>ÄLVDALEN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37009-2021</t>
        </is>
      </c>
      <c r="B404" s="1" t="n">
        <v>44393</v>
      </c>
      <c r="C404" s="1" t="n">
        <v>45812</v>
      </c>
      <c r="D404" t="inlineStr">
        <is>
          <t>DALARNAS LÄN</t>
        </is>
      </c>
      <c r="E404" t="inlineStr">
        <is>
          <t>ÄLVDALEN</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37490-2021</t>
        </is>
      </c>
      <c r="B405" s="1" t="n">
        <v>44399</v>
      </c>
      <c r="C405" s="1" t="n">
        <v>45812</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39064-2021</t>
        </is>
      </c>
      <c r="B406" s="1" t="n">
        <v>44411</v>
      </c>
      <c r="C406" s="1" t="n">
        <v>45812</v>
      </c>
      <c r="D406" t="inlineStr">
        <is>
          <t>DALARNAS LÄN</t>
        </is>
      </c>
      <c r="E406" t="inlineStr">
        <is>
          <t>ÄLVDALEN</t>
        </is>
      </c>
      <c r="F406" t="inlineStr">
        <is>
          <t>Övriga statliga verk och myndigheter</t>
        </is>
      </c>
      <c r="G406" t="n">
        <v>4.5</v>
      </c>
      <c r="H406" t="n">
        <v>0</v>
      </c>
      <c r="I406" t="n">
        <v>0</v>
      </c>
      <c r="J406" t="n">
        <v>0</v>
      </c>
      <c r="K406" t="n">
        <v>0</v>
      </c>
      <c r="L406" t="n">
        <v>0</v>
      </c>
      <c r="M406" t="n">
        <v>0</v>
      </c>
      <c r="N406" t="n">
        <v>0</v>
      </c>
      <c r="O406" t="n">
        <v>0</v>
      </c>
      <c r="P406" t="n">
        <v>0</v>
      </c>
      <c r="Q406" t="n">
        <v>0</v>
      </c>
      <c r="R406" s="2" t="inlineStr"/>
    </row>
    <row r="407" ht="15" customHeight="1">
      <c r="A407" t="inlineStr">
        <is>
          <t>A 38957-2021</t>
        </is>
      </c>
      <c r="B407" s="1" t="n">
        <v>44411</v>
      </c>
      <c r="C407" s="1" t="n">
        <v>45812</v>
      </c>
      <c r="D407" t="inlineStr">
        <is>
          <t>DALARNAS LÄN</t>
        </is>
      </c>
      <c r="E407" t="inlineStr">
        <is>
          <t>ÄLVDALEN</t>
        </is>
      </c>
      <c r="G407" t="n">
        <v>4.6</v>
      </c>
      <c r="H407" t="n">
        <v>0</v>
      </c>
      <c r="I407" t="n">
        <v>0</v>
      </c>
      <c r="J407" t="n">
        <v>0</v>
      </c>
      <c r="K407" t="n">
        <v>0</v>
      </c>
      <c r="L407" t="n">
        <v>0</v>
      </c>
      <c r="M407" t="n">
        <v>0</v>
      </c>
      <c r="N407" t="n">
        <v>0</v>
      </c>
      <c r="O407" t="n">
        <v>0</v>
      </c>
      <c r="P407" t="n">
        <v>0</v>
      </c>
      <c r="Q407" t="n">
        <v>0</v>
      </c>
      <c r="R407" s="2" t="inlineStr"/>
    </row>
    <row r="408" ht="15" customHeight="1">
      <c r="A408" t="inlineStr">
        <is>
          <t>A 39199-2021</t>
        </is>
      </c>
      <c r="B408" s="1" t="n">
        <v>44412</v>
      </c>
      <c r="C408" s="1" t="n">
        <v>45812</v>
      </c>
      <c r="D408" t="inlineStr">
        <is>
          <t>DALARNAS LÄN</t>
        </is>
      </c>
      <c r="E408" t="inlineStr">
        <is>
          <t>ÄLVDALEN</t>
        </is>
      </c>
      <c r="F408" t="inlineStr">
        <is>
          <t>Övriga statliga verk och myndigheter</t>
        </is>
      </c>
      <c r="G408" t="n">
        <v>5.2</v>
      </c>
      <c r="H408" t="n">
        <v>0</v>
      </c>
      <c r="I408" t="n">
        <v>0</v>
      </c>
      <c r="J408" t="n">
        <v>0</v>
      </c>
      <c r="K408" t="n">
        <v>0</v>
      </c>
      <c r="L408" t="n">
        <v>0</v>
      </c>
      <c r="M408" t="n">
        <v>0</v>
      </c>
      <c r="N408" t="n">
        <v>0</v>
      </c>
      <c r="O408" t="n">
        <v>0</v>
      </c>
      <c r="P408" t="n">
        <v>0</v>
      </c>
      <c r="Q408" t="n">
        <v>0</v>
      </c>
      <c r="R408" s="2" t="inlineStr"/>
    </row>
    <row r="409" ht="15" customHeight="1">
      <c r="A409" t="inlineStr">
        <is>
          <t>A 39267-2021</t>
        </is>
      </c>
      <c r="B409" s="1" t="n">
        <v>44413</v>
      </c>
      <c r="C409" s="1" t="n">
        <v>45812</v>
      </c>
      <c r="D409" t="inlineStr">
        <is>
          <t>DALARNAS LÄN</t>
        </is>
      </c>
      <c r="E409" t="inlineStr">
        <is>
          <t>ÄLVDALEN</t>
        </is>
      </c>
      <c r="G409" t="n">
        <v>2.4</v>
      </c>
      <c r="H409" t="n">
        <v>0</v>
      </c>
      <c r="I409" t="n">
        <v>0</v>
      </c>
      <c r="J409" t="n">
        <v>0</v>
      </c>
      <c r="K409" t="n">
        <v>0</v>
      </c>
      <c r="L409" t="n">
        <v>0</v>
      </c>
      <c r="M409" t="n">
        <v>0</v>
      </c>
      <c r="N409" t="n">
        <v>0</v>
      </c>
      <c r="O409" t="n">
        <v>0</v>
      </c>
      <c r="P409" t="n">
        <v>0</v>
      </c>
      <c r="Q409" t="n">
        <v>0</v>
      </c>
      <c r="R409" s="2" t="inlineStr"/>
    </row>
    <row r="410" ht="15" customHeight="1">
      <c r="A410" t="inlineStr">
        <is>
          <t>A 40234-2021</t>
        </is>
      </c>
      <c r="B410" s="1" t="n">
        <v>44419</v>
      </c>
      <c r="C410" s="1" t="n">
        <v>45812</v>
      </c>
      <c r="D410" t="inlineStr">
        <is>
          <t>DALARNAS LÄN</t>
        </is>
      </c>
      <c r="E410" t="inlineStr">
        <is>
          <t>ÄLVDALEN</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40235-2021</t>
        </is>
      </c>
      <c r="B411" s="1" t="n">
        <v>44419</v>
      </c>
      <c r="C411" s="1" t="n">
        <v>45812</v>
      </c>
      <c r="D411" t="inlineStr">
        <is>
          <t>DALARNAS LÄN</t>
        </is>
      </c>
      <c r="E411" t="inlineStr">
        <is>
          <t>ÄLVDALEN</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40919-2021</t>
        </is>
      </c>
      <c r="B412" s="1" t="n">
        <v>44421</v>
      </c>
      <c r="C412" s="1" t="n">
        <v>45812</v>
      </c>
      <c r="D412" t="inlineStr">
        <is>
          <t>DALARNAS LÄN</t>
        </is>
      </c>
      <c r="E412" t="inlineStr">
        <is>
          <t>ÄLVDALEN</t>
        </is>
      </c>
      <c r="F412" t="inlineStr">
        <is>
          <t>Kyrkan</t>
        </is>
      </c>
      <c r="G412" t="n">
        <v>3.4</v>
      </c>
      <c r="H412" t="n">
        <v>0</v>
      </c>
      <c r="I412" t="n">
        <v>0</v>
      </c>
      <c r="J412" t="n">
        <v>0</v>
      </c>
      <c r="K412" t="n">
        <v>0</v>
      </c>
      <c r="L412" t="n">
        <v>0</v>
      </c>
      <c r="M412" t="n">
        <v>0</v>
      </c>
      <c r="N412" t="n">
        <v>0</v>
      </c>
      <c r="O412" t="n">
        <v>0</v>
      </c>
      <c r="P412" t="n">
        <v>0</v>
      </c>
      <c r="Q412" t="n">
        <v>0</v>
      </c>
      <c r="R412" s="2" t="inlineStr"/>
    </row>
    <row r="413" ht="15" customHeight="1">
      <c r="A413" t="inlineStr">
        <is>
          <t>A 41020-2021</t>
        </is>
      </c>
      <c r="B413" s="1" t="n">
        <v>44421</v>
      </c>
      <c r="C413" s="1" t="n">
        <v>45812</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43972-2021</t>
        </is>
      </c>
      <c r="B414" s="1" t="n">
        <v>44434</v>
      </c>
      <c r="C414" s="1" t="n">
        <v>45812</v>
      </c>
      <c r="D414" t="inlineStr">
        <is>
          <t>DALARNAS LÄN</t>
        </is>
      </c>
      <c r="E414" t="inlineStr">
        <is>
          <t>ÄLVDALEN</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44386-2021</t>
        </is>
      </c>
      <c r="B415" s="1" t="n">
        <v>44435</v>
      </c>
      <c r="C415" s="1" t="n">
        <v>45812</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44413-2021</t>
        </is>
      </c>
      <c r="B416" s="1" t="n">
        <v>44435</v>
      </c>
      <c r="C416" s="1" t="n">
        <v>45812</v>
      </c>
      <c r="D416" t="inlineStr">
        <is>
          <t>DALARNAS LÄN</t>
        </is>
      </c>
      <c r="E416" t="inlineStr">
        <is>
          <t>ÄLVDALEN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48558-2021</t>
        </is>
      </c>
      <c r="B417" s="1" t="n">
        <v>44452</v>
      </c>
      <c r="C417" s="1" t="n">
        <v>45812</v>
      </c>
      <c r="D417" t="inlineStr">
        <is>
          <t>DALARNAS LÄN</t>
        </is>
      </c>
      <c r="E417" t="inlineStr">
        <is>
          <t>ÄLVDALEN</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48608-2021</t>
        </is>
      </c>
      <c r="B418" s="1" t="n">
        <v>44452</v>
      </c>
      <c r="C418" s="1" t="n">
        <v>45812</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48772-2021</t>
        </is>
      </c>
      <c r="B419" s="1" t="n">
        <v>44452</v>
      </c>
      <c r="C419" s="1" t="n">
        <v>45812</v>
      </c>
      <c r="D419" t="inlineStr">
        <is>
          <t>DALARNAS LÄN</t>
        </is>
      </c>
      <c r="E419" t="inlineStr">
        <is>
          <t>ÄLVDALEN</t>
        </is>
      </c>
      <c r="F419" t="inlineStr">
        <is>
          <t>Allmännings- och besparingsskogar</t>
        </is>
      </c>
      <c r="G419" t="n">
        <v>18.6</v>
      </c>
      <c r="H419" t="n">
        <v>0</v>
      </c>
      <c r="I419" t="n">
        <v>0</v>
      </c>
      <c r="J419" t="n">
        <v>0</v>
      </c>
      <c r="K419" t="n">
        <v>0</v>
      </c>
      <c r="L419" t="n">
        <v>0</v>
      </c>
      <c r="M419" t="n">
        <v>0</v>
      </c>
      <c r="N419" t="n">
        <v>0</v>
      </c>
      <c r="O419" t="n">
        <v>0</v>
      </c>
      <c r="P419" t="n">
        <v>0</v>
      </c>
      <c r="Q419" t="n">
        <v>0</v>
      </c>
      <c r="R419" s="2" t="inlineStr"/>
    </row>
    <row r="420" ht="15" customHeight="1">
      <c r="A420" t="inlineStr">
        <is>
          <t>A 49495-2021</t>
        </is>
      </c>
      <c r="B420" s="1" t="n">
        <v>44455</v>
      </c>
      <c r="C420" s="1" t="n">
        <v>45812</v>
      </c>
      <c r="D420" t="inlineStr">
        <is>
          <t>DALARNAS LÄN</t>
        </is>
      </c>
      <c r="E420" t="inlineStr">
        <is>
          <t>ÄLVDALEN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49862-2021</t>
        </is>
      </c>
      <c r="B421" s="1" t="n">
        <v>44455</v>
      </c>
      <c r="C421" s="1" t="n">
        <v>45812</v>
      </c>
      <c r="D421" t="inlineStr">
        <is>
          <t>DALARNAS LÄN</t>
        </is>
      </c>
      <c r="E421" t="inlineStr">
        <is>
          <t>ÄLVDALEN</t>
        </is>
      </c>
      <c r="F421" t="inlineStr">
        <is>
          <t>Allmännings- och besparingsskogar</t>
        </is>
      </c>
      <c r="G421" t="n">
        <v>51.2</v>
      </c>
      <c r="H421" t="n">
        <v>0</v>
      </c>
      <c r="I421" t="n">
        <v>0</v>
      </c>
      <c r="J421" t="n">
        <v>0</v>
      </c>
      <c r="K421" t="n">
        <v>0</v>
      </c>
      <c r="L421" t="n">
        <v>0</v>
      </c>
      <c r="M421" t="n">
        <v>0</v>
      </c>
      <c r="N421" t="n">
        <v>0</v>
      </c>
      <c r="O421" t="n">
        <v>0</v>
      </c>
      <c r="P421" t="n">
        <v>0</v>
      </c>
      <c r="Q421" t="n">
        <v>0</v>
      </c>
      <c r="R421" s="2" t="inlineStr"/>
    </row>
    <row r="422" ht="15" customHeight="1">
      <c r="A422" t="inlineStr">
        <is>
          <t>A 50265-2021</t>
        </is>
      </c>
      <c r="B422" s="1" t="n">
        <v>44459</v>
      </c>
      <c r="C422" s="1" t="n">
        <v>45812</v>
      </c>
      <c r="D422" t="inlineStr">
        <is>
          <t>DALARNAS LÄN</t>
        </is>
      </c>
      <c r="E422" t="inlineStr">
        <is>
          <t>ÄLVDALEN</t>
        </is>
      </c>
      <c r="F422" t="inlineStr">
        <is>
          <t>Sveaskog</t>
        </is>
      </c>
      <c r="G422" t="n">
        <v>9.5</v>
      </c>
      <c r="H422" t="n">
        <v>0</v>
      </c>
      <c r="I422" t="n">
        <v>0</v>
      </c>
      <c r="J422" t="n">
        <v>0</v>
      </c>
      <c r="K422" t="n">
        <v>0</v>
      </c>
      <c r="L422" t="n">
        <v>0</v>
      </c>
      <c r="M422" t="n">
        <v>0</v>
      </c>
      <c r="N422" t="n">
        <v>0</v>
      </c>
      <c r="O422" t="n">
        <v>0</v>
      </c>
      <c r="P422" t="n">
        <v>0</v>
      </c>
      <c r="Q422" t="n">
        <v>0</v>
      </c>
      <c r="R422" s="2" t="inlineStr"/>
    </row>
    <row r="423" ht="15" customHeight="1">
      <c r="A423" t="inlineStr">
        <is>
          <t>A 50341-2021</t>
        </is>
      </c>
      <c r="B423" s="1" t="n">
        <v>44459</v>
      </c>
      <c r="C423" s="1" t="n">
        <v>45812</v>
      </c>
      <c r="D423" t="inlineStr">
        <is>
          <t>DALARNAS LÄN</t>
        </is>
      </c>
      <c r="E423" t="inlineStr">
        <is>
          <t>ÄLVDALEN</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50349-2021</t>
        </is>
      </c>
      <c r="B424" s="1" t="n">
        <v>44459</v>
      </c>
      <c r="C424" s="1" t="n">
        <v>45812</v>
      </c>
      <c r="D424" t="inlineStr">
        <is>
          <t>DALARNAS LÄN</t>
        </is>
      </c>
      <c r="E424" t="inlineStr">
        <is>
          <t>ÄLVDALEN</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50708-2021</t>
        </is>
      </c>
      <c r="B425" s="1" t="n">
        <v>44459</v>
      </c>
      <c r="C425" s="1" t="n">
        <v>45812</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51161-2021</t>
        </is>
      </c>
      <c r="B426" s="1" t="n">
        <v>44461</v>
      </c>
      <c r="C426" s="1" t="n">
        <v>45812</v>
      </c>
      <c r="D426" t="inlineStr">
        <is>
          <t>DALARNAS LÄN</t>
        </is>
      </c>
      <c r="E426" t="inlineStr">
        <is>
          <t>ÄLVDALEN</t>
        </is>
      </c>
      <c r="G426" t="n">
        <v>2</v>
      </c>
      <c r="H426" t="n">
        <v>0</v>
      </c>
      <c r="I426" t="n">
        <v>0</v>
      </c>
      <c r="J426" t="n">
        <v>0</v>
      </c>
      <c r="K426" t="n">
        <v>0</v>
      </c>
      <c r="L426" t="n">
        <v>0</v>
      </c>
      <c r="M426" t="n">
        <v>0</v>
      </c>
      <c r="N426" t="n">
        <v>0</v>
      </c>
      <c r="O426" t="n">
        <v>0</v>
      </c>
      <c r="P426" t="n">
        <v>0</v>
      </c>
      <c r="Q426" t="n">
        <v>0</v>
      </c>
      <c r="R426" s="2" t="inlineStr"/>
    </row>
    <row r="427" ht="15" customHeight="1">
      <c r="A427" t="inlineStr">
        <is>
          <t>A 51844-2021</t>
        </is>
      </c>
      <c r="B427" s="1" t="n">
        <v>44462</v>
      </c>
      <c r="C427" s="1" t="n">
        <v>45812</v>
      </c>
      <c r="D427" t="inlineStr">
        <is>
          <t>DALARNAS LÄN</t>
        </is>
      </c>
      <c r="E427" t="inlineStr">
        <is>
          <t>ÄLVDALEN</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52124-2021</t>
        </is>
      </c>
      <c r="B428" s="1" t="n">
        <v>44463</v>
      </c>
      <c r="C428" s="1" t="n">
        <v>45812</v>
      </c>
      <c r="D428" t="inlineStr">
        <is>
          <t>DALARNAS LÄN</t>
        </is>
      </c>
      <c r="E428" t="inlineStr">
        <is>
          <t>ÄLVDALEN</t>
        </is>
      </c>
      <c r="G428" t="n">
        <v>2.5</v>
      </c>
      <c r="H428" t="n">
        <v>0</v>
      </c>
      <c r="I428" t="n">
        <v>0</v>
      </c>
      <c r="J428" t="n">
        <v>0</v>
      </c>
      <c r="K428" t="n">
        <v>0</v>
      </c>
      <c r="L428" t="n">
        <v>0</v>
      </c>
      <c r="M428" t="n">
        <v>0</v>
      </c>
      <c r="N428" t="n">
        <v>0</v>
      </c>
      <c r="O428" t="n">
        <v>0</v>
      </c>
      <c r="P428" t="n">
        <v>0</v>
      </c>
      <c r="Q428" t="n">
        <v>0</v>
      </c>
      <c r="R428" s="2" t="inlineStr"/>
    </row>
    <row r="429" ht="15" customHeight="1">
      <c r="A429" t="inlineStr">
        <is>
          <t>A 52877-2021</t>
        </is>
      </c>
      <c r="B429" s="1" t="n">
        <v>44467</v>
      </c>
      <c r="C429" s="1" t="n">
        <v>45812</v>
      </c>
      <c r="D429" t="inlineStr">
        <is>
          <t>DALARNAS LÄN</t>
        </is>
      </c>
      <c r="E429" t="inlineStr">
        <is>
          <t>ÄLVDALEN</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52866-2021</t>
        </is>
      </c>
      <c r="B430" s="1" t="n">
        <v>44467</v>
      </c>
      <c r="C430" s="1" t="n">
        <v>45812</v>
      </c>
      <c r="D430" t="inlineStr">
        <is>
          <t>DALARNAS LÄN</t>
        </is>
      </c>
      <c r="E430" t="inlineStr">
        <is>
          <t>ÄLVDALEN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52873-2021</t>
        </is>
      </c>
      <c r="B431" s="1" t="n">
        <v>44467</v>
      </c>
      <c r="C431" s="1" t="n">
        <v>45812</v>
      </c>
      <c r="D431" t="inlineStr">
        <is>
          <t>DALARNAS LÄN</t>
        </is>
      </c>
      <c r="E431" t="inlineStr">
        <is>
          <t>ÄLVDALEN</t>
        </is>
      </c>
      <c r="F431" t="inlineStr">
        <is>
          <t>Sveaskog</t>
        </is>
      </c>
      <c r="G431" t="n">
        <v>14.2</v>
      </c>
      <c r="H431" t="n">
        <v>0</v>
      </c>
      <c r="I431" t="n">
        <v>0</v>
      </c>
      <c r="J431" t="n">
        <v>0</v>
      </c>
      <c r="K431" t="n">
        <v>0</v>
      </c>
      <c r="L431" t="n">
        <v>0</v>
      </c>
      <c r="M431" t="n">
        <v>0</v>
      </c>
      <c r="N431" t="n">
        <v>0</v>
      </c>
      <c r="O431" t="n">
        <v>0</v>
      </c>
      <c r="P431" t="n">
        <v>0</v>
      </c>
      <c r="Q431" t="n">
        <v>0</v>
      </c>
      <c r="R431" s="2" t="inlineStr"/>
    </row>
    <row r="432" ht="15" customHeight="1">
      <c r="A432" t="inlineStr">
        <is>
          <t>A 54292-2021</t>
        </is>
      </c>
      <c r="B432" s="1" t="n">
        <v>44471</v>
      </c>
      <c r="C432" s="1" t="n">
        <v>45812</v>
      </c>
      <c r="D432" t="inlineStr">
        <is>
          <t>DALARNAS LÄN</t>
        </is>
      </c>
      <c r="E432" t="inlineStr">
        <is>
          <t>ÄLVDALEN</t>
        </is>
      </c>
      <c r="G432" t="n">
        <v>3.1</v>
      </c>
      <c r="H432" t="n">
        <v>0</v>
      </c>
      <c r="I432" t="n">
        <v>0</v>
      </c>
      <c r="J432" t="n">
        <v>0</v>
      </c>
      <c r="K432" t="n">
        <v>0</v>
      </c>
      <c r="L432" t="n">
        <v>0</v>
      </c>
      <c r="M432" t="n">
        <v>0</v>
      </c>
      <c r="N432" t="n">
        <v>0</v>
      </c>
      <c r="O432" t="n">
        <v>0</v>
      </c>
      <c r="P432" t="n">
        <v>0</v>
      </c>
      <c r="Q432" t="n">
        <v>0</v>
      </c>
      <c r="R432" s="2" t="inlineStr"/>
    </row>
    <row r="433" ht="15" customHeight="1">
      <c r="A433" t="inlineStr">
        <is>
          <t>A 54387-2021</t>
        </is>
      </c>
      <c r="B433" s="1" t="n">
        <v>44473</v>
      </c>
      <c r="C433" s="1" t="n">
        <v>45812</v>
      </c>
      <c r="D433" t="inlineStr">
        <is>
          <t>DALARNAS LÄN</t>
        </is>
      </c>
      <c r="E433" t="inlineStr">
        <is>
          <t>ÄLVDALEN</t>
        </is>
      </c>
      <c r="F433" t="inlineStr">
        <is>
          <t>Bergvik skog öst AB</t>
        </is>
      </c>
      <c r="G433" t="n">
        <v>2.9</v>
      </c>
      <c r="H433" t="n">
        <v>0</v>
      </c>
      <c r="I433" t="n">
        <v>0</v>
      </c>
      <c r="J433" t="n">
        <v>0</v>
      </c>
      <c r="K433" t="n">
        <v>0</v>
      </c>
      <c r="L433" t="n">
        <v>0</v>
      </c>
      <c r="M433" t="n">
        <v>0</v>
      </c>
      <c r="N433" t="n">
        <v>0</v>
      </c>
      <c r="O433" t="n">
        <v>0</v>
      </c>
      <c r="P433" t="n">
        <v>0</v>
      </c>
      <c r="Q433" t="n">
        <v>0</v>
      </c>
      <c r="R433" s="2" t="inlineStr"/>
    </row>
    <row r="434" ht="15" customHeight="1">
      <c r="A434" t="inlineStr">
        <is>
          <t>A 55778-2021</t>
        </is>
      </c>
      <c r="B434" s="1" t="n">
        <v>44476</v>
      </c>
      <c r="C434" s="1" t="n">
        <v>45812</v>
      </c>
      <c r="D434" t="inlineStr">
        <is>
          <t>DALARNAS LÄN</t>
        </is>
      </c>
      <c r="E434" t="inlineStr">
        <is>
          <t>ÄLVDALEN</t>
        </is>
      </c>
      <c r="G434" t="n">
        <v>3.2</v>
      </c>
      <c r="H434" t="n">
        <v>0</v>
      </c>
      <c r="I434" t="n">
        <v>0</v>
      </c>
      <c r="J434" t="n">
        <v>0</v>
      </c>
      <c r="K434" t="n">
        <v>0</v>
      </c>
      <c r="L434" t="n">
        <v>0</v>
      </c>
      <c r="M434" t="n">
        <v>0</v>
      </c>
      <c r="N434" t="n">
        <v>0</v>
      </c>
      <c r="O434" t="n">
        <v>0</v>
      </c>
      <c r="P434" t="n">
        <v>0</v>
      </c>
      <c r="Q434" t="n">
        <v>0</v>
      </c>
      <c r="R434" s="2" t="inlineStr"/>
    </row>
    <row r="435" ht="15" customHeight="1">
      <c r="A435" t="inlineStr">
        <is>
          <t>A 55990-2021</t>
        </is>
      </c>
      <c r="B435" s="1" t="n">
        <v>44477</v>
      </c>
      <c r="C435" s="1" t="n">
        <v>45812</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56041-2021</t>
        </is>
      </c>
      <c r="B436" s="1" t="n">
        <v>44477</v>
      </c>
      <c r="C436" s="1" t="n">
        <v>45812</v>
      </c>
      <c r="D436" t="inlineStr">
        <is>
          <t>DALARNAS LÄN</t>
        </is>
      </c>
      <c r="E436" t="inlineStr">
        <is>
          <t>ÄLVDALEN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56047-2021</t>
        </is>
      </c>
      <c r="B437" s="1" t="n">
        <v>44477</v>
      </c>
      <c r="C437" s="1" t="n">
        <v>45812</v>
      </c>
      <c r="D437" t="inlineStr">
        <is>
          <t>DALARNAS LÄN</t>
        </is>
      </c>
      <c r="E437" t="inlineStr">
        <is>
          <t>ÄLVDALEN</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56045-2021</t>
        </is>
      </c>
      <c r="B438" s="1" t="n">
        <v>44477</v>
      </c>
      <c r="C438" s="1" t="n">
        <v>45812</v>
      </c>
      <c r="D438" t="inlineStr">
        <is>
          <t>DALARNAS LÄN</t>
        </is>
      </c>
      <c r="E438" t="inlineStr">
        <is>
          <t>ÄLVDALEN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56691-2021</t>
        </is>
      </c>
      <c r="B439" s="1" t="n">
        <v>44481</v>
      </c>
      <c r="C439" s="1" t="n">
        <v>45812</v>
      </c>
      <c r="D439" t="inlineStr">
        <is>
          <t>DALARNAS LÄN</t>
        </is>
      </c>
      <c r="E439" t="inlineStr">
        <is>
          <t>ÄLVDALEN</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57783-2021</t>
        </is>
      </c>
      <c r="B440" s="1" t="n">
        <v>44484</v>
      </c>
      <c r="C440" s="1" t="n">
        <v>45812</v>
      </c>
      <c r="D440" t="inlineStr">
        <is>
          <t>DALARNAS LÄN</t>
        </is>
      </c>
      <c r="E440" t="inlineStr">
        <is>
          <t>ÄLVDALEN</t>
        </is>
      </c>
      <c r="G440" t="n">
        <v>6.9</v>
      </c>
      <c r="H440" t="n">
        <v>0</v>
      </c>
      <c r="I440" t="n">
        <v>0</v>
      </c>
      <c r="J440" t="n">
        <v>0</v>
      </c>
      <c r="K440" t="n">
        <v>0</v>
      </c>
      <c r="L440" t="n">
        <v>0</v>
      </c>
      <c r="M440" t="n">
        <v>0</v>
      </c>
      <c r="N440" t="n">
        <v>0</v>
      </c>
      <c r="O440" t="n">
        <v>0</v>
      </c>
      <c r="P440" t="n">
        <v>0</v>
      </c>
      <c r="Q440" t="n">
        <v>0</v>
      </c>
      <c r="R440" s="2" t="inlineStr"/>
    </row>
    <row r="441" ht="15" customHeight="1">
      <c r="A441" t="inlineStr">
        <is>
          <t>A 57799-2021</t>
        </is>
      </c>
      <c r="B441" s="1" t="n">
        <v>44484</v>
      </c>
      <c r="C441" s="1" t="n">
        <v>45812</v>
      </c>
      <c r="D441" t="inlineStr">
        <is>
          <t>DALARNAS LÄN</t>
        </is>
      </c>
      <c r="E441" t="inlineStr">
        <is>
          <t>ÄLVDALEN</t>
        </is>
      </c>
      <c r="F441" t="inlineStr">
        <is>
          <t>Allmännings- och besparingsskogar</t>
        </is>
      </c>
      <c r="G441" t="n">
        <v>18.7</v>
      </c>
      <c r="H441" t="n">
        <v>0</v>
      </c>
      <c r="I441" t="n">
        <v>0</v>
      </c>
      <c r="J441" t="n">
        <v>0</v>
      </c>
      <c r="K441" t="n">
        <v>0</v>
      </c>
      <c r="L441" t="n">
        <v>0</v>
      </c>
      <c r="M441" t="n">
        <v>0</v>
      </c>
      <c r="N441" t="n">
        <v>0</v>
      </c>
      <c r="O441" t="n">
        <v>0</v>
      </c>
      <c r="P441" t="n">
        <v>0</v>
      </c>
      <c r="Q441" t="n">
        <v>0</v>
      </c>
      <c r="R441" s="2" t="inlineStr"/>
    </row>
    <row r="442" ht="15" customHeight="1">
      <c r="A442" t="inlineStr">
        <is>
          <t>A 58509-2021</t>
        </is>
      </c>
      <c r="B442" s="1" t="n">
        <v>44488</v>
      </c>
      <c r="C442" s="1" t="n">
        <v>45812</v>
      </c>
      <c r="D442" t="inlineStr">
        <is>
          <t>DALARNAS LÄN</t>
        </is>
      </c>
      <c r="E442" t="inlineStr">
        <is>
          <t>ÄLVDALEN</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59658-2021</t>
        </is>
      </c>
      <c r="B443" s="1" t="n">
        <v>44494</v>
      </c>
      <c r="C443" s="1" t="n">
        <v>45812</v>
      </c>
      <c r="D443" t="inlineStr">
        <is>
          <t>DALARNAS LÄN</t>
        </is>
      </c>
      <c r="E443" t="inlineStr">
        <is>
          <t>ÄLVDALEN</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60258-2021</t>
        </is>
      </c>
      <c r="B444" s="1" t="n">
        <v>44495</v>
      </c>
      <c r="C444" s="1" t="n">
        <v>45812</v>
      </c>
      <c r="D444" t="inlineStr">
        <is>
          <t>DALARNAS LÄN</t>
        </is>
      </c>
      <c r="E444" t="inlineStr">
        <is>
          <t>ÄLVDALEN</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60265-2021</t>
        </is>
      </c>
      <c r="B445" s="1" t="n">
        <v>44495</v>
      </c>
      <c r="C445" s="1" t="n">
        <v>45812</v>
      </c>
      <c r="D445" t="inlineStr">
        <is>
          <t>DALARNAS LÄN</t>
        </is>
      </c>
      <c r="E445" t="inlineStr">
        <is>
          <t>ÄLVDALEN</t>
        </is>
      </c>
      <c r="F445" t="inlineStr">
        <is>
          <t>Allmännings- och besparingsskogar</t>
        </is>
      </c>
      <c r="G445" t="n">
        <v>10</v>
      </c>
      <c r="H445" t="n">
        <v>0</v>
      </c>
      <c r="I445" t="n">
        <v>0</v>
      </c>
      <c r="J445" t="n">
        <v>0</v>
      </c>
      <c r="K445" t="n">
        <v>0</v>
      </c>
      <c r="L445" t="n">
        <v>0</v>
      </c>
      <c r="M445" t="n">
        <v>0</v>
      </c>
      <c r="N445" t="n">
        <v>0</v>
      </c>
      <c r="O445" t="n">
        <v>0</v>
      </c>
      <c r="P445" t="n">
        <v>0</v>
      </c>
      <c r="Q445" t="n">
        <v>0</v>
      </c>
      <c r="R445" s="2" t="inlineStr"/>
    </row>
    <row r="446" ht="15" customHeight="1">
      <c r="A446" t="inlineStr">
        <is>
          <t>A 60642-2021</t>
        </is>
      </c>
      <c r="B446" s="1" t="n">
        <v>44496</v>
      </c>
      <c r="C446" s="1" t="n">
        <v>45812</v>
      </c>
      <c r="D446" t="inlineStr">
        <is>
          <t>DALARNAS LÄN</t>
        </is>
      </c>
      <c r="E446" t="inlineStr">
        <is>
          <t>ÄLVDALEN</t>
        </is>
      </c>
      <c r="F446" t="inlineStr">
        <is>
          <t>Allmännings- och besparingsskogar</t>
        </is>
      </c>
      <c r="G446" t="n">
        <v>0.9</v>
      </c>
      <c r="H446" t="n">
        <v>0</v>
      </c>
      <c r="I446" t="n">
        <v>0</v>
      </c>
      <c r="J446" t="n">
        <v>0</v>
      </c>
      <c r="K446" t="n">
        <v>0</v>
      </c>
      <c r="L446" t="n">
        <v>0</v>
      </c>
      <c r="M446" t="n">
        <v>0</v>
      </c>
      <c r="N446" t="n">
        <v>0</v>
      </c>
      <c r="O446" t="n">
        <v>0</v>
      </c>
      <c r="P446" t="n">
        <v>0</v>
      </c>
      <c r="Q446" t="n">
        <v>0</v>
      </c>
      <c r="R446" s="2" t="inlineStr"/>
    </row>
    <row r="447" ht="15" customHeight="1">
      <c r="A447" t="inlineStr">
        <is>
          <t>A 61315-2021</t>
        </is>
      </c>
      <c r="B447" s="1" t="n">
        <v>44498</v>
      </c>
      <c r="C447" s="1" t="n">
        <v>45812</v>
      </c>
      <c r="D447" t="inlineStr">
        <is>
          <t>DALARNAS LÄN</t>
        </is>
      </c>
      <c r="E447" t="inlineStr">
        <is>
          <t>ÄLVDALEN</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61563-2021</t>
        </is>
      </c>
      <c r="B448" s="1" t="n">
        <v>44501</v>
      </c>
      <c r="C448" s="1" t="n">
        <v>45812</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62024-2021</t>
        </is>
      </c>
      <c r="B449" s="1" t="n">
        <v>44502</v>
      </c>
      <c r="C449" s="1" t="n">
        <v>45812</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62643-2021</t>
        </is>
      </c>
      <c r="B450" s="1" t="n">
        <v>44503</v>
      </c>
      <c r="C450" s="1" t="n">
        <v>45812</v>
      </c>
      <c r="D450" t="inlineStr">
        <is>
          <t>DALARNAS LÄN</t>
        </is>
      </c>
      <c r="E450" t="inlineStr">
        <is>
          <t>ÄLVDALEN</t>
        </is>
      </c>
      <c r="F450" t="inlineStr">
        <is>
          <t>Sveaskog</t>
        </is>
      </c>
      <c r="G450" t="n">
        <v>48.7</v>
      </c>
      <c r="H450" t="n">
        <v>0</v>
      </c>
      <c r="I450" t="n">
        <v>0</v>
      </c>
      <c r="J450" t="n">
        <v>0</v>
      </c>
      <c r="K450" t="n">
        <v>0</v>
      </c>
      <c r="L450" t="n">
        <v>0</v>
      </c>
      <c r="M450" t="n">
        <v>0</v>
      </c>
      <c r="N450" t="n">
        <v>0</v>
      </c>
      <c r="O450" t="n">
        <v>0</v>
      </c>
      <c r="P450" t="n">
        <v>0</v>
      </c>
      <c r="Q450" t="n">
        <v>0</v>
      </c>
      <c r="R450" s="2" t="inlineStr"/>
    </row>
    <row r="451" ht="15" customHeight="1">
      <c r="A451" t="inlineStr">
        <is>
          <t>A 62680-2021</t>
        </is>
      </c>
      <c r="B451" s="1" t="n">
        <v>44504</v>
      </c>
      <c r="C451" s="1" t="n">
        <v>45812</v>
      </c>
      <c r="D451" t="inlineStr">
        <is>
          <t>DALARNAS LÄN</t>
        </is>
      </c>
      <c r="E451" t="inlineStr">
        <is>
          <t>ÄLVDALEN</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v>
      </c>
      <c r="C452" s="1" t="n">
        <v>45812</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63114-2021</t>
        </is>
      </c>
      <c r="B453" s="1" t="n">
        <v>44505</v>
      </c>
      <c r="C453" s="1" t="n">
        <v>45812</v>
      </c>
      <c r="D453" t="inlineStr">
        <is>
          <t>DALARNAS LÄN</t>
        </is>
      </c>
      <c r="E453" t="inlineStr">
        <is>
          <t>ÄLVDALEN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63120-2021</t>
        </is>
      </c>
      <c r="B454" s="1" t="n">
        <v>44505</v>
      </c>
      <c r="C454" s="1" t="n">
        <v>45812</v>
      </c>
      <c r="D454" t="inlineStr">
        <is>
          <t>DALARNAS LÄN</t>
        </is>
      </c>
      <c r="E454" t="inlineStr">
        <is>
          <t>ÄLVDALEN</t>
        </is>
      </c>
      <c r="F454" t="inlineStr">
        <is>
          <t>Bergvik skog väst AB</t>
        </is>
      </c>
      <c r="G454" t="n">
        <v>18.6</v>
      </c>
      <c r="H454" t="n">
        <v>0</v>
      </c>
      <c r="I454" t="n">
        <v>0</v>
      </c>
      <c r="J454" t="n">
        <v>0</v>
      </c>
      <c r="K454" t="n">
        <v>0</v>
      </c>
      <c r="L454" t="n">
        <v>0</v>
      </c>
      <c r="M454" t="n">
        <v>0</v>
      </c>
      <c r="N454" t="n">
        <v>0</v>
      </c>
      <c r="O454" t="n">
        <v>0</v>
      </c>
      <c r="P454" t="n">
        <v>0</v>
      </c>
      <c r="Q454" t="n">
        <v>0</v>
      </c>
      <c r="R454" s="2" t="inlineStr"/>
    </row>
    <row r="455" ht="15" customHeight="1">
      <c r="A455" t="inlineStr">
        <is>
          <t>A 63273-2021</t>
        </is>
      </c>
      <c r="B455" s="1" t="n">
        <v>44508</v>
      </c>
      <c r="C455" s="1" t="n">
        <v>45812</v>
      </c>
      <c r="D455" t="inlineStr">
        <is>
          <t>DALARNAS LÄN</t>
        </is>
      </c>
      <c r="E455" t="inlineStr">
        <is>
          <t>ÄLVDALEN</t>
        </is>
      </c>
      <c r="F455" t="inlineStr">
        <is>
          <t>Bergvik skog väst AB</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63242-2021</t>
        </is>
      </c>
      <c r="B456" s="1" t="n">
        <v>44508</v>
      </c>
      <c r="C456" s="1" t="n">
        <v>45812</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63250-2021</t>
        </is>
      </c>
      <c r="B457" s="1" t="n">
        <v>44508</v>
      </c>
      <c r="C457" s="1" t="n">
        <v>45812</v>
      </c>
      <c r="D457" t="inlineStr">
        <is>
          <t>DALARNAS LÄN</t>
        </is>
      </c>
      <c r="E457" t="inlineStr">
        <is>
          <t>ÄLVDALEN</t>
        </is>
      </c>
      <c r="G457" t="n">
        <v>2.2</v>
      </c>
      <c r="H457" t="n">
        <v>0</v>
      </c>
      <c r="I457" t="n">
        <v>0</v>
      </c>
      <c r="J457" t="n">
        <v>0</v>
      </c>
      <c r="K457" t="n">
        <v>0</v>
      </c>
      <c r="L457" t="n">
        <v>0</v>
      </c>
      <c r="M457" t="n">
        <v>0</v>
      </c>
      <c r="N457" t="n">
        <v>0</v>
      </c>
      <c r="O457" t="n">
        <v>0</v>
      </c>
      <c r="P457" t="n">
        <v>0</v>
      </c>
      <c r="Q457" t="n">
        <v>0</v>
      </c>
      <c r="R457" s="2" t="inlineStr"/>
    </row>
    <row r="458" ht="15" customHeight="1">
      <c r="A458" t="inlineStr">
        <is>
          <t>A 63325-2021</t>
        </is>
      </c>
      <c r="B458" s="1" t="n">
        <v>44508</v>
      </c>
      <c r="C458" s="1" t="n">
        <v>45812</v>
      </c>
      <c r="D458" t="inlineStr">
        <is>
          <t>DALARNAS LÄN</t>
        </is>
      </c>
      <c r="E458" t="inlineStr">
        <is>
          <t>ÄLVDALEN</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66634-2021</t>
        </is>
      </c>
      <c r="B459" s="1" t="n">
        <v>44519</v>
      </c>
      <c r="C459" s="1" t="n">
        <v>45812</v>
      </c>
      <c r="D459" t="inlineStr">
        <is>
          <t>DALARNAS LÄN</t>
        </is>
      </c>
      <c r="E459" t="inlineStr">
        <is>
          <t>ÄLVDALEN</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66887-2021</t>
        </is>
      </c>
      <c r="B460" s="1" t="n">
        <v>44522</v>
      </c>
      <c r="C460" s="1" t="n">
        <v>45812</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68204-2021</t>
        </is>
      </c>
      <c r="B461" s="1" t="n">
        <v>44526</v>
      </c>
      <c r="C461" s="1" t="n">
        <v>45812</v>
      </c>
      <c r="D461" t="inlineStr">
        <is>
          <t>DALARNAS LÄN</t>
        </is>
      </c>
      <c r="E461" t="inlineStr">
        <is>
          <t>ÄLVDALEN</t>
        </is>
      </c>
      <c r="F461" t="inlineStr">
        <is>
          <t>Kyrkan</t>
        </is>
      </c>
      <c r="G461" t="n">
        <v>5</v>
      </c>
      <c r="H461" t="n">
        <v>0</v>
      </c>
      <c r="I461" t="n">
        <v>0</v>
      </c>
      <c r="J461" t="n">
        <v>0</v>
      </c>
      <c r="K461" t="n">
        <v>0</v>
      </c>
      <c r="L461" t="n">
        <v>0</v>
      </c>
      <c r="M461" t="n">
        <v>0</v>
      </c>
      <c r="N461" t="n">
        <v>0</v>
      </c>
      <c r="O461" t="n">
        <v>0</v>
      </c>
      <c r="P461" t="n">
        <v>0</v>
      </c>
      <c r="Q461" t="n">
        <v>0</v>
      </c>
      <c r="R461" s="2" t="inlineStr"/>
    </row>
    <row r="462" ht="15" customHeight="1">
      <c r="A462" t="inlineStr">
        <is>
          <t>A 68219-2021</t>
        </is>
      </c>
      <c r="B462" s="1" t="n">
        <v>44526</v>
      </c>
      <c r="C462" s="1" t="n">
        <v>45812</v>
      </c>
      <c r="D462" t="inlineStr">
        <is>
          <t>DALARNAS LÄN</t>
        </is>
      </c>
      <c r="E462" t="inlineStr">
        <is>
          <t>ÄLVDALEN</t>
        </is>
      </c>
      <c r="F462" t="inlineStr">
        <is>
          <t>Kyrkan</t>
        </is>
      </c>
      <c r="G462" t="n">
        <v>2.7</v>
      </c>
      <c r="H462" t="n">
        <v>0</v>
      </c>
      <c r="I462" t="n">
        <v>0</v>
      </c>
      <c r="J462" t="n">
        <v>0</v>
      </c>
      <c r="K462" t="n">
        <v>0</v>
      </c>
      <c r="L462" t="n">
        <v>0</v>
      </c>
      <c r="M462" t="n">
        <v>0</v>
      </c>
      <c r="N462" t="n">
        <v>0</v>
      </c>
      <c r="O462" t="n">
        <v>0</v>
      </c>
      <c r="P462" t="n">
        <v>0</v>
      </c>
      <c r="Q462" t="n">
        <v>0</v>
      </c>
      <c r="R462" s="2" t="inlineStr"/>
    </row>
    <row r="463" ht="15" customHeight="1">
      <c r="A463" t="inlineStr">
        <is>
          <t>A 68383-2021</t>
        </is>
      </c>
      <c r="B463" s="1" t="n">
        <v>44529</v>
      </c>
      <c r="C463" s="1" t="n">
        <v>45812</v>
      </c>
      <c r="D463" t="inlineStr">
        <is>
          <t>DALARNAS LÄN</t>
        </is>
      </c>
      <c r="E463" t="inlineStr">
        <is>
          <t>ÄLVDALEN</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70140-2021</t>
        </is>
      </c>
      <c r="B464" s="1" t="n">
        <v>44533</v>
      </c>
      <c r="C464" s="1" t="n">
        <v>45812</v>
      </c>
      <c r="D464" t="inlineStr">
        <is>
          <t>DALARNAS LÄN</t>
        </is>
      </c>
      <c r="E464" t="inlineStr">
        <is>
          <t>ÄLVDALEN</t>
        </is>
      </c>
      <c r="G464" t="n">
        <v>2.5</v>
      </c>
      <c r="H464" t="n">
        <v>0</v>
      </c>
      <c r="I464" t="n">
        <v>0</v>
      </c>
      <c r="J464" t="n">
        <v>0</v>
      </c>
      <c r="K464" t="n">
        <v>0</v>
      </c>
      <c r="L464" t="n">
        <v>0</v>
      </c>
      <c r="M464" t="n">
        <v>0</v>
      </c>
      <c r="N464" t="n">
        <v>0</v>
      </c>
      <c r="O464" t="n">
        <v>0</v>
      </c>
      <c r="P464" t="n">
        <v>0</v>
      </c>
      <c r="Q464" t="n">
        <v>0</v>
      </c>
      <c r="R464" s="2" t="inlineStr"/>
    </row>
    <row r="465" ht="15" customHeight="1">
      <c r="A465" t="inlineStr">
        <is>
          <t>A 70252-2021</t>
        </is>
      </c>
      <c r="B465" s="1" t="n">
        <v>44536</v>
      </c>
      <c r="C465" s="1" t="n">
        <v>45812</v>
      </c>
      <c r="D465" t="inlineStr">
        <is>
          <t>DALARNAS LÄN</t>
        </is>
      </c>
      <c r="E465" t="inlineStr">
        <is>
          <t>ÄLVDALEN</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70990-2021</t>
        </is>
      </c>
      <c r="B466" s="1" t="n">
        <v>44538</v>
      </c>
      <c r="C466" s="1" t="n">
        <v>45812</v>
      </c>
      <c r="D466" t="inlineStr">
        <is>
          <t>DALARNAS LÄN</t>
        </is>
      </c>
      <c r="E466" t="inlineStr">
        <is>
          <t>ÄLVDALEN</t>
        </is>
      </c>
      <c r="F466" t="inlineStr">
        <is>
          <t>Kyrkan</t>
        </is>
      </c>
      <c r="G466" t="n">
        <v>3.5</v>
      </c>
      <c r="H466" t="n">
        <v>0</v>
      </c>
      <c r="I466" t="n">
        <v>0</v>
      </c>
      <c r="J466" t="n">
        <v>0</v>
      </c>
      <c r="K466" t="n">
        <v>0</v>
      </c>
      <c r="L466" t="n">
        <v>0</v>
      </c>
      <c r="M466" t="n">
        <v>0</v>
      </c>
      <c r="N466" t="n">
        <v>0</v>
      </c>
      <c r="O466" t="n">
        <v>0</v>
      </c>
      <c r="P466" t="n">
        <v>0</v>
      </c>
      <c r="Q466" t="n">
        <v>0</v>
      </c>
      <c r="R466" s="2" t="inlineStr"/>
    </row>
    <row r="467" ht="15" customHeight="1">
      <c r="A467" t="inlineStr">
        <is>
          <t>A 71282-2021</t>
        </is>
      </c>
      <c r="B467" s="1" t="n">
        <v>44539</v>
      </c>
      <c r="C467" s="1" t="n">
        <v>45812</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72813-2021</t>
        </is>
      </c>
      <c r="B468" s="1" t="n">
        <v>44546</v>
      </c>
      <c r="C468" s="1" t="n">
        <v>45812</v>
      </c>
      <c r="D468" t="inlineStr">
        <is>
          <t>DALARNAS LÄN</t>
        </is>
      </c>
      <c r="E468" t="inlineStr">
        <is>
          <t>ÄLVDALEN</t>
        </is>
      </c>
      <c r="G468" t="n">
        <v>4.2</v>
      </c>
      <c r="H468" t="n">
        <v>0</v>
      </c>
      <c r="I468" t="n">
        <v>0</v>
      </c>
      <c r="J468" t="n">
        <v>0</v>
      </c>
      <c r="K468" t="n">
        <v>0</v>
      </c>
      <c r="L468" t="n">
        <v>0</v>
      </c>
      <c r="M468" t="n">
        <v>0</v>
      </c>
      <c r="N468" t="n">
        <v>0</v>
      </c>
      <c r="O468" t="n">
        <v>0</v>
      </c>
      <c r="P468" t="n">
        <v>0</v>
      </c>
      <c r="Q468" t="n">
        <v>0</v>
      </c>
      <c r="R468" s="2" t="inlineStr"/>
    </row>
    <row r="469" ht="15" customHeight="1">
      <c r="A469" t="inlineStr">
        <is>
          <t>A 72846-2021</t>
        </is>
      </c>
      <c r="B469" s="1" t="n">
        <v>44547</v>
      </c>
      <c r="C469" s="1" t="n">
        <v>45812</v>
      </c>
      <c r="D469" t="inlineStr">
        <is>
          <t>DALARNAS LÄN</t>
        </is>
      </c>
      <c r="E469" t="inlineStr">
        <is>
          <t>ÄLVDALEN</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73691-2021</t>
        </is>
      </c>
      <c r="B470" s="1" t="n">
        <v>44552</v>
      </c>
      <c r="C470" s="1" t="n">
        <v>45812</v>
      </c>
      <c r="D470" t="inlineStr">
        <is>
          <t>DALARNAS LÄN</t>
        </is>
      </c>
      <c r="E470" t="inlineStr">
        <is>
          <t>ÄLVDALEN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73676-2021</t>
        </is>
      </c>
      <c r="B471" s="1" t="n">
        <v>44552</v>
      </c>
      <c r="C471" s="1" t="n">
        <v>45812</v>
      </c>
      <c r="D471" t="inlineStr">
        <is>
          <t>DALARNAS LÄN</t>
        </is>
      </c>
      <c r="E471" t="inlineStr">
        <is>
          <t>ÄLVDALEN</t>
        </is>
      </c>
      <c r="F471" t="inlineStr">
        <is>
          <t>Bergvik skog väst AB</t>
        </is>
      </c>
      <c r="G471" t="n">
        <v>1.9</v>
      </c>
      <c r="H471" t="n">
        <v>0</v>
      </c>
      <c r="I471" t="n">
        <v>0</v>
      </c>
      <c r="J471" t="n">
        <v>0</v>
      </c>
      <c r="K471" t="n">
        <v>0</v>
      </c>
      <c r="L471" t="n">
        <v>0</v>
      </c>
      <c r="M471" t="n">
        <v>0</v>
      </c>
      <c r="N471" t="n">
        <v>0</v>
      </c>
      <c r="O471" t="n">
        <v>0</v>
      </c>
      <c r="P471" t="n">
        <v>0</v>
      </c>
      <c r="Q471" t="n">
        <v>0</v>
      </c>
      <c r="R471" s="2" t="inlineStr"/>
    </row>
    <row r="472" ht="15" customHeight="1">
      <c r="A472" t="inlineStr">
        <is>
          <t>A 74322-2021</t>
        </is>
      </c>
      <c r="B472" s="1" t="n">
        <v>44558</v>
      </c>
      <c r="C472" s="1" t="n">
        <v>45812</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74324-2021</t>
        </is>
      </c>
      <c r="B473" s="1" t="n">
        <v>44558</v>
      </c>
      <c r="C473" s="1" t="n">
        <v>45812</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713-2022</t>
        </is>
      </c>
      <c r="B474" s="1" t="n">
        <v>44568</v>
      </c>
      <c r="C474" s="1" t="n">
        <v>45812</v>
      </c>
      <c r="D474" t="inlineStr">
        <is>
          <t>DALARNAS LÄN</t>
        </is>
      </c>
      <c r="E474" t="inlineStr">
        <is>
          <t>ÄLVDALEN</t>
        </is>
      </c>
      <c r="G474" t="n">
        <v>1.6</v>
      </c>
      <c r="H474" t="n">
        <v>0</v>
      </c>
      <c r="I474" t="n">
        <v>0</v>
      </c>
      <c r="J474" t="n">
        <v>0</v>
      </c>
      <c r="K474" t="n">
        <v>0</v>
      </c>
      <c r="L474" t="n">
        <v>0</v>
      </c>
      <c r="M474" t="n">
        <v>0</v>
      </c>
      <c r="N474" t="n">
        <v>0</v>
      </c>
      <c r="O474" t="n">
        <v>0</v>
      </c>
      <c r="P474" t="n">
        <v>0</v>
      </c>
      <c r="Q474" t="n">
        <v>0</v>
      </c>
      <c r="R474" s="2" t="inlineStr"/>
    </row>
    <row r="475" ht="15" customHeight="1">
      <c r="A475" t="inlineStr">
        <is>
          <t>A 5422-2022</t>
        </is>
      </c>
      <c r="B475" s="1" t="n">
        <v>44595</v>
      </c>
      <c r="C475" s="1" t="n">
        <v>45812</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5549-2022</t>
        </is>
      </c>
      <c r="B476" s="1" t="n">
        <v>44595</v>
      </c>
      <c r="C476" s="1" t="n">
        <v>45812</v>
      </c>
      <c r="D476" t="inlineStr">
        <is>
          <t>DALARNAS LÄN</t>
        </is>
      </c>
      <c r="E476" t="inlineStr">
        <is>
          <t>ÄLVDALEN</t>
        </is>
      </c>
      <c r="F476" t="inlineStr">
        <is>
          <t>Allmännings- och besparingsskogar</t>
        </is>
      </c>
      <c r="G476" t="n">
        <v>3.2</v>
      </c>
      <c r="H476" t="n">
        <v>0</v>
      </c>
      <c r="I476" t="n">
        <v>0</v>
      </c>
      <c r="J476" t="n">
        <v>0</v>
      </c>
      <c r="K476" t="n">
        <v>0</v>
      </c>
      <c r="L476" t="n">
        <v>0</v>
      </c>
      <c r="M476" t="n">
        <v>0</v>
      </c>
      <c r="N476" t="n">
        <v>0</v>
      </c>
      <c r="O476" t="n">
        <v>0</v>
      </c>
      <c r="P476" t="n">
        <v>0</v>
      </c>
      <c r="Q476" t="n">
        <v>0</v>
      </c>
      <c r="R476" s="2" t="inlineStr"/>
    </row>
    <row r="477" ht="15" customHeight="1">
      <c r="A477" t="inlineStr">
        <is>
          <t>A 5981-2022</t>
        </is>
      </c>
      <c r="B477" s="1" t="n">
        <v>44599</v>
      </c>
      <c r="C477" s="1" t="n">
        <v>45812</v>
      </c>
      <c r="D477" t="inlineStr">
        <is>
          <t>DALARNAS LÄN</t>
        </is>
      </c>
      <c r="E477" t="inlineStr">
        <is>
          <t>ÄLVDALEN</t>
        </is>
      </c>
      <c r="F477" t="inlineStr">
        <is>
          <t>Allmännings- och besparingsskogar</t>
        </is>
      </c>
      <c r="G477" t="n">
        <v>9.1</v>
      </c>
      <c r="H477" t="n">
        <v>0</v>
      </c>
      <c r="I477" t="n">
        <v>0</v>
      </c>
      <c r="J477" t="n">
        <v>0</v>
      </c>
      <c r="K477" t="n">
        <v>0</v>
      </c>
      <c r="L477" t="n">
        <v>0</v>
      </c>
      <c r="M477" t="n">
        <v>0</v>
      </c>
      <c r="N477" t="n">
        <v>0</v>
      </c>
      <c r="O477" t="n">
        <v>0</v>
      </c>
      <c r="P477" t="n">
        <v>0</v>
      </c>
      <c r="Q477" t="n">
        <v>0</v>
      </c>
      <c r="R477" s="2" t="inlineStr"/>
    </row>
    <row r="478" ht="15" customHeight="1">
      <c r="A478" t="inlineStr">
        <is>
          <t>A 6270-2022</t>
        </is>
      </c>
      <c r="B478" s="1" t="n">
        <v>44600</v>
      </c>
      <c r="C478" s="1" t="n">
        <v>45812</v>
      </c>
      <c r="D478" t="inlineStr">
        <is>
          <t>DALARNAS LÄN</t>
        </is>
      </c>
      <c r="E478" t="inlineStr">
        <is>
          <t>ÄLVDALEN</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7530-2022</t>
        </is>
      </c>
      <c r="B479" s="1" t="n">
        <v>44607</v>
      </c>
      <c r="C479" s="1" t="n">
        <v>45812</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11180-2022</t>
        </is>
      </c>
      <c r="B480" s="1" t="n">
        <v>44629</v>
      </c>
      <c r="C480" s="1" t="n">
        <v>45812</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12066-2022</t>
        </is>
      </c>
      <c r="B481" s="1" t="n">
        <v>44636</v>
      </c>
      <c r="C481" s="1" t="n">
        <v>45812</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12995-2022</t>
        </is>
      </c>
      <c r="B482" s="1" t="n">
        <v>44643</v>
      </c>
      <c r="C482" s="1" t="n">
        <v>45812</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13000-2022</t>
        </is>
      </c>
      <c r="B483" s="1" t="n">
        <v>44643</v>
      </c>
      <c r="C483" s="1" t="n">
        <v>45812</v>
      </c>
      <c r="D483" t="inlineStr">
        <is>
          <t>DALARNAS LÄN</t>
        </is>
      </c>
      <c r="E483" t="inlineStr">
        <is>
          <t>ÄLVDALEN</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14089-2022</t>
        </is>
      </c>
      <c r="B484" s="1" t="n">
        <v>44651</v>
      </c>
      <c r="C484" s="1" t="n">
        <v>45812</v>
      </c>
      <c r="D484" t="inlineStr">
        <is>
          <t>DALARNAS LÄN</t>
        </is>
      </c>
      <c r="E484" t="inlineStr">
        <is>
          <t>ÄLVDALEN</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14235-2022</t>
        </is>
      </c>
      <c r="B485" s="1" t="n">
        <v>44651</v>
      </c>
      <c r="C485" s="1" t="n">
        <v>45812</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14795-2022</t>
        </is>
      </c>
      <c r="B486" s="1" t="n">
        <v>44656</v>
      </c>
      <c r="C486" s="1" t="n">
        <v>45812</v>
      </c>
      <c r="D486" t="inlineStr">
        <is>
          <t>DALARNAS LÄN</t>
        </is>
      </c>
      <c r="E486" t="inlineStr">
        <is>
          <t>ÄLVDALEN</t>
        </is>
      </c>
      <c r="F486" t="inlineStr">
        <is>
          <t>Övriga statliga verk och myndigheter</t>
        </is>
      </c>
      <c r="G486" t="n">
        <v>15.9</v>
      </c>
      <c r="H486" t="n">
        <v>0</v>
      </c>
      <c r="I486" t="n">
        <v>0</v>
      </c>
      <c r="J486" t="n">
        <v>0</v>
      </c>
      <c r="K486" t="n">
        <v>0</v>
      </c>
      <c r="L486" t="n">
        <v>0</v>
      </c>
      <c r="M486" t="n">
        <v>0</v>
      </c>
      <c r="N486" t="n">
        <v>0</v>
      </c>
      <c r="O486" t="n">
        <v>0</v>
      </c>
      <c r="P486" t="n">
        <v>0</v>
      </c>
      <c r="Q486" t="n">
        <v>0</v>
      </c>
      <c r="R486" s="2" t="inlineStr"/>
    </row>
    <row r="487" ht="15" customHeight="1">
      <c r="A487" t="inlineStr">
        <is>
          <t>A 15603-2022</t>
        </is>
      </c>
      <c r="B487" s="1" t="n">
        <v>44662</v>
      </c>
      <c r="C487" s="1" t="n">
        <v>45812</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v>
      </c>
      <c r="C488" s="1" t="n">
        <v>45812</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17627-2022</t>
        </is>
      </c>
      <c r="B489" s="1" t="n">
        <v>44680</v>
      </c>
      <c r="C489" s="1" t="n">
        <v>45812</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18436-2022</t>
        </is>
      </c>
      <c r="B490" s="1" t="n">
        <v>44686</v>
      </c>
      <c r="C490" s="1" t="n">
        <v>45812</v>
      </c>
      <c r="D490" t="inlineStr">
        <is>
          <t>DALARNAS LÄN</t>
        </is>
      </c>
      <c r="E490" t="inlineStr">
        <is>
          <t>ÄLVDALEN</t>
        </is>
      </c>
      <c r="G490" t="n">
        <v>6.4</v>
      </c>
      <c r="H490" t="n">
        <v>0</v>
      </c>
      <c r="I490" t="n">
        <v>0</v>
      </c>
      <c r="J490" t="n">
        <v>0</v>
      </c>
      <c r="K490" t="n">
        <v>0</v>
      </c>
      <c r="L490" t="n">
        <v>0</v>
      </c>
      <c r="M490" t="n">
        <v>0</v>
      </c>
      <c r="N490" t="n">
        <v>0</v>
      </c>
      <c r="O490" t="n">
        <v>0</v>
      </c>
      <c r="P490" t="n">
        <v>0</v>
      </c>
      <c r="Q490" t="n">
        <v>0</v>
      </c>
      <c r="R490" s="2" t="inlineStr"/>
    </row>
    <row r="491" ht="15" customHeight="1">
      <c r="A491" t="inlineStr">
        <is>
          <t>A 18911-2022</t>
        </is>
      </c>
      <c r="B491" s="1" t="n">
        <v>44690</v>
      </c>
      <c r="C491" s="1" t="n">
        <v>45812</v>
      </c>
      <c r="D491" t="inlineStr">
        <is>
          <t>DALARNAS LÄN</t>
        </is>
      </c>
      <c r="E491" t="inlineStr">
        <is>
          <t>ÄLVDALEN</t>
        </is>
      </c>
      <c r="G491" t="n">
        <v>4.8</v>
      </c>
      <c r="H491" t="n">
        <v>0</v>
      </c>
      <c r="I491" t="n">
        <v>0</v>
      </c>
      <c r="J491" t="n">
        <v>0</v>
      </c>
      <c r="K491" t="n">
        <v>0</v>
      </c>
      <c r="L491" t="n">
        <v>0</v>
      </c>
      <c r="M491" t="n">
        <v>0</v>
      </c>
      <c r="N491" t="n">
        <v>0</v>
      </c>
      <c r="O491" t="n">
        <v>0</v>
      </c>
      <c r="P491" t="n">
        <v>0</v>
      </c>
      <c r="Q491" t="n">
        <v>0</v>
      </c>
      <c r="R491" s="2" t="inlineStr"/>
    </row>
    <row r="492" ht="15" customHeight="1">
      <c r="A492" t="inlineStr">
        <is>
          <t>A 19192-2022</t>
        </is>
      </c>
      <c r="B492" s="1" t="n">
        <v>44691</v>
      </c>
      <c r="C492" s="1" t="n">
        <v>45812</v>
      </c>
      <c r="D492" t="inlineStr">
        <is>
          <t>DALARNAS LÄN</t>
        </is>
      </c>
      <c r="E492" t="inlineStr">
        <is>
          <t>ÄLVDALEN</t>
        </is>
      </c>
      <c r="F492" t="inlineStr">
        <is>
          <t>Allmännings- och besparingsskogar</t>
        </is>
      </c>
      <c r="G492" t="n">
        <v>47.7</v>
      </c>
      <c r="H492" t="n">
        <v>0</v>
      </c>
      <c r="I492" t="n">
        <v>0</v>
      </c>
      <c r="J492" t="n">
        <v>0</v>
      </c>
      <c r="K492" t="n">
        <v>0</v>
      </c>
      <c r="L492" t="n">
        <v>0</v>
      </c>
      <c r="M492" t="n">
        <v>0</v>
      </c>
      <c r="N492" t="n">
        <v>0</v>
      </c>
      <c r="O492" t="n">
        <v>0</v>
      </c>
      <c r="P492" t="n">
        <v>0</v>
      </c>
      <c r="Q492" t="n">
        <v>0</v>
      </c>
      <c r="R492" s="2" t="inlineStr"/>
    </row>
    <row r="493" ht="15" customHeight="1">
      <c r="A493" t="inlineStr">
        <is>
          <t>A 19933-2022</t>
        </is>
      </c>
      <c r="B493" s="1" t="n">
        <v>44697</v>
      </c>
      <c r="C493" s="1" t="n">
        <v>45812</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19939-2022</t>
        </is>
      </c>
      <c r="B494" s="1" t="n">
        <v>44697</v>
      </c>
      <c r="C494" s="1" t="n">
        <v>45812</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19918-2022</t>
        </is>
      </c>
      <c r="B495" s="1" t="n">
        <v>44697</v>
      </c>
      <c r="C495" s="1" t="n">
        <v>45812</v>
      </c>
      <c r="D495" t="inlineStr">
        <is>
          <t>DALARNAS LÄN</t>
        </is>
      </c>
      <c r="E495" t="inlineStr">
        <is>
          <t>ÄLVDALEN</t>
        </is>
      </c>
      <c r="F495" t="inlineStr">
        <is>
          <t>Sveaskog</t>
        </is>
      </c>
      <c r="G495" t="n">
        <v>20.8</v>
      </c>
      <c r="H495" t="n">
        <v>0</v>
      </c>
      <c r="I495" t="n">
        <v>0</v>
      </c>
      <c r="J495" t="n">
        <v>0</v>
      </c>
      <c r="K495" t="n">
        <v>0</v>
      </c>
      <c r="L495" t="n">
        <v>0</v>
      </c>
      <c r="M495" t="n">
        <v>0</v>
      </c>
      <c r="N495" t="n">
        <v>0</v>
      </c>
      <c r="O495" t="n">
        <v>0</v>
      </c>
      <c r="P495" t="n">
        <v>0</v>
      </c>
      <c r="Q495" t="n">
        <v>0</v>
      </c>
      <c r="R495" s="2" t="inlineStr"/>
    </row>
    <row r="496" ht="15" customHeight="1">
      <c r="A496" t="inlineStr">
        <is>
          <t>A 20561-2022</t>
        </is>
      </c>
      <c r="B496" s="1" t="n">
        <v>44700</v>
      </c>
      <c r="C496" s="1" t="n">
        <v>45812</v>
      </c>
      <c r="D496" t="inlineStr">
        <is>
          <t>DALARNAS LÄN</t>
        </is>
      </c>
      <c r="E496" t="inlineStr">
        <is>
          <t>ÄLVDALEN</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21280-2022</t>
        </is>
      </c>
      <c r="B497" s="1" t="n">
        <v>44705</v>
      </c>
      <c r="C497" s="1" t="n">
        <v>45812</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21279-2022</t>
        </is>
      </c>
      <c r="B498" s="1" t="n">
        <v>44705</v>
      </c>
      <c r="C498" s="1" t="n">
        <v>45812</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21630-2022</t>
        </is>
      </c>
      <c r="B499" s="1" t="n">
        <v>44706</v>
      </c>
      <c r="C499" s="1" t="n">
        <v>45812</v>
      </c>
      <c r="D499" t="inlineStr">
        <is>
          <t>DALARNAS LÄN</t>
        </is>
      </c>
      <c r="E499" t="inlineStr">
        <is>
          <t>ÄLVDALEN</t>
        </is>
      </c>
      <c r="F499" t="inlineStr">
        <is>
          <t>Övriga statliga verk och myndigheter</t>
        </is>
      </c>
      <c r="G499" t="n">
        <v>5.2</v>
      </c>
      <c r="H499" t="n">
        <v>0</v>
      </c>
      <c r="I499" t="n">
        <v>0</v>
      </c>
      <c r="J499" t="n">
        <v>0</v>
      </c>
      <c r="K499" t="n">
        <v>0</v>
      </c>
      <c r="L499" t="n">
        <v>0</v>
      </c>
      <c r="M499" t="n">
        <v>0</v>
      </c>
      <c r="N499" t="n">
        <v>0</v>
      </c>
      <c r="O499" t="n">
        <v>0</v>
      </c>
      <c r="P499" t="n">
        <v>0</v>
      </c>
      <c r="Q499" t="n">
        <v>0</v>
      </c>
      <c r="R499" s="2" t="inlineStr"/>
    </row>
    <row r="500" ht="15" customHeight="1">
      <c r="A500" t="inlineStr">
        <is>
          <t>A 22063-2022</t>
        </is>
      </c>
      <c r="B500" s="1" t="n">
        <v>44711</v>
      </c>
      <c r="C500" s="1" t="n">
        <v>45812</v>
      </c>
      <c r="D500" t="inlineStr">
        <is>
          <t>DALARNAS LÄN</t>
        </is>
      </c>
      <c r="E500" t="inlineStr">
        <is>
          <t>ÄLVDALEN</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22062-2022</t>
        </is>
      </c>
      <c r="B501" s="1" t="n">
        <v>44711</v>
      </c>
      <c r="C501" s="1" t="n">
        <v>45812</v>
      </c>
      <c r="D501" t="inlineStr">
        <is>
          <t>DALARNAS LÄN</t>
        </is>
      </c>
      <c r="E501" t="inlineStr">
        <is>
          <t>ÄLVDALEN</t>
        </is>
      </c>
      <c r="F501" t="inlineStr">
        <is>
          <t>Bergvik skog väst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25162-2022</t>
        </is>
      </c>
      <c r="B502" s="1" t="n">
        <v>44729</v>
      </c>
      <c r="C502" s="1" t="n">
        <v>45812</v>
      </c>
      <c r="D502" t="inlineStr">
        <is>
          <t>DALARNAS LÄN</t>
        </is>
      </c>
      <c r="E502" t="inlineStr">
        <is>
          <t>ÄLVDALEN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25121-2022</t>
        </is>
      </c>
      <c r="B503" s="1" t="n">
        <v>44729</v>
      </c>
      <c r="C503" s="1" t="n">
        <v>45812</v>
      </c>
      <c r="D503" t="inlineStr">
        <is>
          <t>DALARNAS LÄN</t>
        </is>
      </c>
      <c r="E503" t="inlineStr">
        <is>
          <t>ÄLVDALEN</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25602-2022</t>
        </is>
      </c>
      <c r="B504" s="1" t="n">
        <v>44732</v>
      </c>
      <c r="C504" s="1" t="n">
        <v>45812</v>
      </c>
      <c r="D504" t="inlineStr">
        <is>
          <t>DALARNAS LÄN</t>
        </is>
      </c>
      <c r="E504" t="inlineStr">
        <is>
          <t>ÄLVDALEN</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26622-2022</t>
        </is>
      </c>
      <c r="B505" s="1" t="n">
        <v>44739</v>
      </c>
      <c r="C505" s="1" t="n">
        <v>45812</v>
      </c>
      <c r="D505" t="inlineStr">
        <is>
          <t>DALARNAS LÄN</t>
        </is>
      </c>
      <c r="E505" t="inlineStr">
        <is>
          <t>ÄLVDALEN</t>
        </is>
      </c>
      <c r="F505" t="inlineStr">
        <is>
          <t>Allmännings- och besparingsskogar</t>
        </is>
      </c>
      <c r="G505" t="n">
        <v>10</v>
      </c>
      <c r="H505" t="n">
        <v>0</v>
      </c>
      <c r="I505" t="n">
        <v>0</v>
      </c>
      <c r="J505" t="n">
        <v>0</v>
      </c>
      <c r="K505" t="n">
        <v>0</v>
      </c>
      <c r="L505" t="n">
        <v>0</v>
      </c>
      <c r="M505" t="n">
        <v>0</v>
      </c>
      <c r="N505" t="n">
        <v>0</v>
      </c>
      <c r="O505" t="n">
        <v>0</v>
      </c>
      <c r="P505" t="n">
        <v>0</v>
      </c>
      <c r="Q505" t="n">
        <v>0</v>
      </c>
      <c r="R505" s="2" t="inlineStr"/>
    </row>
    <row r="506" ht="15" customHeight="1">
      <c r="A506" t="inlineStr">
        <is>
          <t>A 27480-2022</t>
        </is>
      </c>
      <c r="B506" s="1" t="n">
        <v>44742</v>
      </c>
      <c r="C506" s="1" t="n">
        <v>45812</v>
      </c>
      <c r="D506" t="inlineStr">
        <is>
          <t>DALARNAS LÄN</t>
        </is>
      </c>
      <c r="E506" t="inlineStr">
        <is>
          <t>ÄLVDALEN</t>
        </is>
      </c>
      <c r="F506" t="inlineStr">
        <is>
          <t>Bergvik skog väst AB</t>
        </is>
      </c>
      <c r="G506" t="n">
        <v>4.1</v>
      </c>
      <c r="H506" t="n">
        <v>0</v>
      </c>
      <c r="I506" t="n">
        <v>0</v>
      </c>
      <c r="J506" t="n">
        <v>0</v>
      </c>
      <c r="K506" t="n">
        <v>0</v>
      </c>
      <c r="L506" t="n">
        <v>0</v>
      </c>
      <c r="M506" t="n">
        <v>0</v>
      </c>
      <c r="N506" t="n">
        <v>0</v>
      </c>
      <c r="O506" t="n">
        <v>0</v>
      </c>
      <c r="P506" t="n">
        <v>0</v>
      </c>
      <c r="Q506" t="n">
        <v>0</v>
      </c>
      <c r="R506" s="2" t="inlineStr"/>
    </row>
    <row r="507" ht="15" customHeight="1">
      <c r="A507" t="inlineStr">
        <is>
          <t>A 27488-2022</t>
        </is>
      </c>
      <c r="B507" s="1" t="n">
        <v>44742</v>
      </c>
      <c r="C507" s="1" t="n">
        <v>45812</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29561-2022</t>
        </is>
      </c>
      <c r="B508" s="1" t="n">
        <v>44754</v>
      </c>
      <c r="C508" s="1" t="n">
        <v>45812</v>
      </c>
      <c r="D508" t="inlineStr">
        <is>
          <t>DALARNAS LÄN</t>
        </is>
      </c>
      <c r="E508" t="inlineStr">
        <is>
          <t>ÄLVDALEN</t>
        </is>
      </c>
      <c r="G508" t="n">
        <v>6.6</v>
      </c>
      <c r="H508" t="n">
        <v>0</v>
      </c>
      <c r="I508" t="n">
        <v>0</v>
      </c>
      <c r="J508" t="n">
        <v>0</v>
      </c>
      <c r="K508" t="n">
        <v>0</v>
      </c>
      <c r="L508" t="n">
        <v>0</v>
      </c>
      <c r="M508" t="n">
        <v>0</v>
      </c>
      <c r="N508" t="n">
        <v>0</v>
      </c>
      <c r="O508" t="n">
        <v>0</v>
      </c>
      <c r="P508" t="n">
        <v>0</v>
      </c>
      <c r="Q508" t="n">
        <v>0</v>
      </c>
      <c r="R508" s="2" t="inlineStr"/>
    </row>
    <row r="509" ht="15" customHeight="1">
      <c r="A509" t="inlineStr">
        <is>
          <t>A 29558-2022</t>
        </is>
      </c>
      <c r="B509" s="1" t="n">
        <v>44754</v>
      </c>
      <c r="C509" s="1" t="n">
        <v>45812</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29565-2022</t>
        </is>
      </c>
      <c r="B510" s="1" t="n">
        <v>44754</v>
      </c>
      <c r="C510" s="1" t="n">
        <v>45812</v>
      </c>
      <c r="D510" t="inlineStr">
        <is>
          <t>DALARNAS LÄN</t>
        </is>
      </c>
      <c r="E510" t="inlineStr">
        <is>
          <t>ÄLVDALEN</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29566-2022</t>
        </is>
      </c>
      <c r="B511" s="1" t="n">
        <v>44754</v>
      </c>
      <c r="C511" s="1" t="n">
        <v>45812</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29711-2022</t>
        </is>
      </c>
      <c r="B512" s="1" t="n">
        <v>44755</v>
      </c>
      <c r="C512" s="1" t="n">
        <v>45812</v>
      </c>
      <c r="D512" t="inlineStr">
        <is>
          <t>DALARNAS LÄN</t>
        </is>
      </c>
      <c r="E512" t="inlineStr">
        <is>
          <t>ÄLVDALEN</t>
        </is>
      </c>
      <c r="G512" t="n">
        <v>8</v>
      </c>
      <c r="H512" t="n">
        <v>0</v>
      </c>
      <c r="I512" t="n">
        <v>0</v>
      </c>
      <c r="J512" t="n">
        <v>0</v>
      </c>
      <c r="K512" t="n">
        <v>0</v>
      </c>
      <c r="L512" t="n">
        <v>0</v>
      </c>
      <c r="M512" t="n">
        <v>0</v>
      </c>
      <c r="N512" t="n">
        <v>0</v>
      </c>
      <c r="O512" t="n">
        <v>0</v>
      </c>
      <c r="P512" t="n">
        <v>0</v>
      </c>
      <c r="Q512" t="n">
        <v>0</v>
      </c>
      <c r="R512" s="2" t="inlineStr"/>
    </row>
    <row r="513" ht="15" customHeight="1">
      <c r="A513" t="inlineStr">
        <is>
          <t>A 29713-2022</t>
        </is>
      </c>
      <c r="B513" s="1" t="n">
        <v>44755</v>
      </c>
      <c r="C513" s="1" t="n">
        <v>45812</v>
      </c>
      <c r="D513" t="inlineStr">
        <is>
          <t>DALARNAS LÄN</t>
        </is>
      </c>
      <c r="E513" t="inlineStr">
        <is>
          <t>ÄLVDALEN</t>
        </is>
      </c>
      <c r="G513" t="n">
        <v>2.8</v>
      </c>
      <c r="H513" t="n">
        <v>0</v>
      </c>
      <c r="I513" t="n">
        <v>0</v>
      </c>
      <c r="J513" t="n">
        <v>0</v>
      </c>
      <c r="K513" t="n">
        <v>0</v>
      </c>
      <c r="L513" t="n">
        <v>0</v>
      </c>
      <c r="M513" t="n">
        <v>0</v>
      </c>
      <c r="N513" t="n">
        <v>0</v>
      </c>
      <c r="O513" t="n">
        <v>0</v>
      </c>
      <c r="P513" t="n">
        <v>0</v>
      </c>
      <c r="Q513" t="n">
        <v>0</v>
      </c>
      <c r="R513" s="2" t="inlineStr"/>
    </row>
    <row r="514" ht="15" customHeight="1">
      <c r="A514" t="inlineStr">
        <is>
          <t>A 29804-2022</t>
        </is>
      </c>
      <c r="B514" s="1" t="n">
        <v>44755</v>
      </c>
      <c r="C514" s="1" t="n">
        <v>45812</v>
      </c>
      <c r="D514" t="inlineStr">
        <is>
          <t>DALARNAS LÄN</t>
        </is>
      </c>
      <c r="E514" t="inlineStr">
        <is>
          <t>ÄLVDALEN</t>
        </is>
      </c>
      <c r="F514" t="inlineStr">
        <is>
          <t>Allmännings- och besparingsskogar</t>
        </is>
      </c>
      <c r="G514" t="n">
        <v>11.4</v>
      </c>
      <c r="H514" t="n">
        <v>0</v>
      </c>
      <c r="I514" t="n">
        <v>0</v>
      </c>
      <c r="J514" t="n">
        <v>0</v>
      </c>
      <c r="K514" t="n">
        <v>0</v>
      </c>
      <c r="L514" t="n">
        <v>0</v>
      </c>
      <c r="M514" t="n">
        <v>0</v>
      </c>
      <c r="N514" t="n">
        <v>0</v>
      </c>
      <c r="O514" t="n">
        <v>0</v>
      </c>
      <c r="P514" t="n">
        <v>0</v>
      </c>
      <c r="Q514" t="n">
        <v>0</v>
      </c>
      <c r="R514" s="2" t="inlineStr"/>
    </row>
    <row r="515" ht="15" customHeight="1">
      <c r="A515" t="inlineStr">
        <is>
          <t>A 29710-2022</t>
        </is>
      </c>
      <c r="B515" s="1" t="n">
        <v>44755</v>
      </c>
      <c r="C515" s="1" t="n">
        <v>45812</v>
      </c>
      <c r="D515" t="inlineStr">
        <is>
          <t>DALARNAS LÄN</t>
        </is>
      </c>
      <c r="E515" t="inlineStr">
        <is>
          <t>ÄLVDALEN</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29806-2022</t>
        </is>
      </c>
      <c r="B516" s="1" t="n">
        <v>44755</v>
      </c>
      <c r="C516" s="1" t="n">
        <v>45812</v>
      </c>
      <c r="D516" t="inlineStr">
        <is>
          <t>DALARNAS LÄN</t>
        </is>
      </c>
      <c r="E516" t="inlineStr">
        <is>
          <t>ÄLVDALEN</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29716-2022</t>
        </is>
      </c>
      <c r="B517" s="1" t="n">
        <v>44755</v>
      </c>
      <c r="C517" s="1" t="n">
        <v>45812</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29849-2022</t>
        </is>
      </c>
      <c r="B518" s="1" t="n">
        <v>44756</v>
      </c>
      <c r="C518" s="1" t="n">
        <v>45812</v>
      </c>
      <c r="D518" t="inlineStr">
        <is>
          <t>DALARNAS LÄN</t>
        </is>
      </c>
      <c r="E518" t="inlineStr">
        <is>
          <t>ÄLVDALEN</t>
        </is>
      </c>
      <c r="F518" t="inlineStr">
        <is>
          <t>Allmännings- och besparingsskogar</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29974-2022</t>
        </is>
      </c>
      <c r="B519" s="1" t="n">
        <v>44756</v>
      </c>
      <c r="C519" s="1" t="n">
        <v>45812</v>
      </c>
      <c r="D519" t="inlineStr">
        <is>
          <t>DALARNAS LÄN</t>
        </is>
      </c>
      <c r="E519" t="inlineStr">
        <is>
          <t>ÄLVDALEN</t>
        </is>
      </c>
      <c r="F519" t="inlineStr">
        <is>
          <t>Allmännings- och besparingsskogar</t>
        </is>
      </c>
      <c r="G519" t="n">
        <v>30</v>
      </c>
      <c r="H519" t="n">
        <v>0</v>
      </c>
      <c r="I519" t="n">
        <v>0</v>
      </c>
      <c r="J519" t="n">
        <v>0</v>
      </c>
      <c r="K519" t="n">
        <v>0</v>
      </c>
      <c r="L519" t="n">
        <v>0</v>
      </c>
      <c r="M519" t="n">
        <v>0</v>
      </c>
      <c r="N519" t="n">
        <v>0</v>
      </c>
      <c r="O519" t="n">
        <v>0</v>
      </c>
      <c r="P519" t="n">
        <v>0</v>
      </c>
      <c r="Q519" t="n">
        <v>0</v>
      </c>
      <c r="R519" s="2" t="inlineStr"/>
    </row>
    <row r="520" ht="15" customHeight="1">
      <c r="A520" t="inlineStr">
        <is>
          <t>A 30831-2022</t>
        </is>
      </c>
      <c r="B520" s="1" t="n">
        <v>44767</v>
      </c>
      <c r="C520" s="1" t="n">
        <v>45812</v>
      </c>
      <c r="D520" t="inlineStr">
        <is>
          <t>DALARNAS LÄN</t>
        </is>
      </c>
      <c r="E520" t="inlineStr">
        <is>
          <t>ÄLVDALEN</t>
        </is>
      </c>
      <c r="F520" t="inlineStr">
        <is>
          <t>Allmännings- och besparingsskogar</t>
        </is>
      </c>
      <c r="G520" t="n">
        <v>22.7</v>
      </c>
      <c r="H520" t="n">
        <v>0</v>
      </c>
      <c r="I520" t="n">
        <v>0</v>
      </c>
      <c r="J520" t="n">
        <v>0</v>
      </c>
      <c r="K520" t="n">
        <v>0</v>
      </c>
      <c r="L520" t="n">
        <v>0</v>
      </c>
      <c r="M520" t="n">
        <v>0</v>
      </c>
      <c r="N520" t="n">
        <v>0</v>
      </c>
      <c r="O520" t="n">
        <v>0</v>
      </c>
      <c r="P520" t="n">
        <v>0</v>
      </c>
      <c r="Q520" t="n">
        <v>0</v>
      </c>
      <c r="R520" s="2" t="inlineStr"/>
    </row>
    <row r="521" ht="15" customHeight="1">
      <c r="A521" t="inlineStr">
        <is>
          <t>A 31266-2022</t>
        </is>
      </c>
      <c r="B521" s="1" t="n">
        <v>44771</v>
      </c>
      <c r="C521" s="1" t="n">
        <v>45812</v>
      </c>
      <c r="D521" t="inlineStr">
        <is>
          <t>DALARNAS LÄN</t>
        </is>
      </c>
      <c r="E521" t="inlineStr">
        <is>
          <t>ÄLVDALEN</t>
        </is>
      </c>
      <c r="F521" t="inlineStr">
        <is>
          <t>Allmännings- och besparingsskogar</t>
        </is>
      </c>
      <c r="G521" t="n">
        <v>20.8</v>
      </c>
      <c r="H521" t="n">
        <v>0</v>
      </c>
      <c r="I521" t="n">
        <v>0</v>
      </c>
      <c r="J521" t="n">
        <v>0</v>
      </c>
      <c r="K521" t="n">
        <v>0</v>
      </c>
      <c r="L521" t="n">
        <v>0</v>
      </c>
      <c r="M521" t="n">
        <v>0</v>
      </c>
      <c r="N521" t="n">
        <v>0</v>
      </c>
      <c r="O521" t="n">
        <v>0</v>
      </c>
      <c r="P521" t="n">
        <v>0</v>
      </c>
      <c r="Q521" t="n">
        <v>0</v>
      </c>
      <c r="R521" s="2" t="inlineStr"/>
    </row>
    <row r="522" ht="15" customHeight="1">
      <c r="A522" t="inlineStr">
        <is>
          <t>A 32385-2022</t>
        </is>
      </c>
      <c r="B522" s="1" t="n">
        <v>44782</v>
      </c>
      <c r="C522" s="1" t="n">
        <v>45812</v>
      </c>
      <c r="D522" t="inlineStr">
        <is>
          <t>DALARNAS LÄN</t>
        </is>
      </c>
      <c r="E522" t="inlineStr">
        <is>
          <t>ÄLVDALEN</t>
        </is>
      </c>
      <c r="F522" t="inlineStr">
        <is>
          <t>Övriga statliga verk och myndigheter</t>
        </is>
      </c>
      <c r="G522" t="n">
        <v>9</v>
      </c>
      <c r="H522" t="n">
        <v>0</v>
      </c>
      <c r="I522" t="n">
        <v>0</v>
      </c>
      <c r="J522" t="n">
        <v>0</v>
      </c>
      <c r="K522" t="n">
        <v>0</v>
      </c>
      <c r="L522" t="n">
        <v>0</v>
      </c>
      <c r="M522" t="n">
        <v>0</v>
      </c>
      <c r="N522" t="n">
        <v>0</v>
      </c>
      <c r="O522" t="n">
        <v>0</v>
      </c>
      <c r="P522" t="n">
        <v>0</v>
      </c>
      <c r="Q522" t="n">
        <v>0</v>
      </c>
      <c r="R522" s="2" t="inlineStr"/>
    </row>
    <row r="523" ht="15" customHeight="1">
      <c r="A523" t="inlineStr">
        <is>
          <t>A 32467-2022</t>
        </is>
      </c>
      <c r="B523" s="1" t="n">
        <v>44782</v>
      </c>
      <c r="C523" s="1" t="n">
        <v>45812</v>
      </c>
      <c r="D523" t="inlineStr">
        <is>
          <t>DALARNAS LÄN</t>
        </is>
      </c>
      <c r="E523" t="inlineStr">
        <is>
          <t>ÄLVDALEN</t>
        </is>
      </c>
      <c r="F523" t="inlineStr">
        <is>
          <t>Bergvik skog väst AB</t>
        </is>
      </c>
      <c r="G523" t="n">
        <v>4.5</v>
      </c>
      <c r="H523" t="n">
        <v>0</v>
      </c>
      <c r="I523" t="n">
        <v>0</v>
      </c>
      <c r="J523" t="n">
        <v>0</v>
      </c>
      <c r="K523" t="n">
        <v>0</v>
      </c>
      <c r="L523" t="n">
        <v>0</v>
      </c>
      <c r="M523" t="n">
        <v>0</v>
      </c>
      <c r="N523" t="n">
        <v>0</v>
      </c>
      <c r="O523" t="n">
        <v>0</v>
      </c>
      <c r="P523" t="n">
        <v>0</v>
      </c>
      <c r="Q523" t="n">
        <v>0</v>
      </c>
      <c r="R523" s="2" t="inlineStr"/>
    </row>
    <row r="524" ht="15" customHeight="1">
      <c r="A524" t="inlineStr">
        <is>
          <t>A 32468-2022</t>
        </is>
      </c>
      <c r="B524" s="1" t="n">
        <v>44782</v>
      </c>
      <c r="C524" s="1" t="n">
        <v>45812</v>
      </c>
      <c r="D524" t="inlineStr">
        <is>
          <t>DALARNAS LÄN</t>
        </is>
      </c>
      <c r="E524" t="inlineStr">
        <is>
          <t>ÄLVDALEN</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32848-2022</t>
        </is>
      </c>
      <c r="B525" s="1" t="n">
        <v>44784</v>
      </c>
      <c r="C525" s="1" t="n">
        <v>45812</v>
      </c>
      <c r="D525" t="inlineStr">
        <is>
          <t>DALARNAS LÄN</t>
        </is>
      </c>
      <c r="E525" t="inlineStr">
        <is>
          <t>ÄLVDALEN</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32894-2022</t>
        </is>
      </c>
      <c r="B526" s="1" t="n">
        <v>44784</v>
      </c>
      <c r="C526" s="1" t="n">
        <v>45812</v>
      </c>
      <c r="D526" t="inlineStr">
        <is>
          <t>DALARNAS LÄN</t>
        </is>
      </c>
      <c r="E526" t="inlineStr">
        <is>
          <t>ÄLVDALEN</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33425-2022</t>
        </is>
      </c>
      <c r="B527" s="1" t="n">
        <v>44788</v>
      </c>
      <c r="C527" s="1" t="n">
        <v>45812</v>
      </c>
      <c r="D527" t="inlineStr">
        <is>
          <t>DALARNAS LÄN</t>
        </is>
      </c>
      <c r="E527" t="inlineStr">
        <is>
          <t>ÄLVDALEN</t>
        </is>
      </c>
      <c r="F527" t="inlineStr">
        <is>
          <t>Bergvik skog öst AB</t>
        </is>
      </c>
      <c r="G527" t="n">
        <v>21.2</v>
      </c>
      <c r="H527" t="n">
        <v>0</v>
      </c>
      <c r="I527" t="n">
        <v>0</v>
      </c>
      <c r="J527" t="n">
        <v>0</v>
      </c>
      <c r="K527" t="n">
        <v>0</v>
      </c>
      <c r="L527" t="n">
        <v>0</v>
      </c>
      <c r="M527" t="n">
        <v>0</v>
      </c>
      <c r="N527" t="n">
        <v>0</v>
      </c>
      <c r="O527" t="n">
        <v>0</v>
      </c>
      <c r="P527" t="n">
        <v>0</v>
      </c>
      <c r="Q527" t="n">
        <v>0</v>
      </c>
      <c r="R527" s="2" t="inlineStr"/>
    </row>
    <row r="528" ht="15" customHeight="1">
      <c r="A528" t="inlineStr">
        <is>
          <t>A 36161-2022</t>
        </is>
      </c>
      <c r="B528" s="1" t="n">
        <v>44803</v>
      </c>
      <c r="C528" s="1" t="n">
        <v>45812</v>
      </c>
      <c r="D528" t="inlineStr">
        <is>
          <t>DALARNAS LÄN</t>
        </is>
      </c>
      <c r="E528" t="inlineStr">
        <is>
          <t>ÄLVDALEN</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36513-2022</t>
        </is>
      </c>
      <c r="B529" s="1" t="n">
        <v>44804</v>
      </c>
      <c r="C529" s="1" t="n">
        <v>45812</v>
      </c>
      <c r="D529" t="inlineStr">
        <is>
          <t>DALARNAS LÄN</t>
        </is>
      </c>
      <c r="E529" t="inlineStr">
        <is>
          <t>ÄLVDALEN</t>
        </is>
      </c>
      <c r="G529" t="n">
        <v>3.1</v>
      </c>
      <c r="H529" t="n">
        <v>0</v>
      </c>
      <c r="I529" t="n">
        <v>0</v>
      </c>
      <c r="J529" t="n">
        <v>0</v>
      </c>
      <c r="K529" t="n">
        <v>0</v>
      </c>
      <c r="L529" t="n">
        <v>0</v>
      </c>
      <c r="M529" t="n">
        <v>0</v>
      </c>
      <c r="N529" t="n">
        <v>0</v>
      </c>
      <c r="O529" t="n">
        <v>0</v>
      </c>
      <c r="P529" t="n">
        <v>0</v>
      </c>
      <c r="Q529" t="n">
        <v>0</v>
      </c>
      <c r="R529" s="2" t="inlineStr"/>
    </row>
    <row r="530" ht="15" customHeight="1">
      <c r="A530" t="inlineStr">
        <is>
          <t>A 37399-2022</t>
        </is>
      </c>
      <c r="B530" s="1" t="n">
        <v>44809</v>
      </c>
      <c r="C530" s="1" t="n">
        <v>45812</v>
      </c>
      <c r="D530" t="inlineStr">
        <is>
          <t>DALARNAS LÄN</t>
        </is>
      </c>
      <c r="E530" t="inlineStr">
        <is>
          <t>ÄLVDALEN</t>
        </is>
      </c>
      <c r="F530" t="inlineStr">
        <is>
          <t>Allmännings- och besparingsskogar</t>
        </is>
      </c>
      <c r="G530" t="n">
        <v>0.9</v>
      </c>
      <c r="H530" t="n">
        <v>0</v>
      </c>
      <c r="I530" t="n">
        <v>0</v>
      </c>
      <c r="J530" t="n">
        <v>0</v>
      </c>
      <c r="K530" t="n">
        <v>0</v>
      </c>
      <c r="L530" t="n">
        <v>0</v>
      </c>
      <c r="M530" t="n">
        <v>0</v>
      </c>
      <c r="N530" t="n">
        <v>0</v>
      </c>
      <c r="O530" t="n">
        <v>0</v>
      </c>
      <c r="P530" t="n">
        <v>0</v>
      </c>
      <c r="Q530" t="n">
        <v>0</v>
      </c>
      <c r="R530" s="2" t="inlineStr"/>
    </row>
    <row r="531" ht="15" customHeight="1">
      <c r="A531" t="inlineStr">
        <is>
          <t>A 37740-2022</t>
        </is>
      </c>
      <c r="B531" s="1" t="n">
        <v>44810</v>
      </c>
      <c r="C531" s="1" t="n">
        <v>45812</v>
      </c>
      <c r="D531" t="inlineStr">
        <is>
          <t>DALARNAS LÄN</t>
        </is>
      </c>
      <c r="E531" t="inlineStr">
        <is>
          <t>ÄLVDALEN</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37957-2022</t>
        </is>
      </c>
      <c r="B532" s="1" t="n">
        <v>44811</v>
      </c>
      <c r="C532" s="1" t="n">
        <v>45812</v>
      </c>
      <c r="D532" t="inlineStr">
        <is>
          <t>DALARNAS LÄN</t>
        </is>
      </c>
      <c r="E532" t="inlineStr">
        <is>
          <t>ÄLVDALEN</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37959-2022</t>
        </is>
      </c>
      <c r="B533" s="1" t="n">
        <v>44811</v>
      </c>
      <c r="C533" s="1" t="n">
        <v>45812</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38957-2022</t>
        </is>
      </c>
      <c r="B534" s="1" t="n">
        <v>44816</v>
      </c>
      <c r="C534" s="1" t="n">
        <v>45812</v>
      </c>
      <c r="D534" t="inlineStr">
        <is>
          <t>DALARNAS LÄN</t>
        </is>
      </c>
      <c r="E534" t="inlineStr">
        <is>
          <t>ÄLVDALEN</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39308-2022</t>
        </is>
      </c>
      <c r="B535" s="1" t="n">
        <v>44817</v>
      </c>
      <c r="C535" s="1" t="n">
        <v>45812</v>
      </c>
      <c r="D535" t="inlineStr">
        <is>
          <t>DALARNAS LÄN</t>
        </is>
      </c>
      <c r="E535" t="inlineStr">
        <is>
          <t>ÄLVDALEN</t>
        </is>
      </c>
      <c r="F535" t="inlineStr">
        <is>
          <t>Bergvik skog väst AB</t>
        </is>
      </c>
      <c r="G535" t="n">
        <v>3.2</v>
      </c>
      <c r="H535" t="n">
        <v>0</v>
      </c>
      <c r="I535" t="n">
        <v>0</v>
      </c>
      <c r="J535" t="n">
        <v>0</v>
      </c>
      <c r="K535" t="n">
        <v>0</v>
      </c>
      <c r="L535" t="n">
        <v>0</v>
      </c>
      <c r="M535" t="n">
        <v>0</v>
      </c>
      <c r="N535" t="n">
        <v>0</v>
      </c>
      <c r="O535" t="n">
        <v>0</v>
      </c>
      <c r="P535" t="n">
        <v>0</v>
      </c>
      <c r="Q535" t="n">
        <v>0</v>
      </c>
      <c r="R535" s="2" t="inlineStr"/>
    </row>
    <row r="536" ht="15" customHeight="1">
      <c r="A536" t="inlineStr">
        <is>
          <t>A 39311-2022</t>
        </is>
      </c>
      <c r="B536" s="1" t="n">
        <v>44817</v>
      </c>
      <c r="C536" s="1" t="n">
        <v>45812</v>
      </c>
      <c r="D536" t="inlineStr">
        <is>
          <t>DALARNAS LÄN</t>
        </is>
      </c>
      <c r="E536" t="inlineStr">
        <is>
          <t>ÄLVDALEN</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40003-2022</t>
        </is>
      </c>
      <c r="B537" s="1" t="n">
        <v>44820</v>
      </c>
      <c r="C537" s="1" t="n">
        <v>45812</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40726-2022</t>
        </is>
      </c>
      <c r="B538" s="1" t="n">
        <v>44824</v>
      </c>
      <c r="C538" s="1" t="n">
        <v>45812</v>
      </c>
      <c r="D538" t="inlineStr">
        <is>
          <t>DALARNAS LÄN</t>
        </is>
      </c>
      <c r="E538" t="inlineStr">
        <is>
          <t>ÄLVDALEN</t>
        </is>
      </c>
      <c r="F538" t="inlineStr">
        <is>
          <t>Övriga statliga verk och myndigheter</t>
        </is>
      </c>
      <c r="G538" t="n">
        <v>12.5</v>
      </c>
      <c r="H538" t="n">
        <v>0</v>
      </c>
      <c r="I538" t="n">
        <v>0</v>
      </c>
      <c r="J538" t="n">
        <v>0</v>
      </c>
      <c r="K538" t="n">
        <v>0</v>
      </c>
      <c r="L538" t="n">
        <v>0</v>
      </c>
      <c r="M538" t="n">
        <v>0</v>
      </c>
      <c r="N538" t="n">
        <v>0</v>
      </c>
      <c r="O538" t="n">
        <v>0</v>
      </c>
      <c r="P538" t="n">
        <v>0</v>
      </c>
      <c r="Q538" t="n">
        <v>0</v>
      </c>
      <c r="R538" s="2" t="inlineStr"/>
    </row>
    <row r="539" ht="15" customHeight="1">
      <c r="A539" t="inlineStr">
        <is>
          <t>A 40723-2022</t>
        </is>
      </c>
      <c r="B539" s="1" t="n">
        <v>44824</v>
      </c>
      <c r="C539" s="1" t="n">
        <v>45812</v>
      </c>
      <c r="D539" t="inlineStr">
        <is>
          <t>DALARNAS LÄN</t>
        </is>
      </c>
      <c r="E539" t="inlineStr">
        <is>
          <t>ÄLVDALEN</t>
        </is>
      </c>
      <c r="F539" t="inlineStr">
        <is>
          <t>Övriga statliga verk och myndigheter</t>
        </is>
      </c>
      <c r="G539" t="n">
        <v>14.7</v>
      </c>
      <c r="H539" t="n">
        <v>0</v>
      </c>
      <c r="I539" t="n">
        <v>0</v>
      </c>
      <c r="J539" t="n">
        <v>0</v>
      </c>
      <c r="K539" t="n">
        <v>0</v>
      </c>
      <c r="L539" t="n">
        <v>0</v>
      </c>
      <c r="M539" t="n">
        <v>0</v>
      </c>
      <c r="N539" t="n">
        <v>0</v>
      </c>
      <c r="O539" t="n">
        <v>0</v>
      </c>
      <c r="P539" t="n">
        <v>0</v>
      </c>
      <c r="Q539" t="n">
        <v>0</v>
      </c>
      <c r="R539" s="2" t="inlineStr"/>
    </row>
    <row r="540" ht="15" customHeight="1">
      <c r="A540" t="inlineStr">
        <is>
          <t>A 41856-2022</t>
        </is>
      </c>
      <c r="B540" s="1" t="n">
        <v>44829</v>
      </c>
      <c r="C540" s="1" t="n">
        <v>45812</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41855-2022</t>
        </is>
      </c>
      <c r="B541" s="1" t="n">
        <v>44829</v>
      </c>
      <c r="C541" s="1" t="n">
        <v>45812</v>
      </c>
      <c r="D541" t="inlineStr">
        <is>
          <t>DALARNAS LÄN</t>
        </is>
      </c>
      <c r="E541" t="inlineStr">
        <is>
          <t>ÄLVDALEN</t>
        </is>
      </c>
      <c r="G541" t="n">
        <v>19.3</v>
      </c>
      <c r="H541" t="n">
        <v>0</v>
      </c>
      <c r="I541" t="n">
        <v>0</v>
      </c>
      <c r="J541" t="n">
        <v>0</v>
      </c>
      <c r="K541" t="n">
        <v>0</v>
      </c>
      <c r="L541" t="n">
        <v>0</v>
      </c>
      <c r="M541" t="n">
        <v>0</v>
      </c>
      <c r="N541" t="n">
        <v>0</v>
      </c>
      <c r="O541" t="n">
        <v>0</v>
      </c>
      <c r="P541" t="n">
        <v>0</v>
      </c>
      <c r="Q541" t="n">
        <v>0</v>
      </c>
      <c r="R541" s="2" t="inlineStr"/>
    </row>
    <row r="542" ht="15" customHeight="1">
      <c r="A542" t="inlineStr">
        <is>
          <t>A 43191-2022</t>
        </is>
      </c>
      <c r="B542" s="1" t="n">
        <v>44834</v>
      </c>
      <c r="C542" s="1" t="n">
        <v>45812</v>
      </c>
      <c r="D542" t="inlineStr">
        <is>
          <t>DALARNAS LÄN</t>
        </is>
      </c>
      <c r="E542" t="inlineStr">
        <is>
          <t>ÄLVDALEN</t>
        </is>
      </c>
      <c r="G542" t="n">
        <v>1.3</v>
      </c>
      <c r="H542" t="n">
        <v>0</v>
      </c>
      <c r="I542" t="n">
        <v>0</v>
      </c>
      <c r="J542" t="n">
        <v>0</v>
      </c>
      <c r="K542" t="n">
        <v>0</v>
      </c>
      <c r="L542" t="n">
        <v>0</v>
      </c>
      <c r="M542" t="n">
        <v>0</v>
      </c>
      <c r="N542" t="n">
        <v>0</v>
      </c>
      <c r="O542" t="n">
        <v>0</v>
      </c>
      <c r="P542" t="n">
        <v>0</v>
      </c>
      <c r="Q542" t="n">
        <v>0</v>
      </c>
      <c r="R542" s="2" t="inlineStr"/>
    </row>
    <row r="543" ht="15" customHeight="1">
      <c r="A543" t="inlineStr">
        <is>
          <t>A 43649-2022</t>
        </is>
      </c>
      <c r="B543" s="1" t="n">
        <v>44837</v>
      </c>
      <c r="C543" s="1" t="n">
        <v>45812</v>
      </c>
      <c r="D543" t="inlineStr">
        <is>
          <t>DALARNAS LÄN</t>
        </is>
      </c>
      <c r="E543" t="inlineStr">
        <is>
          <t>ÄLVDALEN</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43628-2022</t>
        </is>
      </c>
      <c r="B544" s="1" t="n">
        <v>44837</v>
      </c>
      <c r="C544" s="1" t="n">
        <v>45812</v>
      </c>
      <c r="D544" t="inlineStr">
        <is>
          <t>DALARNAS LÄN</t>
        </is>
      </c>
      <c r="E544" t="inlineStr">
        <is>
          <t>ÄLVDALEN</t>
        </is>
      </c>
      <c r="G544" t="n">
        <v>5.8</v>
      </c>
      <c r="H544" t="n">
        <v>0</v>
      </c>
      <c r="I544" t="n">
        <v>0</v>
      </c>
      <c r="J544" t="n">
        <v>0</v>
      </c>
      <c r="K544" t="n">
        <v>0</v>
      </c>
      <c r="L544" t="n">
        <v>0</v>
      </c>
      <c r="M544" t="n">
        <v>0</v>
      </c>
      <c r="N544" t="n">
        <v>0</v>
      </c>
      <c r="O544" t="n">
        <v>0</v>
      </c>
      <c r="P544" t="n">
        <v>0</v>
      </c>
      <c r="Q544" t="n">
        <v>0</v>
      </c>
      <c r="R544" s="2" t="inlineStr"/>
    </row>
    <row r="545" ht="15" customHeight="1">
      <c r="A545" t="inlineStr">
        <is>
          <t>A 43647-2022</t>
        </is>
      </c>
      <c r="B545" s="1" t="n">
        <v>44837</v>
      </c>
      <c r="C545" s="1" t="n">
        <v>45812</v>
      </c>
      <c r="D545" t="inlineStr">
        <is>
          <t>DALARNAS LÄN</t>
        </is>
      </c>
      <c r="E545" t="inlineStr">
        <is>
          <t>ÄLVDALEN</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43616-2022</t>
        </is>
      </c>
      <c r="B546" s="1" t="n">
        <v>44837</v>
      </c>
      <c r="C546" s="1" t="n">
        <v>45812</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44119-2022</t>
        </is>
      </c>
      <c r="B547" s="1" t="n">
        <v>44839</v>
      </c>
      <c r="C547" s="1" t="n">
        <v>45812</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45044-2022</t>
        </is>
      </c>
      <c r="B548" s="1" t="n">
        <v>44841</v>
      </c>
      <c r="C548" s="1" t="n">
        <v>45812</v>
      </c>
      <c r="D548" t="inlineStr">
        <is>
          <t>DALARNAS LÄN</t>
        </is>
      </c>
      <c r="E548" t="inlineStr">
        <is>
          <t>ÄLVDALEN</t>
        </is>
      </c>
      <c r="F548" t="inlineStr">
        <is>
          <t>Bergvik skog väst AB</t>
        </is>
      </c>
      <c r="G548" t="n">
        <v>8.9</v>
      </c>
      <c r="H548" t="n">
        <v>0</v>
      </c>
      <c r="I548" t="n">
        <v>0</v>
      </c>
      <c r="J548" t="n">
        <v>0</v>
      </c>
      <c r="K548" t="n">
        <v>0</v>
      </c>
      <c r="L548" t="n">
        <v>0</v>
      </c>
      <c r="M548" t="n">
        <v>0</v>
      </c>
      <c r="N548" t="n">
        <v>0</v>
      </c>
      <c r="O548" t="n">
        <v>0</v>
      </c>
      <c r="P548" t="n">
        <v>0</v>
      </c>
      <c r="Q548" t="n">
        <v>0</v>
      </c>
      <c r="R548" s="2" t="inlineStr"/>
    </row>
    <row r="549" ht="15" customHeight="1">
      <c r="A549" t="inlineStr">
        <is>
          <t>A 45050-2022</t>
        </is>
      </c>
      <c r="B549" s="1" t="n">
        <v>44841</v>
      </c>
      <c r="C549" s="1" t="n">
        <v>45812</v>
      </c>
      <c r="D549" t="inlineStr">
        <is>
          <t>DALARNAS LÄN</t>
        </is>
      </c>
      <c r="E549" t="inlineStr">
        <is>
          <t>ÄLVDALEN</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45049-2022</t>
        </is>
      </c>
      <c r="B550" s="1" t="n">
        <v>44841</v>
      </c>
      <c r="C550" s="1" t="n">
        <v>45812</v>
      </c>
      <c r="D550" t="inlineStr">
        <is>
          <t>DALARNAS LÄN</t>
        </is>
      </c>
      <c r="E550" t="inlineStr">
        <is>
          <t>ÄLVDALEN</t>
        </is>
      </c>
      <c r="F550" t="inlineStr">
        <is>
          <t>Bergvik skog väst AB</t>
        </is>
      </c>
      <c r="G550" t="n">
        <v>19.8</v>
      </c>
      <c r="H550" t="n">
        <v>0</v>
      </c>
      <c r="I550" t="n">
        <v>0</v>
      </c>
      <c r="J550" t="n">
        <v>0</v>
      </c>
      <c r="K550" t="n">
        <v>0</v>
      </c>
      <c r="L550" t="n">
        <v>0</v>
      </c>
      <c r="M550" t="n">
        <v>0</v>
      </c>
      <c r="N550" t="n">
        <v>0</v>
      </c>
      <c r="O550" t="n">
        <v>0</v>
      </c>
      <c r="P550" t="n">
        <v>0</v>
      </c>
      <c r="Q550" t="n">
        <v>0</v>
      </c>
      <c r="R550" s="2" t="inlineStr"/>
    </row>
    <row r="551" ht="15" customHeight="1">
      <c r="A551" t="inlineStr">
        <is>
          <t>A 45167-2022</t>
        </is>
      </c>
      <c r="B551" s="1" t="n">
        <v>44844</v>
      </c>
      <c r="C551" s="1" t="n">
        <v>45812</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45228-2022</t>
        </is>
      </c>
      <c r="B552" s="1" t="n">
        <v>44844</v>
      </c>
      <c r="C552" s="1" t="n">
        <v>45812</v>
      </c>
      <c r="D552" t="inlineStr">
        <is>
          <t>DALARNAS LÄN</t>
        </is>
      </c>
      <c r="E552" t="inlineStr">
        <is>
          <t>ÄLVDALEN</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45227-2022</t>
        </is>
      </c>
      <c r="B553" s="1" t="n">
        <v>44844</v>
      </c>
      <c r="C553" s="1" t="n">
        <v>45812</v>
      </c>
      <c r="D553" t="inlineStr">
        <is>
          <t>DALARNAS LÄN</t>
        </is>
      </c>
      <c r="E553" t="inlineStr">
        <is>
          <t>ÄLVDALEN</t>
        </is>
      </c>
      <c r="F553" t="inlineStr">
        <is>
          <t>Bergvik skog väst AB</t>
        </is>
      </c>
      <c r="G553" t="n">
        <v>22.3</v>
      </c>
      <c r="H553" t="n">
        <v>0</v>
      </c>
      <c r="I553" t="n">
        <v>0</v>
      </c>
      <c r="J553" t="n">
        <v>0</v>
      </c>
      <c r="K553" t="n">
        <v>0</v>
      </c>
      <c r="L553" t="n">
        <v>0</v>
      </c>
      <c r="M553" t="n">
        <v>0</v>
      </c>
      <c r="N553" t="n">
        <v>0</v>
      </c>
      <c r="O553" t="n">
        <v>0</v>
      </c>
      <c r="P553" t="n">
        <v>0</v>
      </c>
      <c r="Q553" t="n">
        <v>0</v>
      </c>
      <c r="R553" s="2" t="inlineStr"/>
    </row>
    <row r="554" ht="15" customHeight="1">
      <c r="A554" t="inlineStr">
        <is>
          <t>A 45245-2022</t>
        </is>
      </c>
      <c r="B554" s="1" t="n">
        <v>44844</v>
      </c>
      <c r="C554" s="1" t="n">
        <v>45812</v>
      </c>
      <c r="D554" t="inlineStr">
        <is>
          <t>DALARNAS LÄN</t>
        </is>
      </c>
      <c r="E554" t="inlineStr">
        <is>
          <t>ÄLVDALEN</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45157-2022</t>
        </is>
      </c>
      <c r="B555" s="1" t="n">
        <v>44844</v>
      </c>
      <c r="C555" s="1" t="n">
        <v>45812</v>
      </c>
      <c r="D555" t="inlineStr">
        <is>
          <t>DALARNAS LÄN</t>
        </is>
      </c>
      <c r="E555" t="inlineStr">
        <is>
          <t>ÄLVDALEN</t>
        </is>
      </c>
      <c r="G555" t="n">
        <v>7.9</v>
      </c>
      <c r="H555" t="n">
        <v>0</v>
      </c>
      <c r="I555" t="n">
        <v>0</v>
      </c>
      <c r="J555" t="n">
        <v>0</v>
      </c>
      <c r="K555" t="n">
        <v>0</v>
      </c>
      <c r="L555" t="n">
        <v>0</v>
      </c>
      <c r="M555" t="n">
        <v>0</v>
      </c>
      <c r="N555" t="n">
        <v>0</v>
      </c>
      <c r="O555" t="n">
        <v>0</v>
      </c>
      <c r="P555" t="n">
        <v>0</v>
      </c>
      <c r="Q555" t="n">
        <v>0</v>
      </c>
      <c r="R555" s="2" t="inlineStr"/>
    </row>
    <row r="556" ht="15" customHeight="1">
      <c r="A556" t="inlineStr">
        <is>
          <t>A 45165-2022</t>
        </is>
      </c>
      <c r="B556" s="1" t="n">
        <v>44844</v>
      </c>
      <c r="C556" s="1" t="n">
        <v>45812</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45233-2022</t>
        </is>
      </c>
      <c r="B557" s="1" t="n">
        <v>44844</v>
      </c>
      <c r="C557" s="1" t="n">
        <v>45812</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45783-2022</t>
        </is>
      </c>
      <c r="B558" s="1" t="n">
        <v>44846</v>
      </c>
      <c r="C558" s="1" t="n">
        <v>45812</v>
      </c>
      <c r="D558" t="inlineStr">
        <is>
          <t>DALARNAS LÄN</t>
        </is>
      </c>
      <c r="E558" t="inlineStr">
        <is>
          <t>ÄLVDALEN</t>
        </is>
      </c>
      <c r="G558" t="n">
        <v>9.1</v>
      </c>
      <c r="H558" t="n">
        <v>0</v>
      </c>
      <c r="I558" t="n">
        <v>0</v>
      </c>
      <c r="J558" t="n">
        <v>0</v>
      </c>
      <c r="K558" t="n">
        <v>0</v>
      </c>
      <c r="L558" t="n">
        <v>0</v>
      </c>
      <c r="M558" t="n">
        <v>0</v>
      </c>
      <c r="N558" t="n">
        <v>0</v>
      </c>
      <c r="O558" t="n">
        <v>0</v>
      </c>
      <c r="P558" t="n">
        <v>0</v>
      </c>
      <c r="Q558" t="n">
        <v>0</v>
      </c>
      <c r="R558" s="2" t="inlineStr"/>
    </row>
    <row r="559" ht="15" customHeight="1">
      <c r="A559" t="inlineStr">
        <is>
          <t>A 45785-2022</t>
        </is>
      </c>
      <c r="B559" s="1" t="n">
        <v>44846</v>
      </c>
      <c r="C559" s="1" t="n">
        <v>45812</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47878-2022</t>
        </is>
      </c>
      <c r="B560" s="1" t="n">
        <v>44855</v>
      </c>
      <c r="C560" s="1" t="n">
        <v>45812</v>
      </c>
      <c r="D560" t="inlineStr">
        <is>
          <t>DALARNAS LÄN</t>
        </is>
      </c>
      <c r="E560" t="inlineStr">
        <is>
          <t>ÄLVDALEN</t>
        </is>
      </c>
      <c r="G560" t="n">
        <v>10.2</v>
      </c>
      <c r="H560" t="n">
        <v>0</v>
      </c>
      <c r="I560" t="n">
        <v>0</v>
      </c>
      <c r="J560" t="n">
        <v>0</v>
      </c>
      <c r="K560" t="n">
        <v>0</v>
      </c>
      <c r="L560" t="n">
        <v>0</v>
      </c>
      <c r="M560" t="n">
        <v>0</v>
      </c>
      <c r="N560" t="n">
        <v>0</v>
      </c>
      <c r="O560" t="n">
        <v>0</v>
      </c>
      <c r="P560" t="n">
        <v>0</v>
      </c>
      <c r="Q560" t="n">
        <v>0</v>
      </c>
      <c r="R560" s="2" t="inlineStr"/>
    </row>
    <row r="561" ht="15" customHeight="1">
      <c r="A561" t="inlineStr">
        <is>
          <t>A 48849-2022</t>
        </is>
      </c>
      <c r="B561" s="1" t="n">
        <v>44859</v>
      </c>
      <c r="C561" s="1" t="n">
        <v>45812</v>
      </c>
      <c r="D561" t="inlineStr">
        <is>
          <t>DALARNAS LÄN</t>
        </is>
      </c>
      <c r="E561" t="inlineStr">
        <is>
          <t>ÄLVDALEN</t>
        </is>
      </c>
      <c r="F561" t="inlineStr">
        <is>
          <t>Allmännings- och besparingsskogar</t>
        </is>
      </c>
      <c r="G561" t="n">
        <v>2.4</v>
      </c>
      <c r="H561" t="n">
        <v>0</v>
      </c>
      <c r="I561" t="n">
        <v>0</v>
      </c>
      <c r="J561" t="n">
        <v>0</v>
      </c>
      <c r="K561" t="n">
        <v>0</v>
      </c>
      <c r="L561" t="n">
        <v>0</v>
      </c>
      <c r="M561" t="n">
        <v>0</v>
      </c>
      <c r="N561" t="n">
        <v>0</v>
      </c>
      <c r="O561" t="n">
        <v>0</v>
      </c>
      <c r="P561" t="n">
        <v>0</v>
      </c>
      <c r="Q561" t="n">
        <v>0</v>
      </c>
      <c r="R561" s="2" t="inlineStr"/>
    </row>
    <row r="562" ht="15" customHeight="1">
      <c r="A562" t="inlineStr">
        <is>
          <t>A 50037-2022</t>
        </is>
      </c>
      <c r="B562" s="1" t="n">
        <v>44865</v>
      </c>
      <c r="C562" s="1" t="n">
        <v>45812</v>
      </c>
      <c r="D562" t="inlineStr">
        <is>
          <t>DALARNAS LÄN</t>
        </is>
      </c>
      <c r="E562" t="inlineStr">
        <is>
          <t>ÄLVDALEN</t>
        </is>
      </c>
      <c r="F562" t="inlineStr">
        <is>
          <t>Allmännings- och besparingsskogar</t>
        </is>
      </c>
      <c r="G562" t="n">
        <v>5.8</v>
      </c>
      <c r="H562" t="n">
        <v>0</v>
      </c>
      <c r="I562" t="n">
        <v>0</v>
      </c>
      <c r="J562" t="n">
        <v>0</v>
      </c>
      <c r="K562" t="n">
        <v>0</v>
      </c>
      <c r="L562" t="n">
        <v>0</v>
      </c>
      <c r="M562" t="n">
        <v>0</v>
      </c>
      <c r="N562" t="n">
        <v>0</v>
      </c>
      <c r="O562" t="n">
        <v>0</v>
      </c>
      <c r="P562" t="n">
        <v>0</v>
      </c>
      <c r="Q562" t="n">
        <v>0</v>
      </c>
      <c r="R562" s="2" t="inlineStr"/>
    </row>
    <row r="563" ht="15" customHeight="1">
      <c r="A563" t="inlineStr">
        <is>
          <t>A 50209-2022</t>
        </is>
      </c>
      <c r="B563" s="1" t="n">
        <v>44865</v>
      </c>
      <c r="C563" s="1" t="n">
        <v>45812</v>
      </c>
      <c r="D563" t="inlineStr">
        <is>
          <t>DALARNAS LÄN</t>
        </is>
      </c>
      <c r="E563" t="inlineStr">
        <is>
          <t>ÄLVDALEN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50464-2022</t>
        </is>
      </c>
      <c r="B564" s="1" t="n">
        <v>44866</v>
      </c>
      <c r="C564" s="1" t="n">
        <v>45812</v>
      </c>
      <c r="D564" t="inlineStr">
        <is>
          <t>DALARNAS LÄN</t>
        </is>
      </c>
      <c r="E564" t="inlineStr">
        <is>
          <t>ÄLVDALEN</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50885-2022</t>
        </is>
      </c>
      <c r="B565" s="1" t="n">
        <v>44867</v>
      </c>
      <c r="C565" s="1" t="n">
        <v>45812</v>
      </c>
      <c r="D565" t="inlineStr">
        <is>
          <t>DALARNAS LÄN</t>
        </is>
      </c>
      <c r="E565" t="inlineStr">
        <is>
          <t>ÄLVDALEN</t>
        </is>
      </c>
      <c r="F565" t="inlineStr">
        <is>
          <t>Bergvik skog väst AB</t>
        </is>
      </c>
      <c r="G565" t="n">
        <v>5</v>
      </c>
      <c r="H565" t="n">
        <v>0</v>
      </c>
      <c r="I565" t="n">
        <v>0</v>
      </c>
      <c r="J565" t="n">
        <v>0</v>
      </c>
      <c r="K565" t="n">
        <v>0</v>
      </c>
      <c r="L565" t="n">
        <v>0</v>
      </c>
      <c r="M565" t="n">
        <v>0</v>
      </c>
      <c r="N565" t="n">
        <v>0</v>
      </c>
      <c r="O565" t="n">
        <v>0</v>
      </c>
      <c r="P565" t="n">
        <v>0</v>
      </c>
      <c r="Q565" t="n">
        <v>0</v>
      </c>
      <c r="R565" s="2" t="inlineStr"/>
    </row>
    <row r="566" ht="15" customHeight="1">
      <c r="A566" t="inlineStr">
        <is>
          <t>A 50774-2022</t>
        </is>
      </c>
      <c r="B566" s="1" t="n">
        <v>44867</v>
      </c>
      <c r="C566" s="1" t="n">
        <v>45812</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51259-2022</t>
        </is>
      </c>
      <c r="B567" s="1" t="n">
        <v>44868</v>
      </c>
      <c r="C567" s="1" t="n">
        <v>45812</v>
      </c>
      <c r="D567" t="inlineStr">
        <is>
          <t>DALARNAS LÄN</t>
        </is>
      </c>
      <c r="E567" t="inlineStr">
        <is>
          <t>ÄLVDALEN</t>
        </is>
      </c>
      <c r="F567" t="inlineStr">
        <is>
          <t>Övriga statliga verk och myndigheter</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51193-2022</t>
        </is>
      </c>
      <c r="B568" s="1" t="n">
        <v>44868</v>
      </c>
      <c r="C568" s="1" t="n">
        <v>45812</v>
      </c>
      <c r="D568" t="inlineStr">
        <is>
          <t>DALARNAS LÄN</t>
        </is>
      </c>
      <c r="E568" t="inlineStr">
        <is>
          <t>ÄLVDALEN</t>
        </is>
      </c>
      <c r="F568" t="inlineStr">
        <is>
          <t>Övriga Aktiebolag</t>
        </is>
      </c>
      <c r="G568" t="n">
        <v>17.7</v>
      </c>
      <c r="H568" t="n">
        <v>0</v>
      </c>
      <c r="I568" t="n">
        <v>0</v>
      </c>
      <c r="J568" t="n">
        <v>0</v>
      </c>
      <c r="K568" t="n">
        <v>0</v>
      </c>
      <c r="L568" t="n">
        <v>0</v>
      </c>
      <c r="M568" t="n">
        <v>0</v>
      </c>
      <c r="N568" t="n">
        <v>0</v>
      </c>
      <c r="O568" t="n">
        <v>0</v>
      </c>
      <c r="P568" t="n">
        <v>0</v>
      </c>
      <c r="Q568" t="n">
        <v>0</v>
      </c>
      <c r="R568" s="2" t="inlineStr"/>
    </row>
    <row r="569" ht="15" customHeight="1">
      <c r="A569" t="inlineStr">
        <is>
          <t>A 51484-2022</t>
        </is>
      </c>
      <c r="B569" s="1" t="n">
        <v>44869</v>
      </c>
      <c r="C569" s="1" t="n">
        <v>45812</v>
      </c>
      <c r="D569" t="inlineStr">
        <is>
          <t>DALARNAS LÄN</t>
        </is>
      </c>
      <c r="E569" t="inlineStr">
        <is>
          <t>ÄLVDALEN</t>
        </is>
      </c>
      <c r="F569" t="inlineStr">
        <is>
          <t>Sveaskog</t>
        </is>
      </c>
      <c r="G569" t="n">
        <v>7</v>
      </c>
      <c r="H569" t="n">
        <v>0</v>
      </c>
      <c r="I569" t="n">
        <v>0</v>
      </c>
      <c r="J569" t="n">
        <v>0</v>
      </c>
      <c r="K569" t="n">
        <v>0</v>
      </c>
      <c r="L569" t="n">
        <v>0</v>
      </c>
      <c r="M569" t="n">
        <v>0</v>
      </c>
      <c r="N569" t="n">
        <v>0</v>
      </c>
      <c r="O569" t="n">
        <v>0</v>
      </c>
      <c r="P569" t="n">
        <v>0</v>
      </c>
      <c r="Q569" t="n">
        <v>0</v>
      </c>
      <c r="R569" s="2" t="inlineStr"/>
    </row>
    <row r="570" ht="15" customHeight="1">
      <c r="A570" t="inlineStr">
        <is>
          <t>A 51504-2022</t>
        </is>
      </c>
      <c r="B570" s="1" t="n">
        <v>44869</v>
      </c>
      <c r="C570" s="1" t="n">
        <v>45812</v>
      </c>
      <c r="D570" t="inlineStr">
        <is>
          <t>DALARNAS LÄN</t>
        </is>
      </c>
      <c r="E570" t="inlineStr">
        <is>
          <t>ÄLVDALEN</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51483-2022</t>
        </is>
      </c>
      <c r="B571" s="1" t="n">
        <v>44869</v>
      </c>
      <c r="C571" s="1" t="n">
        <v>45812</v>
      </c>
      <c r="D571" t="inlineStr">
        <is>
          <t>DALARNAS LÄN</t>
        </is>
      </c>
      <c r="E571" t="inlineStr">
        <is>
          <t>ÄLVDALEN</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52107-2022</t>
        </is>
      </c>
      <c r="B572" s="1" t="n">
        <v>44873</v>
      </c>
      <c r="C572" s="1" t="n">
        <v>45812</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52064-2022</t>
        </is>
      </c>
      <c r="B573" s="1" t="n">
        <v>44873</v>
      </c>
      <c r="C573" s="1" t="n">
        <v>45812</v>
      </c>
      <c r="D573" t="inlineStr">
        <is>
          <t>DALARNAS LÄN</t>
        </is>
      </c>
      <c r="E573" t="inlineStr">
        <is>
          <t>ÄLVDALEN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52060-2022</t>
        </is>
      </c>
      <c r="B574" s="1" t="n">
        <v>44873</v>
      </c>
      <c r="C574" s="1" t="n">
        <v>45812</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52249-2022</t>
        </is>
      </c>
      <c r="B575" s="1" t="n">
        <v>44873</v>
      </c>
      <c r="C575" s="1" t="n">
        <v>45812</v>
      </c>
      <c r="D575" t="inlineStr">
        <is>
          <t>DALARNAS LÄN</t>
        </is>
      </c>
      <c r="E575" t="inlineStr">
        <is>
          <t>ÄLVDALEN</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52503-2022</t>
        </is>
      </c>
      <c r="B576" s="1" t="n">
        <v>44874</v>
      </c>
      <c r="C576" s="1" t="n">
        <v>45812</v>
      </c>
      <c r="D576" t="inlineStr">
        <is>
          <t>DALARNAS LÄN</t>
        </is>
      </c>
      <c r="E576" t="inlineStr">
        <is>
          <t>ÄLVDALEN</t>
        </is>
      </c>
      <c r="G576" t="n">
        <v>0.8</v>
      </c>
      <c r="H576" t="n">
        <v>0</v>
      </c>
      <c r="I576" t="n">
        <v>0</v>
      </c>
      <c r="J576" t="n">
        <v>0</v>
      </c>
      <c r="K576" t="n">
        <v>0</v>
      </c>
      <c r="L576" t="n">
        <v>0</v>
      </c>
      <c r="M576" t="n">
        <v>0</v>
      </c>
      <c r="N576" t="n">
        <v>0</v>
      </c>
      <c r="O576" t="n">
        <v>0</v>
      </c>
      <c r="P576" t="n">
        <v>0</v>
      </c>
      <c r="Q576" t="n">
        <v>0</v>
      </c>
      <c r="R576" s="2" t="inlineStr"/>
    </row>
    <row r="577" ht="15" customHeight="1">
      <c r="A577" t="inlineStr">
        <is>
          <t>A 52477-2022</t>
        </is>
      </c>
      <c r="B577" s="1" t="n">
        <v>44874</v>
      </c>
      <c r="C577" s="1" t="n">
        <v>45812</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52469-2022</t>
        </is>
      </c>
      <c r="B578" s="1" t="n">
        <v>44874</v>
      </c>
      <c r="C578" s="1" t="n">
        <v>45812</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52965-2022</t>
        </is>
      </c>
      <c r="B579" s="1" t="n">
        <v>44875</v>
      </c>
      <c r="C579" s="1" t="n">
        <v>45812</v>
      </c>
      <c r="D579" t="inlineStr">
        <is>
          <t>DALARNAS LÄN</t>
        </is>
      </c>
      <c r="E579" t="inlineStr">
        <is>
          <t>ÄLVDALEN</t>
        </is>
      </c>
      <c r="F579" t="inlineStr">
        <is>
          <t>Övriga statliga verk och myndigheter</t>
        </is>
      </c>
      <c r="G579" t="n">
        <v>8.4</v>
      </c>
      <c r="H579" t="n">
        <v>0</v>
      </c>
      <c r="I579" t="n">
        <v>0</v>
      </c>
      <c r="J579" t="n">
        <v>0</v>
      </c>
      <c r="K579" t="n">
        <v>0</v>
      </c>
      <c r="L579" t="n">
        <v>0</v>
      </c>
      <c r="M579" t="n">
        <v>0</v>
      </c>
      <c r="N579" t="n">
        <v>0</v>
      </c>
      <c r="O579" t="n">
        <v>0</v>
      </c>
      <c r="P579" t="n">
        <v>0</v>
      </c>
      <c r="Q579" t="n">
        <v>0</v>
      </c>
      <c r="R579" s="2" t="inlineStr"/>
    </row>
    <row r="580" ht="15" customHeight="1">
      <c r="A580" t="inlineStr">
        <is>
          <t>A 53345-2022</t>
        </is>
      </c>
      <c r="B580" s="1" t="n">
        <v>44879</v>
      </c>
      <c r="C580" s="1" t="n">
        <v>45812</v>
      </c>
      <c r="D580" t="inlineStr">
        <is>
          <t>DALARNAS LÄN</t>
        </is>
      </c>
      <c r="E580" t="inlineStr">
        <is>
          <t>ÄLVDALEN</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54407-2022</t>
        </is>
      </c>
      <c r="B581" s="1" t="n">
        <v>44882</v>
      </c>
      <c r="C581" s="1" t="n">
        <v>45812</v>
      </c>
      <c r="D581" t="inlineStr">
        <is>
          <t>DALARNAS LÄN</t>
        </is>
      </c>
      <c r="E581" t="inlineStr">
        <is>
          <t>ÄLVDALEN</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55015-2022</t>
        </is>
      </c>
      <c r="B582" s="1" t="n">
        <v>44886</v>
      </c>
      <c r="C582" s="1" t="n">
        <v>45812</v>
      </c>
      <c r="D582" t="inlineStr">
        <is>
          <t>DALARNAS LÄN</t>
        </is>
      </c>
      <c r="E582" t="inlineStr">
        <is>
          <t>ÄLVDALEN</t>
        </is>
      </c>
      <c r="F582" t="inlineStr">
        <is>
          <t>Bergvik skog öst AB</t>
        </is>
      </c>
      <c r="G582" t="n">
        <v>3.1</v>
      </c>
      <c r="H582" t="n">
        <v>0</v>
      </c>
      <c r="I582" t="n">
        <v>0</v>
      </c>
      <c r="J582" t="n">
        <v>0</v>
      </c>
      <c r="K582" t="n">
        <v>0</v>
      </c>
      <c r="L582" t="n">
        <v>0</v>
      </c>
      <c r="M582" t="n">
        <v>0</v>
      </c>
      <c r="N582" t="n">
        <v>0</v>
      </c>
      <c r="O582" t="n">
        <v>0</v>
      </c>
      <c r="P582" t="n">
        <v>0</v>
      </c>
      <c r="Q582" t="n">
        <v>0</v>
      </c>
      <c r="R582" s="2" t="inlineStr"/>
    </row>
    <row r="583" ht="15" customHeight="1">
      <c r="A583" t="inlineStr">
        <is>
          <t>A 56207-2022</t>
        </is>
      </c>
      <c r="B583" s="1" t="n">
        <v>44890</v>
      </c>
      <c r="C583" s="1" t="n">
        <v>45812</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56206-2022</t>
        </is>
      </c>
      <c r="B584" s="1" t="n">
        <v>44890</v>
      </c>
      <c r="C584" s="1" t="n">
        <v>45812</v>
      </c>
      <c r="D584" t="inlineStr">
        <is>
          <t>DALARNAS LÄN</t>
        </is>
      </c>
      <c r="E584" t="inlineStr">
        <is>
          <t>ÄLVDALEN</t>
        </is>
      </c>
      <c r="G584" t="n">
        <v>4.1</v>
      </c>
      <c r="H584" t="n">
        <v>0</v>
      </c>
      <c r="I584" t="n">
        <v>0</v>
      </c>
      <c r="J584" t="n">
        <v>0</v>
      </c>
      <c r="K584" t="n">
        <v>0</v>
      </c>
      <c r="L584" t="n">
        <v>0</v>
      </c>
      <c r="M584" t="n">
        <v>0</v>
      </c>
      <c r="N584" t="n">
        <v>0</v>
      </c>
      <c r="O584" t="n">
        <v>0</v>
      </c>
      <c r="P584" t="n">
        <v>0</v>
      </c>
      <c r="Q584" t="n">
        <v>0</v>
      </c>
      <c r="R584" s="2" t="inlineStr"/>
    </row>
    <row r="585" ht="15" customHeight="1">
      <c r="A585" t="inlineStr">
        <is>
          <t>A 56882-2022</t>
        </is>
      </c>
      <c r="B585" s="1" t="n">
        <v>44894</v>
      </c>
      <c r="C585" s="1" t="n">
        <v>45812</v>
      </c>
      <c r="D585" t="inlineStr">
        <is>
          <t>DALARNAS LÄN</t>
        </is>
      </c>
      <c r="E585" t="inlineStr">
        <is>
          <t>ÄLVDALEN</t>
        </is>
      </c>
      <c r="G585" t="n">
        <v>7.4</v>
      </c>
      <c r="H585" t="n">
        <v>0</v>
      </c>
      <c r="I585" t="n">
        <v>0</v>
      </c>
      <c r="J585" t="n">
        <v>0</v>
      </c>
      <c r="K585" t="n">
        <v>0</v>
      </c>
      <c r="L585" t="n">
        <v>0</v>
      </c>
      <c r="M585" t="n">
        <v>0</v>
      </c>
      <c r="N585" t="n">
        <v>0</v>
      </c>
      <c r="O585" t="n">
        <v>0</v>
      </c>
      <c r="P585" t="n">
        <v>0</v>
      </c>
      <c r="Q585" t="n">
        <v>0</v>
      </c>
      <c r="R585" s="2" t="inlineStr"/>
    </row>
    <row r="586" ht="15" customHeight="1">
      <c r="A586" t="inlineStr">
        <is>
          <t>A 57148-2022</t>
        </is>
      </c>
      <c r="B586" s="1" t="n">
        <v>44895</v>
      </c>
      <c r="C586" s="1" t="n">
        <v>45812</v>
      </c>
      <c r="D586" t="inlineStr">
        <is>
          <t>DALARNAS LÄN</t>
        </is>
      </c>
      <c r="E586" t="inlineStr">
        <is>
          <t>ÄLVDALEN</t>
        </is>
      </c>
      <c r="F586" t="inlineStr">
        <is>
          <t>Allmännings- och besparingsskogar</t>
        </is>
      </c>
      <c r="G586" t="n">
        <v>13.3</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45812</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58355-2022</t>
        </is>
      </c>
      <c r="B588" s="1" t="n">
        <v>44901</v>
      </c>
      <c r="C588" s="1" t="n">
        <v>45812</v>
      </c>
      <c r="D588" t="inlineStr">
        <is>
          <t>DALARNAS LÄN</t>
        </is>
      </c>
      <c r="E588" t="inlineStr">
        <is>
          <t>ÄLVDALEN</t>
        </is>
      </c>
      <c r="F588" t="inlineStr">
        <is>
          <t>Allmännings- och besparingsskogar</t>
        </is>
      </c>
      <c r="G588" t="n">
        <v>23.8</v>
      </c>
      <c r="H588" t="n">
        <v>0</v>
      </c>
      <c r="I588" t="n">
        <v>0</v>
      </c>
      <c r="J588" t="n">
        <v>0</v>
      </c>
      <c r="K588" t="n">
        <v>0</v>
      </c>
      <c r="L588" t="n">
        <v>0</v>
      </c>
      <c r="M588" t="n">
        <v>0</v>
      </c>
      <c r="N588" t="n">
        <v>0</v>
      </c>
      <c r="O588" t="n">
        <v>0</v>
      </c>
      <c r="P588" t="n">
        <v>0</v>
      </c>
      <c r="Q588" t="n">
        <v>0</v>
      </c>
      <c r="R588" s="2" t="inlineStr"/>
    </row>
    <row r="589" ht="15" customHeight="1">
      <c r="A589" t="inlineStr">
        <is>
          <t>A 58569-2022</t>
        </is>
      </c>
      <c r="B589" s="1" t="n">
        <v>44902</v>
      </c>
      <c r="C589" s="1" t="n">
        <v>45812</v>
      </c>
      <c r="D589" t="inlineStr">
        <is>
          <t>DALARNAS LÄN</t>
        </is>
      </c>
      <c r="E589" t="inlineStr">
        <is>
          <t>ÄLVDALEN</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58904-2022</t>
        </is>
      </c>
      <c r="B590" s="1" t="n">
        <v>44903</v>
      </c>
      <c r="C590" s="1" t="n">
        <v>45812</v>
      </c>
      <c r="D590" t="inlineStr">
        <is>
          <t>DALARNAS LÄN</t>
        </is>
      </c>
      <c r="E590" t="inlineStr">
        <is>
          <t>ÄLVDALEN</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59108-2022</t>
        </is>
      </c>
      <c r="B591" s="1" t="n">
        <v>44904</v>
      </c>
      <c r="C591" s="1" t="n">
        <v>45812</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59207-2022</t>
        </is>
      </c>
      <c r="B592" s="1" t="n">
        <v>44904</v>
      </c>
      <c r="C592" s="1" t="n">
        <v>45812</v>
      </c>
      <c r="D592" t="inlineStr">
        <is>
          <t>DALARNAS LÄN</t>
        </is>
      </c>
      <c r="E592" t="inlineStr">
        <is>
          <t>ÄLVDALEN</t>
        </is>
      </c>
      <c r="G592" t="n">
        <v>4.7</v>
      </c>
      <c r="H592" t="n">
        <v>0</v>
      </c>
      <c r="I592" t="n">
        <v>0</v>
      </c>
      <c r="J592" t="n">
        <v>0</v>
      </c>
      <c r="K592" t="n">
        <v>0</v>
      </c>
      <c r="L592" t="n">
        <v>0</v>
      </c>
      <c r="M592" t="n">
        <v>0</v>
      </c>
      <c r="N592" t="n">
        <v>0</v>
      </c>
      <c r="O592" t="n">
        <v>0</v>
      </c>
      <c r="P592" t="n">
        <v>0</v>
      </c>
      <c r="Q592" t="n">
        <v>0</v>
      </c>
      <c r="R592" s="2" t="inlineStr"/>
    </row>
    <row r="593" ht="15" customHeight="1">
      <c r="A593" t="inlineStr">
        <is>
          <t>A 59209-2022</t>
        </is>
      </c>
      <c r="B593" s="1" t="n">
        <v>44904</v>
      </c>
      <c r="C593" s="1" t="n">
        <v>45812</v>
      </c>
      <c r="D593" t="inlineStr">
        <is>
          <t>DALARNAS LÄN</t>
        </is>
      </c>
      <c r="E593" t="inlineStr">
        <is>
          <t>ÄLVDALEN</t>
        </is>
      </c>
      <c r="G593" t="n">
        <v>2.6</v>
      </c>
      <c r="H593" t="n">
        <v>0</v>
      </c>
      <c r="I593" t="n">
        <v>0</v>
      </c>
      <c r="J593" t="n">
        <v>0</v>
      </c>
      <c r="K593" t="n">
        <v>0</v>
      </c>
      <c r="L593" t="n">
        <v>0</v>
      </c>
      <c r="M593" t="n">
        <v>0</v>
      </c>
      <c r="N593" t="n">
        <v>0</v>
      </c>
      <c r="O593" t="n">
        <v>0</v>
      </c>
      <c r="P593" t="n">
        <v>0</v>
      </c>
      <c r="Q593" t="n">
        <v>0</v>
      </c>
      <c r="R593" s="2" t="inlineStr"/>
    </row>
    <row r="594" ht="15" customHeight="1">
      <c r="A594" t="inlineStr">
        <is>
          <t>A 59464-2022</t>
        </is>
      </c>
      <c r="B594" s="1" t="n">
        <v>44907</v>
      </c>
      <c r="C594" s="1" t="n">
        <v>45812</v>
      </c>
      <c r="D594" t="inlineStr">
        <is>
          <t>DALARNAS LÄN</t>
        </is>
      </c>
      <c r="E594" t="inlineStr">
        <is>
          <t>ÄLVDALEN</t>
        </is>
      </c>
      <c r="F594" t="inlineStr">
        <is>
          <t>Allmännings- och besparingsskogar</t>
        </is>
      </c>
      <c r="G594" t="n">
        <v>29.7</v>
      </c>
      <c r="H594" t="n">
        <v>0</v>
      </c>
      <c r="I594" t="n">
        <v>0</v>
      </c>
      <c r="J594" t="n">
        <v>0</v>
      </c>
      <c r="K594" t="n">
        <v>0</v>
      </c>
      <c r="L594" t="n">
        <v>0</v>
      </c>
      <c r="M594" t="n">
        <v>0</v>
      </c>
      <c r="N594" t="n">
        <v>0</v>
      </c>
      <c r="O594" t="n">
        <v>0</v>
      </c>
      <c r="P594" t="n">
        <v>0</v>
      </c>
      <c r="Q594" t="n">
        <v>0</v>
      </c>
      <c r="R594" s="2" t="inlineStr"/>
    </row>
    <row r="595" ht="15" customHeight="1">
      <c r="A595" t="inlineStr">
        <is>
          <t>A 61450-2022</t>
        </is>
      </c>
      <c r="B595" s="1" t="n">
        <v>44910</v>
      </c>
      <c r="C595" s="1" t="n">
        <v>45812</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61466-2022</t>
        </is>
      </c>
      <c r="B596" s="1" t="n">
        <v>44910</v>
      </c>
      <c r="C596" s="1" t="n">
        <v>45812</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60447-2022</t>
        </is>
      </c>
      <c r="B597" s="1" t="n">
        <v>44911</v>
      </c>
      <c r="C597" s="1" t="n">
        <v>45812</v>
      </c>
      <c r="D597" t="inlineStr">
        <is>
          <t>DALARNAS LÄN</t>
        </is>
      </c>
      <c r="E597" t="inlineStr">
        <is>
          <t>ÄLVDALEN</t>
        </is>
      </c>
      <c r="F597" t="inlineStr">
        <is>
          <t>Allmännings- och besparingsskogar</t>
        </is>
      </c>
      <c r="G597" t="n">
        <v>11.4</v>
      </c>
      <c r="H597" t="n">
        <v>0</v>
      </c>
      <c r="I597" t="n">
        <v>0</v>
      </c>
      <c r="J597" t="n">
        <v>0</v>
      </c>
      <c r="K597" t="n">
        <v>0</v>
      </c>
      <c r="L597" t="n">
        <v>0</v>
      </c>
      <c r="M597" t="n">
        <v>0</v>
      </c>
      <c r="N597" t="n">
        <v>0</v>
      </c>
      <c r="O597" t="n">
        <v>0</v>
      </c>
      <c r="P597" t="n">
        <v>0</v>
      </c>
      <c r="Q597" t="n">
        <v>0</v>
      </c>
      <c r="R597" s="2" t="inlineStr"/>
    </row>
    <row r="598" ht="15" customHeight="1">
      <c r="A598" t="inlineStr">
        <is>
          <t>A 60793-2022</t>
        </is>
      </c>
      <c r="B598" s="1" t="n">
        <v>44911</v>
      </c>
      <c r="C598" s="1" t="n">
        <v>45812</v>
      </c>
      <c r="D598" t="inlineStr">
        <is>
          <t>DALARNAS LÄN</t>
        </is>
      </c>
      <c r="E598" t="inlineStr">
        <is>
          <t>ÄLVDALEN</t>
        </is>
      </c>
      <c r="G598" t="n">
        <v>0.5</v>
      </c>
      <c r="H598" t="n">
        <v>0</v>
      </c>
      <c r="I598" t="n">
        <v>0</v>
      </c>
      <c r="J598" t="n">
        <v>0</v>
      </c>
      <c r="K598" t="n">
        <v>0</v>
      </c>
      <c r="L598" t="n">
        <v>0</v>
      </c>
      <c r="M598" t="n">
        <v>0</v>
      </c>
      <c r="N598" t="n">
        <v>0</v>
      </c>
      <c r="O598" t="n">
        <v>0</v>
      </c>
      <c r="P598" t="n">
        <v>0</v>
      </c>
      <c r="Q598" t="n">
        <v>0</v>
      </c>
      <c r="R598" s="2" t="inlineStr"/>
    </row>
    <row r="599" ht="15" customHeight="1">
      <c r="A599" t="inlineStr">
        <is>
          <t>A 61264-2022</t>
        </is>
      </c>
      <c r="B599" s="1" t="n">
        <v>44915</v>
      </c>
      <c r="C599" s="1" t="n">
        <v>45812</v>
      </c>
      <c r="D599" t="inlineStr">
        <is>
          <t>DALARNAS LÄN</t>
        </is>
      </c>
      <c r="E599" t="inlineStr">
        <is>
          <t>ÄLVDALEN</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62315-2022</t>
        </is>
      </c>
      <c r="B600" s="1" t="n">
        <v>44916</v>
      </c>
      <c r="C600" s="1" t="n">
        <v>45812</v>
      </c>
      <c r="D600" t="inlineStr">
        <is>
          <t>DALARNAS LÄN</t>
        </is>
      </c>
      <c r="E600" t="inlineStr">
        <is>
          <t>ÄLVDALEN</t>
        </is>
      </c>
      <c r="G600" t="n">
        <v>2.1</v>
      </c>
      <c r="H600" t="n">
        <v>0</v>
      </c>
      <c r="I600" t="n">
        <v>0</v>
      </c>
      <c r="J600" t="n">
        <v>0</v>
      </c>
      <c r="K600" t="n">
        <v>0</v>
      </c>
      <c r="L600" t="n">
        <v>0</v>
      </c>
      <c r="M600" t="n">
        <v>0</v>
      </c>
      <c r="N600" t="n">
        <v>0</v>
      </c>
      <c r="O600" t="n">
        <v>0</v>
      </c>
      <c r="P600" t="n">
        <v>0</v>
      </c>
      <c r="Q600" t="n">
        <v>0</v>
      </c>
      <c r="R600" s="2" t="inlineStr"/>
    </row>
    <row r="601" ht="15" customHeight="1">
      <c r="A601" t="inlineStr">
        <is>
          <t>A 62314-2022</t>
        </is>
      </c>
      <c r="B601" s="1" t="n">
        <v>44916</v>
      </c>
      <c r="C601" s="1" t="n">
        <v>45812</v>
      </c>
      <c r="D601" t="inlineStr">
        <is>
          <t>DALARNAS LÄN</t>
        </is>
      </c>
      <c r="E601" t="inlineStr">
        <is>
          <t>ÄLVDALEN</t>
        </is>
      </c>
      <c r="G601" t="n">
        <v>2.7</v>
      </c>
      <c r="H601" t="n">
        <v>0</v>
      </c>
      <c r="I601" t="n">
        <v>0</v>
      </c>
      <c r="J601" t="n">
        <v>0</v>
      </c>
      <c r="K601" t="n">
        <v>0</v>
      </c>
      <c r="L601" t="n">
        <v>0</v>
      </c>
      <c r="M601" t="n">
        <v>0</v>
      </c>
      <c r="N601" t="n">
        <v>0</v>
      </c>
      <c r="O601" t="n">
        <v>0</v>
      </c>
      <c r="P601" t="n">
        <v>0</v>
      </c>
      <c r="Q601" t="n">
        <v>0</v>
      </c>
      <c r="R601" s="2" t="inlineStr"/>
    </row>
    <row r="602" ht="15" customHeight="1">
      <c r="A602" t="inlineStr">
        <is>
          <t>A 61888-2022</t>
        </is>
      </c>
      <c r="B602" s="1" t="n">
        <v>44917</v>
      </c>
      <c r="C602" s="1" t="n">
        <v>45812</v>
      </c>
      <c r="D602" t="inlineStr">
        <is>
          <t>DALARNAS LÄN</t>
        </is>
      </c>
      <c r="E602" t="inlineStr">
        <is>
          <t>ÄLVDALEN</t>
        </is>
      </c>
      <c r="F602" t="inlineStr">
        <is>
          <t>Allmännings- och besparingsskogar</t>
        </is>
      </c>
      <c r="G602" t="n">
        <v>17.7</v>
      </c>
      <c r="H602" t="n">
        <v>0</v>
      </c>
      <c r="I602" t="n">
        <v>0</v>
      </c>
      <c r="J602" t="n">
        <v>0</v>
      </c>
      <c r="K602" t="n">
        <v>0</v>
      </c>
      <c r="L602" t="n">
        <v>0</v>
      </c>
      <c r="M602" t="n">
        <v>0</v>
      </c>
      <c r="N602" t="n">
        <v>0</v>
      </c>
      <c r="O602" t="n">
        <v>0</v>
      </c>
      <c r="P602" t="n">
        <v>0</v>
      </c>
      <c r="Q602" t="n">
        <v>0</v>
      </c>
      <c r="R602" s="2" t="inlineStr"/>
    </row>
    <row r="603" ht="15" customHeight="1">
      <c r="A603" t="inlineStr">
        <is>
          <t>A 62355-2022</t>
        </is>
      </c>
      <c r="B603" s="1" t="n">
        <v>44923</v>
      </c>
      <c r="C603" s="1" t="n">
        <v>45812</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431-2023</t>
        </is>
      </c>
      <c r="B604" s="1" t="n">
        <v>44923</v>
      </c>
      <c r="C604" s="1" t="n">
        <v>45812</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62512-2022</t>
        </is>
      </c>
      <c r="B605" s="1" t="n">
        <v>44924</v>
      </c>
      <c r="C605" s="1" t="n">
        <v>45812</v>
      </c>
      <c r="D605" t="inlineStr">
        <is>
          <t>DALARNAS LÄN</t>
        </is>
      </c>
      <c r="E605" t="inlineStr">
        <is>
          <t>ÄLVDALEN</t>
        </is>
      </c>
      <c r="F605" t="inlineStr">
        <is>
          <t>Övriga statliga verk och myndigheter</t>
        </is>
      </c>
      <c r="G605" t="n">
        <v>15.1</v>
      </c>
      <c r="H605" t="n">
        <v>0</v>
      </c>
      <c r="I605" t="n">
        <v>0</v>
      </c>
      <c r="J605" t="n">
        <v>0</v>
      </c>
      <c r="K605" t="n">
        <v>0</v>
      </c>
      <c r="L605" t="n">
        <v>0</v>
      </c>
      <c r="M605" t="n">
        <v>0</v>
      </c>
      <c r="N605" t="n">
        <v>0</v>
      </c>
      <c r="O605" t="n">
        <v>0</v>
      </c>
      <c r="P605" t="n">
        <v>0</v>
      </c>
      <c r="Q605" t="n">
        <v>0</v>
      </c>
      <c r="R605" s="2" t="inlineStr"/>
    </row>
    <row r="606" ht="15" customHeight="1">
      <c r="A606" t="inlineStr">
        <is>
          <t>A 416-2023</t>
        </is>
      </c>
      <c r="B606" s="1" t="n">
        <v>44929</v>
      </c>
      <c r="C606" s="1" t="n">
        <v>45812</v>
      </c>
      <c r="D606" t="inlineStr">
        <is>
          <t>DALARNAS LÄN</t>
        </is>
      </c>
      <c r="E606" t="inlineStr">
        <is>
          <t>ÄLVDALEN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642-2023</t>
        </is>
      </c>
      <c r="B607" s="1" t="n">
        <v>44930</v>
      </c>
      <c r="C607" s="1" t="n">
        <v>45812</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558-2023</t>
        </is>
      </c>
      <c r="B608" s="1" t="n">
        <v>44930</v>
      </c>
      <c r="C608" s="1" t="n">
        <v>45812</v>
      </c>
      <c r="D608" t="inlineStr">
        <is>
          <t>DALARNAS LÄN</t>
        </is>
      </c>
      <c r="E608" t="inlineStr">
        <is>
          <t>ÄLVDALEN</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621-2023</t>
        </is>
      </c>
      <c r="B609" s="1" t="n">
        <v>44930</v>
      </c>
      <c r="C609" s="1" t="n">
        <v>45812</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786-2023</t>
        </is>
      </c>
      <c r="B610" s="1" t="n">
        <v>44931</v>
      </c>
      <c r="C610" s="1" t="n">
        <v>45812</v>
      </c>
      <c r="D610" t="inlineStr">
        <is>
          <t>DALARNAS LÄN</t>
        </is>
      </c>
      <c r="E610" t="inlineStr">
        <is>
          <t>ÄLVDALEN</t>
        </is>
      </c>
      <c r="F610" t="inlineStr">
        <is>
          <t>Allmännings- och besparingsskogar</t>
        </is>
      </c>
      <c r="G610" t="n">
        <v>5.3</v>
      </c>
      <c r="H610" t="n">
        <v>0</v>
      </c>
      <c r="I610" t="n">
        <v>0</v>
      </c>
      <c r="J610" t="n">
        <v>0</v>
      </c>
      <c r="K610" t="n">
        <v>0</v>
      </c>
      <c r="L610" t="n">
        <v>0</v>
      </c>
      <c r="M610" t="n">
        <v>0</v>
      </c>
      <c r="N610" t="n">
        <v>0</v>
      </c>
      <c r="O610" t="n">
        <v>0</v>
      </c>
      <c r="P610" t="n">
        <v>0</v>
      </c>
      <c r="Q610" t="n">
        <v>0</v>
      </c>
      <c r="R610" s="2" t="inlineStr"/>
    </row>
    <row r="611" ht="15" customHeight="1">
      <c r="A611" t="inlineStr">
        <is>
          <t>A 785-2023</t>
        </is>
      </c>
      <c r="B611" s="1" t="n">
        <v>44931</v>
      </c>
      <c r="C611" s="1" t="n">
        <v>45812</v>
      </c>
      <c r="D611" t="inlineStr">
        <is>
          <t>DALARNAS LÄN</t>
        </is>
      </c>
      <c r="E611" t="inlineStr">
        <is>
          <t>ÄLVDALEN</t>
        </is>
      </c>
      <c r="G611" t="n">
        <v>9.1</v>
      </c>
      <c r="H611" t="n">
        <v>0</v>
      </c>
      <c r="I611" t="n">
        <v>0</v>
      </c>
      <c r="J611" t="n">
        <v>0</v>
      </c>
      <c r="K611" t="n">
        <v>0</v>
      </c>
      <c r="L611" t="n">
        <v>0</v>
      </c>
      <c r="M611" t="n">
        <v>0</v>
      </c>
      <c r="N611" t="n">
        <v>0</v>
      </c>
      <c r="O611" t="n">
        <v>0</v>
      </c>
      <c r="P611" t="n">
        <v>0</v>
      </c>
      <c r="Q611" t="n">
        <v>0</v>
      </c>
      <c r="R611" s="2" t="inlineStr"/>
    </row>
    <row r="612" ht="15" customHeight="1">
      <c r="A612" t="inlineStr">
        <is>
          <t>A 1523-2023</t>
        </is>
      </c>
      <c r="B612" s="1" t="n">
        <v>44937</v>
      </c>
      <c r="C612" s="1" t="n">
        <v>45812</v>
      </c>
      <c r="D612" t="inlineStr">
        <is>
          <t>DALARNAS LÄN</t>
        </is>
      </c>
      <c r="E612" t="inlineStr">
        <is>
          <t>ÄLVDALEN</t>
        </is>
      </c>
      <c r="F612" t="inlineStr">
        <is>
          <t>Allmännings- och besparingsskogar</t>
        </is>
      </c>
      <c r="G612" t="n">
        <v>32.9</v>
      </c>
      <c r="H612" t="n">
        <v>0</v>
      </c>
      <c r="I612" t="n">
        <v>0</v>
      </c>
      <c r="J612" t="n">
        <v>0</v>
      </c>
      <c r="K612" t="n">
        <v>0</v>
      </c>
      <c r="L612" t="n">
        <v>0</v>
      </c>
      <c r="M612" t="n">
        <v>0</v>
      </c>
      <c r="N612" t="n">
        <v>0</v>
      </c>
      <c r="O612" t="n">
        <v>0</v>
      </c>
      <c r="P612" t="n">
        <v>0</v>
      </c>
      <c r="Q612" t="n">
        <v>0</v>
      </c>
      <c r="R612" s="2" t="inlineStr"/>
    </row>
    <row r="613" ht="15" customHeight="1">
      <c r="A613" t="inlineStr">
        <is>
          <t>A 2306-2023</t>
        </is>
      </c>
      <c r="B613" s="1" t="n">
        <v>44942</v>
      </c>
      <c r="C613" s="1" t="n">
        <v>45812</v>
      </c>
      <c r="D613" t="inlineStr">
        <is>
          <t>DALARNAS LÄN</t>
        </is>
      </c>
      <c r="E613" t="inlineStr">
        <is>
          <t>ÄLVDALEN</t>
        </is>
      </c>
      <c r="G613" t="n">
        <v>9.4</v>
      </c>
      <c r="H613" t="n">
        <v>0</v>
      </c>
      <c r="I613" t="n">
        <v>0</v>
      </c>
      <c r="J613" t="n">
        <v>0</v>
      </c>
      <c r="K613" t="n">
        <v>0</v>
      </c>
      <c r="L613" t="n">
        <v>0</v>
      </c>
      <c r="M613" t="n">
        <v>0</v>
      </c>
      <c r="N613" t="n">
        <v>0</v>
      </c>
      <c r="O613" t="n">
        <v>0</v>
      </c>
      <c r="P613" t="n">
        <v>0</v>
      </c>
      <c r="Q613" t="n">
        <v>0</v>
      </c>
      <c r="R613" s="2" t="inlineStr"/>
    </row>
    <row r="614" ht="15" customHeight="1">
      <c r="A614" t="inlineStr">
        <is>
          <t>A 2311-2023</t>
        </is>
      </c>
      <c r="B614" s="1" t="n">
        <v>44942</v>
      </c>
      <c r="C614" s="1" t="n">
        <v>45812</v>
      </c>
      <c r="D614" t="inlineStr">
        <is>
          <t>DALARNAS LÄN</t>
        </is>
      </c>
      <c r="E614" t="inlineStr">
        <is>
          <t>ÄLVDALEN</t>
        </is>
      </c>
      <c r="G614" t="n">
        <v>5.4</v>
      </c>
      <c r="H614" t="n">
        <v>0</v>
      </c>
      <c r="I614" t="n">
        <v>0</v>
      </c>
      <c r="J614" t="n">
        <v>0</v>
      </c>
      <c r="K614" t="n">
        <v>0</v>
      </c>
      <c r="L614" t="n">
        <v>0</v>
      </c>
      <c r="M614" t="n">
        <v>0</v>
      </c>
      <c r="N614" t="n">
        <v>0</v>
      </c>
      <c r="O614" t="n">
        <v>0</v>
      </c>
      <c r="P614" t="n">
        <v>0</v>
      </c>
      <c r="Q614" t="n">
        <v>0</v>
      </c>
      <c r="R614" s="2" t="inlineStr"/>
    </row>
    <row r="615" ht="15" customHeight="1">
      <c r="A615" t="inlineStr">
        <is>
          <t>A 3937-2023</t>
        </is>
      </c>
      <c r="B615" s="1" t="n">
        <v>44952</v>
      </c>
      <c r="C615" s="1" t="n">
        <v>45812</v>
      </c>
      <c r="D615" t="inlineStr">
        <is>
          <t>DALARNAS LÄN</t>
        </is>
      </c>
      <c r="E615" t="inlineStr">
        <is>
          <t>ÄLVDALEN</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4190-2023</t>
        </is>
      </c>
      <c r="B616" s="1" t="n">
        <v>44953</v>
      </c>
      <c r="C616" s="1" t="n">
        <v>45812</v>
      </c>
      <c r="D616" t="inlineStr">
        <is>
          <t>DALARNAS LÄN</t>
        </is>
      </c>
      <c r="E616" t="inlineStr">
        <is>
          <t>ÄLVDALEN</t>
        </is>
      </c>
      <c r="G616" t="n">
        <v>2.9</v>
      </c>
      <c r="H616" t="n">
        <v>0</v>
      </c>
      <c r="I616" t="n">
        <v>0</v>
      </c>
      <c r="J616" t="n">
        <v>0</v>
      </c>
      <c r="K616" t="n">
        <v>0</v>
      </c>
      <c r="L616" t="n">
        <v>0</v>
      </c>
      <c r="M616" t="n">
        <v>0</v>
      </c>
      <c r="N616" t="n">
        <v>0</v>
      </c>
      <c r="O616" t="n">
        <v>0</v>
      </c>
      <c r="P616" t="n">
        <v>0</v>
      </c>
      <c r="Q616" t="n">
        <v>0</v>
      </c>
      <c r="R616" s="2" t="inlineStr"/>
    </row>
    <row r="617" ht="15" customHeight="1">
      <c r="A617" t="inlineStr">
        <is>
          <t>A 4674-2023</t>
        </is>
      </c>
      <c r="B617" s="1" t="n">
        <v>44957</v>
      </c>
      <c r="C617" s="1" t="n">
        <v>45812</v>
      </c>
      <c r="D617" t="inlineStr">
        <is>
          <t>DALARNAS LÄN</t>
        </is>
      </c>
      <c r="E617" t="inlineStr">
        <is>
          <t>ÄLVDALEN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5826-2023</t>
        </is>
      </c>
      <c r="B618" s="1" t="n">
        <v>44963</v>
      </c>
      <c r="C618" s="1" t="n">
        <v>45812</v>
      </c>
      <c r="D618" t="inlineStr">
        <is>
          <t>DALARNAS LÄN</t>
        </is>
      </c>
      <c r="E618" t="inlineStr">
        <is>
          <t>ÄLVDALEN</t>
        </is>
      </c>
      <c r="G618" t="n">
        <v>1.7</v>
      </c>
      <c r="H618" t="n">
        <v>0</v>
      </c>
      <c r="I618" t="n">
        <v>0</v>
      </c>
      <c r="J618" t="n">
        <v>0</v>
      </c>
      <c r="K618" t="n">
        <v>0</v>
      </c>
      <c r="L618" t="n">
        <v>0</v>
      </c>
      <c r="M618" t="n">
        <v>0</v>
      </c>
      <c r="N618" t="n">
        <v>0</v>
      </c>
      <c r="O618" t="n">
        <v>0</v>
      </c>
      <c r="P618" t="n">
        <v>0</v>
      </c>
      <c r="Q618" t="n">
        <v>0</v>
      </c>
      <c r="R618" s="2" t="inlineStr"/>
    </row>
    <row r="619" ht="15" customHeight="1">
      <c r="A619" t="inlineStr">
        <is>
          <t>A 6072-2023</t>
        </is>
      </c>
      <c r="B619" s="1" t="n">
        <v>44964</v>
      </c>
      <c r="C619" s="1" t="n">
        <v>45812</v>
      </c>
      <c r="D619" t="inlineStr">
        <is>
          <t>DALARNAS LÄN</t>
        </is>
      </c>
      <c r="E619" t="inlineStr">
        <is>
          <t>ÄLVDALEN</t>
        </is>
      </c>
      <c r="G619" t="n">
        <v>1.1</v>
      </c>
      <c r="H619" t="n">
        <v>0</v>
      </c>
      <c r="I619" t="n">
        <v>0</v>
      </c>
      <c r="J619" t="n">
        <v>0</v>
      </c>
      <c r="K619" t="n">
        <v>0</v>
      </c>
      <c r="L619" t="n">
        <v>0</v>
      </c>
      <c r="M619" t="n">
        <v>0</v>
      </c>
      <c r="N619" t="n">
        <v>0</v>
      </c>
      <c r="O619" t="n">
        <v>0</v>
      </c>
      <c r="P619" t="n">
        <v>0</v>
      </c>
      <c r="Q619" t="n">
        <v>0</v>
      </c>
      <c r="R619" s="2" t="inlineStr"/>
    </row>
    <row r="620" ht="15" customHeight="1">
      <c r="A620" t="inlineStr">
        <is>
          <t>A 7836-2023</t>
        </is>
      </c>
      <c r="B620" s="1" t="n">
        <v>44973</v>
      </c>
      <c r="C620" s="1" t="n">
        <v>45812</v>
      </c>
      <c r="D620" t="inlineStr">
        <is>
          <t>DALARNAS LÄN</t>
        </is>
      </c>
      <c r="E620" t="inlineStr">
        <is>
          <t>ÄLVDALEN</t>
        </is>
      </c>
      <c r="G620" t="n">
        <v>6.1</v>
      </c>
      <c r="H620" t="n">
        <v>0</v>
      </c>
      <c r="I620" t="n">
        <v>0</v>
      </c>
      <c r="J620" t="n">
        <v>0</v>
      </c>
      <c r="K620" t="n">
        <v>0</v>
      </c>
      <c r="L620" t="n">
        <v>0</v>
      </c>
      <c r="M620" t="n">
        <v>0</v>
      </c>
      <c r="N620" t="n">
        <v>0</v>
      </c>
      <c r="O620" t="n">
        <v>0</v>
      </c>
      <c r="P620" t="n">
        <v>0</v>
      </c>
      <c r="Q620" t="n">
        <v>0</v>
      </c>
      <c r="R620" s="2" t="inlineStr"/>
    </row>
    <row r="621" ht="15" customHeight="1">
      <c r="A621" t="inlineStr">
        <is>
          <t>A 9801-2023</t>
        </is>
      </c>
      <c r="B621" s="1" t="n">
        <v>44978</v>
      </c>
      <c r="C621" s="1" t="n">
        <v>45812</v>
      </c>
      <c r="D621" t="inlineStr">
        <is>
          <t>DALARNAS LÄN</t>
        </is>
      </c>
      <c r="E621" t="inlineStr">
        <is>
          <t>ÄLVDALEN</t>
        </is>
      </c>
      <c r="G621" t="n">
        <v>7</v>
      </c>
      <c r="H621" t="n">
        <v>0</v>
      </c>
      <c r="I621" t="n">
        <v>0</v>
      </c>
      <c r="J621" t="n">
        <v>0</v>
      </c>
      <c r="K621" t="n">
        <v>0</v>
      </c>
      <c r="L621" t="n">
        <v>0</v>
      </c>
      <c r="M621" t="n">
        <v>0</v>
      </c>
      <c r="N621" t="n">
        <v>0</v>
      </c>
      <c r="O621" t="n">
        <v>0</v>
      </c>
      <c r="P621" t="n">
        <v>0</v>
      </c>
      <c r="Q621" t="n">
        <v>0</v>
      </c>
      <c r="R621" s="2" t="inlineStr"/>
    </row>
    <row r="622" ht="15" customHeight="1">
      <c r="A622" t="inlineStr">
        <is>
          <t>A 9719-2023</t>
        </is>
      </c>
      <c r="B622" s="1" t="n">
        <v>44978</v>
      </c>
      <c r="C622" s="1" t="n">
        <v>45812</v>
      </c>
      <c r="D622" t="inlineStr">
        <is>
          <t>DALARNAS LÄN</t>
        </is>
      </c>
      <c r="E622" t="inlineStr">
        <is>
          <t>ÄLVDALEN</t>
        </is>
      </c>
      <c r="G622" t="n">
        <v>20.2</v>
      </c>
      <c r="H622" t="n">
        <v>0</v>
      </c>
      <c r="I622" t="n">
        <v>0</v>
      </c>
      <c r="J622" t="n">
        <v>0</v>
      </c>
      <c r="K622" t="n">
        <v>0</v>
      </c>
      <c r="L622" t="n">
        <v>0</v>
      </c>
      <c r="M622" t="n">
        <v>0</v>
      </c>
      <c r="N622" t="n">
        <v>0</v>
      </c>
      <c r="O622" t="n">
        <v>0</v>
      </c>
      <c r="P622" t="n">
        <v>0</v>
      </c>
      <c r="Q622" t="n">
        <v>0</v>
      </c>
      <c r="R622" s="2" t="inlineStr"/>
    </row>
    <row r="623" ht="15" customHeight="1">
      <c r="A623" t="inlineStr">
        <is>
          <t>A 13124-2023</t>
        </is>
      </c>
      <c r="B623" s="1" t="n">
        <v>45002</v>
      </c>
      <c r="C623" s="1" t="n">
        <v>45812</v>
      </c>
      <c r="D623" t="inlineStr">
        <is>
          <t>DALARNAS LÄN</t>
        </is>
      </c>
      <c r="E623" t="inlineStr">
        <is>
          <t>ÄLVDALEN</t>
        </is>
      </c>
      <c r="G623" t="n">
        <v>4.5</v>
      </c>
      <c r="H623" t="n">
        <v>0</v>
      </c>
      <c r="I623" t="n">
        <v>0</v>
      </c>
      <c r="J623" t="n">
        <v>0</v>
      </c>
      <c r="K623" t="n">
        <v>0</v>
      </c>
      <c r="L623" t="n">
        <v>0</v>
      </c>
      <c r="M623" t="n">
        <v>0</v>
      </c>
      <c r="N623" t="n">
        <v>0</v>
      </c>
      <c r="O623" t="n">
        <v>0</v>
      </c>
      <c r="P623" t="n">
        <v>0</v>
      </c>
      <c r="Q623" t="n">
        <v>0</v>
      </c>
      <c r="R623" s="2" t="inlineStr"/>
    </row>
    <row r="624" ht="15" customHeight="1">
      <c r="A624" t="inlineStr">
        <is>
          <t>A 14938-2023</t>
        </is>
      </c>
      <c r="B624" s="1" t="n">
        <v>45015</v>
      </c>
      <c r="C624" s="1" t="n">
        <v>45812</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17051-2023</t>
        </is>
      </c>
      <c r="B625" s="1" t="n">
        <v>45034</v>
      </c>
      <c r="C625" s="1" t="n">
        <v>45812</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19182-2023</t>
        </is>
      </c>
      <c r="B626" s="1" t="n">
        <v>45048</v>
      </c>
      <c r="C626" s="1" t="n">
        <v>45812</v>
      </c>
      <c r="D626" t="inlineStr">
        <is>
          <t>DALARNAS LÄN</t>
        </is>
      </c>
      <c r="E626" t="inlineStr">
        <is>
          <t>ÄLVDALEN</t>
        </is>
      </c>
      <c r="G626" t="n">
        <v>0.6</v>
      </c>
      <c r="H626" t="n">
        <v>0</v>
      </c>
      <c r="I626" t="n">
        <v>0</v>
      </c>
      <c r="J626" t="n">
        <v>0</v>
      </c>
      <c r="K626" t="n">
        <v>0</v>
      </c>
      <c r="L626" t="n">
        <v>0</v>
      </c>
      <c r="M626" t="n">
        <v>0</v>
      </c>
      <c r="N626" t="n">
        <v>0</v>
      </c>
      <c r="O626" t="n">
        <v>0</v>
      </c>
      <c r="P626" t="n">
        <v>0</v>
      </c>
      <c r="Q626" t="n">
        <v>0</v>
      </c>
      <c r="R626" s="2" t="inlineStr"/>
    </row>
    <row r="627" ht="15" customHeight="1">
      <c r="A627" t="inlineStr">
        <is>
          <t>A 19546-2023</t>
        </is>
      </c>
      <c r="B627" s="1" t="n">
        <v>45050</v>
      </c>
      <c r="C627" s="1" t="n">
        <v>45812</v>
      </c>
      <c r="D627" t="inlineStr">
        <is>
          <t>DALARNAS LÄN</t>
        </is>
      </c>
      <c r="E627" t="inlineStr">
        <is>
          <t>ÄLVDALEN</t>
        </is>
      </c>
      <c r="G627" t="n">
        <v>5.9</v>
      </c>
      <c r="H627" t="n">
        <v>0</v>
      </c>
      <c r="I627" t="n">
        <v>0</v>
      </c>
      <c r="J627" t="n">
        <v>0</v>
      </c>
      <c r="K627" t="n">
        <v>0</v>
      </c>
      <c r="L627" t="n">
        <v>0</v>
      </c>
      <c r="M627" t="n">
        <v>0</v>
      </c>
      <c r="N627" t="n">
        <v>0</v>
      </c>
      <c r="O627" t="n">
        <v>0</v>
      </c>
      <c r="P627" t="n">
        <v>0</v>
      </c>
      <c r="Q627" t="n">
        <v>0</v>
      </c>
      <c r="R627" s="2" t="inlineStr"/>
    </row>
    <row r="628" ht="15" customHeight="1">
      <c r="A628" t="inlineStr">
        <is>
          <t>A 19992-2023</t>
        </is>
      </c>
      <c r="B628" s="1" t="n">
        <v>45054</v>
      </c>
      <c r="C628" s="1" t="n">
        <v>45812</v>
      </c>
      <c r="D628" t="inlineStr">
        <is>
          <t>DALARNAS LÄN</t>
        </is>
      </c>
      <c r="E628" t="inlineStr">
        <is>
          <t>ÄLVDALEN</t>
        </is>
      </c>
      <c r="G628" t="n">
        <v>3.9</v>
      </c>
      <c r="H628" t="n">
        <v>0</v>
      </c>
      <c r="I628" t="n">
        <v>0</v>
      </c>
      <c r="J628" t="n">
        <v>0</v>
      </c>
      <c r="K628" t="n">
        <v>0</v>
      </c>
      <c r="L628" t="n">
        <v>0</v>
      </c>
      <c r="M628" t="n">
        <v>0</v>
      </c>
      <c r="N628" t="n">
        <v>0</v>
      </c>
      <c r="O628" t="n">
        <v>0</v>
      </c>
      <c r="P628" t="n">
        <v>0</v>
      </c>
      <c r="Q628" t="n">
        <v>0</v>
      </c>
      <c r="R628" s="2" t="inlineStr"/>
    </row>
    <row r="629" ht="15" customHeight="1">
      <c r="A629" t="inlineStr">
        <is>
          <t>A 20551-2023</t>
        </is>
      </c>
      <c r="B629" s="1" t="n">
        <v>45057</v>
      </c>
      <c r="C629" s="1" t="n">
        <v>45812</v>
      </c>
      <c r="D629" t="inlineStr">
        <is>
          <t>DALARNAS LÄN</t>
        </is>
      </c>
      <c r="E629" t="inlineStr">
        <is>
          <t>ÄLVDALEN</t>
        </is>
      </c>
      <c r="G629" t="n">
        <v>29.8</v>
      </c>
      <c r="H629" t="n">
        <v>0</v>
      </c>
      <c r="I629" t="n">
        <v>0</v>
      </c>
      <c r="J629" t="n">
        <v>0</v>
      </c>
      <c r="K629" t="n">
        <v>0</v>
      </c>
      <c r="L629" t="n">
        <v>0</v>
      </c>
      <c r="M629" t="n">
        <v>0</v>
      </c>
      <c r="N629" t="n">
        <v>0</v>
      </c>
      <c r="O629" t="n">
        <v>0</v>
      </c>
      <c r="P629" t="n">
        <v>0</v>
      </c>
      <c r="Q629" t="n">
        <v>0</v>
      </c>
      <c r="R629" s="2" t="inlineStr"/>
    </row>
    <row r="630" ht="15" customHeight="1">
      <c r="A630" t="inlineStr">
        <is>
          <t>A 21936-2023</t>
        </is>
      </c>
      <c r="B630" s="1" t="n">
        <v>45068</v>
      </c>
      <c r="C630" s="1" t="n">
        <v>45812</v>
      </c>
      <c r="D630" t="inlineStr">
        <is>
          <t>DALARNAS LÄN</t>
        </is>
      </c>
      <c r="E630" t="inlineStr">
        <is>
          <t>ÄLVDALEN</t>
        </is>
      </c>
      <c r="F630" t="inlineStr">
        <is>
          <t>Bergvik skog väst AB</t>
        </is>
      </c>
      <c r="G630" t="n">
        <v>7.5</v>
      </c>
      <c r="H630" t="n">
        <v>0</v>
      </c>
      <c r="I630" t="n">
        <v>0</v>
      </c>
      <c r="J630" t="n">
        <v>0</v>
      </c>
      <c r="K630" t="n">
        <v>0</v>
      </c>
      <c r="L630" t="n">
        <v>0</v>
      </c>
      <c r="M630" t="n">
        <v>0</v>
      </c>
      <c r="N630" t="n">
        <v>0</v>
      </c>
      <c r="O630" t="n">
        <v>0</v>
      </c>
      <c r="P630" t="n">
        <v>0</v>
      </c>
      <c r="Q630" t="n">
        <v>0</v>
      </c>
      <c r="R630" s="2" t="inlineStr"/>
    </row>
    <row r="631" ht="15" customHeight="1">
      <c r="A631" t="inlineStr">
        <is>
          <t>A 22792-2023</t>
        </is>
      </c>
      <c r="B631" s="1" t="n">
        <v>45072</v>
      </c>
      <c r="C631" s="1" t="n">
        <v>45812</v>
      </c>
      <c r="D631" t="inlineStr">
        <is>
          <t>DALARNAS LÄN</t>
        </is>
      </c>
      <c r="E631" t="inlineStr">
        <is>
          <t>ÄLVDALEN</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22847-2023</t>
        </is>
      </c>
      <c r="B632" s="1" t="n">
        <v>45072</v>
      </c>
      <c r="C632" s="1" t="n">
        <v>45812</v>
      </c>
      <c r="D632" t="inlineStr">
        <is>
          <t>DALARNAS LÄN</t>
        </is>
      </c>
      <c r="E632" t="inlineStr">
        <is>
          <t>ÄLVDALEN</t>
        </is>
      </c>
      <c r="F632" t="inlineStr">
        <is>
          <t>Bergvik skog väst AB</t>
        </is>
      </c>
      <c r="G632" t="n">
        <v>8.1</v>
      </c>
      <c r="H632" t="n">
        <v>0</v>
      </c>
      <c r="I632" t="n">
        <v>0</v>
      </c>
      <c r="J632" t="n">
        <v>0</v>
      </c>
      <c r="K632" t="n">
        <v>0</v>
      </c>
      <c r="L632" t="n">
        <v>0</v>
      </c>
      <c r="M632" t="n">
        <v>0</v>
      </c>
      <c r="N632" t="n">
        <v>0</v>
      </c>
      <c r="O632" t="n">
        <v>0</v>
      </c>
      <c r="P632" t="n">
        <v>0</v>
      </c>
      <c r="Q632" t="n">
        <v>0</v>
      </c>
      <c r="R632" s="2" t="inlineStr"/>
    </row>
    <row r="633" ht="15" customHeight="1">
      <c r="A633" t="inlineStr">
        <is>
          <t>A 23129-2023</t>
        </is>
      </c>
      <c r="B633" s="1" t="n">
        <v>45075</v>
      </c>
      <c r="C633" s="1" t="n">
        <v>45812</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23369-2023</t>
        </is>
      </c>
      <c r="B634" s="1" t="n">
        <v>45076</v>
      </c>
      <c r="C634" s="1" t="n">
        <v>45812</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23570-2023</t>
        </is>
      </c>
      <c r="B635" s="1" t="n">
        <v>45077</v>
      </c>
      <c r="C635" s="1" t="n">
        <v>45812</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23565-2023</t>
        </is>
      </c>
      <c r="B636" s="1" t="n">
        <v>45077</v>
      </c>
      <c r="C636" s="1" t="n">
        <v>45812</v>
      </c>
      <c r="D636" t="inlineStr">
        <is>
          <t>DALARNAS LÄN</t>
        </is>
      </c>
      <c r="E636" t="inlineStr">
        <is>
          <t>ÄLVDALEN</t>
        </is>
      </c>
      <c r="G636" t="n">
        <v>3.6</v>
      </c>
      <c r="H636" t="n">
        <v>0</v>
      </c>
      <c r="I636" t="n">
        <v>0</v>
      </c>
      <c r="J636" t="n">
        <v>0</v>
      </c>
      <c r="K636" t="n">
        <v>0</v>
      </c>
      <c r="L636" t="n">
        <v>0</v>
      </c>
      <c r="M636" t="n">
        <v>0</v>
      </c>
      <c r="N636" t="n">
        <v>0</v>
      </c>
      <c r="O636" t="n">
        <v>0</v>
      </c>
      <c r="P636" t="n">
        <v>0</v>
      </c>
      <c r="Q636" t="n">
        <v>0</v>
      </c>
      <c r="R636" s="2" t="inlineStr"/>
    </row>
    <row r="637" ht="15" customHeight="1">
      <c r="A637" t="inlineStr">
        <is>
          <t>A 23970-2023</t>
        </is>
      </c>
      <c r="B637" s="1" t="n">
        <v>45078</v>
      </c>
      <c r="C637" s="1" t="n">
        <v>45812</v>
      </c>
      <c r="D637" t="inlineStr">
        <is>
          <t>DALARNAS LÄN</t>
        </is>
      </c>
      <c r="E637" t="inlineStr">
        <is>
          <t>ÄLVDALEN</t>
        </is>
      </c>
      <c r="F637" t="inlineStr">
        <is>
          <t>Allmännings- och besparingsskogar</t>
        </is>
      </c>
      <c r="G637" t="n">
        <v>3.6</v>
      </c>
      <c r="H637" t="n">
        <v>0</v>
      </c>
      <c r="I637" t="n">
        <v>0</v>
      </c>
      <c r="J637" t="n">
        <v>0</v>
      </c>
      <c r="K637" t="n">
        <v>0</v>
      </c>
      <c r="L637" t="n">
        <v>0</v>
      </c>
      <c r="M637" t="n">
        <v>0</v>
      </c>
      <c r="N637" t="n">
        <v>0</v>
      </c>
      <c r="O637" t="n">
        <v>0</v>
      </c>
      <c r="P637" t="n">
        <v>0</v>
      </c>
      <c r="Q637" t="n">
        <v>0</v>
      </c>
      <c r="R637" s="2" t="inlineStr"/>
    </row>
    <row r="638" ht="15" customHeight="1">
      <c r="A638" t="inlineStr">
        <is>
          <t>A 24369-2023</t>
        </is>
      </c>
      <c r="B638" s="1" t="n">
        <v>45082</v>
      </c>
      <c r="C638" s="1" t="n">
        <v>45812</v>
      </c>
      <c r="D638" t="inlineStr">
        <is>
          <t>DALARNAS LÄN</t>
        </is>
      </c>
      <c r="E638" t="inlineStr">
        <is>
          <t>ÄLVDALEN</t>
        </is>
      </c>
      <c r="F638" t="inlineStr">
        <is>
          <t>Allmännings- och besparingsskogar</t>
        </is>
      </c>
      <c r="G638" t="n">
        <v>5.4</v>
      </c>
      <c r="H638" t="n">
        <v>0</v>
      </c>
      <c r="I638" t="n">
        <v>0</v>
      </c>
      <c r="J638" t="n">
        <v>0</v>
      </c>
      <c r="K638" t="n">
        <v>0</v>
      </c>
      <c r="L638" t="n">
        <v>0</v>
      </c>
      <c r="M638" t="n">
        <v>0</v>
      </c>
      <c r="N638" t="n">
        <v>0</v>
      </c>
      <c r="O638" t="n">
        <v>0</v>
      </c>
      <c r="P638" t="n">
        <v>0</v>
      </c>
      <c r="Q638" t="n">
        <v>0</v>
      </c>
      <c r="R638" s="2" t="inlineStr"/>
    </row>
    <row r="639" ht="15" customHeight="1">
      <c r="A639" t="inlineStr">
        <is>
          <t>A 24615-2023</t>
        </is>
      </c>
      <c r="B639" s="1" t="n">
        <v>45084</v>
      </c>
      <c r="C639" s="1" t="n">
        <v>45812</v>
      </c>
      <c r="D639" t="inlineStr">
        <is>
          <t>DALARNAS LÄN</t>
        </is>
      </c>
      <c r="E639" t="inlineStr">
        <is>
          <t>ÄLVDALEN</t>
        </is>
      </c>
      <c r="G639" t="n">
        <v>9.6</v>
      </c>
      <c r="H639" t="n">
        <v>0</v>
      </c>
      <c r="I639" t="n">
        <v>0</v>
      </c>
      <c r="J639" t="n">
        <v>0</v>
      </c>
      <c r="K639" t="n">
        <v>0</v>
      </c>
      <c r="L639" t="n">
        <v>0</v>
      </c>
      <c r="M639" t="n">
        <v>0</v>
      </c>
      <c r="N639" t="n">
        <v>0</v>
      </c>
      <c r="O639" t="n">
        <v>0</v>
      </c>
      <c r="P639" t="n">
        <v>0</v>
      </c>
      <c r="Q639" t="n">
        <v>0</v>
      </c>
      <c r="R639" s="2" t="inlineStr"/>
    </row>
    <row r="640" ht="15" customHeight="1">
      <c r="A640" t="inlineStr">
        <is>
          <t>A 24762-2023</t>
        </is>
      </c>
      <c r="B640" s="1" t="n">
        <v>45084</v>
      </c>
      <c r="C640" s="1" t="n">
        <v>45812</v>
      </c>
      <c r="D640" t="inlineStr">
        <is>
          <t>DALARNAS LÄN</t>
        </is>
      </c>
      <c r="E640" t="inlineStr">
        <is>
          <t>ÄLVDALEN</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24718-2023</t>
        </is>
      </c>
      <c r="B641" s="1" t="n">
        <v>45084</v>
      </c>
      <c r="C641" s="1" t="n">
        <v>45812</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24859-2023</t>
        </is>
      </c>
      <c r="B642" s="1" t="n">
        <v>45085</v>
      </c>
      <c r="C642" s="1" t="n">
        <v>45812</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24934-2023</t>
        </is>
      </c>
      <c r="B643" s="1" t="n">
        <v>45085</v>
      </c>
      <c r="C643" s="1" t="n">
        <v>45812</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25083-2023</t>
        </is>
      </c>
      <c r="B644" s="1" t="n">
        <v>45086</v>
      </c>
      <c r="C644" s="1" t="n">
        <v>45812</v>
      </c>
      <c r="D644" t="inlineStr">
        <is>
          <t>DALARNAS LÄN</t>
        </is>
      </c>
      <c r="E644" t="inlineStr">
        <is>
          <t>ÄLVDALEN</t>
        </is>
      </c>
      <c r="F644" t="inlineStr">
        <is>
          <t>Sveaskog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25085-2023</t>
        </is>
      </c>
      <c r="B645" s="1" t="n">
        <v>45086</v>
      </c>
      <c r="C645" s="1" t="n">
        <v>45812</v>
      </c>
      <c r="D645" t="inlineStr">
        <is>
          <t>DALARNAS LÄN</t>
        </is>
      </c>
      <c r="E645" t="inlineStr">
        <is>
          <t>ÄLVDALEN</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26726-2023</t>
        </is>
      </c>
      <c r="B646" s="1" t="n">
        <v>45093</v>
      </c>
      <c r="C646" s="1" t="n">
        <v>45812</v>
      </c>
      <c r="D646" t="inlineStr">
        <is>
          <t>DALARNAS LÄN</t>
        </is>
      </c>
      <c r="E646" t="inlineStr">
        <is>
          <t>ÄLVDALEN</t>
        </is>
      </c>
      <c r="F646" t="inlineStr">
        <is>
          <t>Allmännings- och besparingsskogar</t>
        </is>
      </c>
      <c r="G646" t="n">
        <v>31.3</v>
      </c>
      <c r="H646" t="n">
        <v>0</v>
      </c>
      <c r="I646" t="n">
        <v>0</v>
      </c>
      <c r="J646" t="n">
        <v>0</v>
      </c>
      <c r="K646" t="n">
        <v>0</v>
      </c>
      <c r="L646" t="n">
        <v>0</v>
      </c>
      <c r="M646" t="n">
        <v>0</v>
      </c>
      <c r="N646" t="n">
        <v>0</v>
      </c>
      <c r="O646" t="n">
        <v>0</v>
      </c>
      <c r="P646" t="n">
        <v>0</v>
      </c>
      <c r="Q646" t="n">
        <v>0</v>
      </c>
      <c r="R646" s="2" t="inlineStr"/>
    </row>
    <row r="647" ht="15" customHeight="1">
      <c r="A647" t="inlineStr">
        <is>
          <t>A 26953-2023</t>
        </is>
      </c>
      <c r="B647" s="1" t="n">
        <v>45093</v>
      </c>
      <c r="C647" s="1" t="n">
        <v>45812</v>
      </c>
      <c r="D647" t="inlineStr">
        <is>
          <t>DALARNAS LÄN</t>
        </is>
      </c>
      <c r="E647" t="inlineStr">
        <is>
          <t>ÄLVDALEN</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27221-2023</t>
        </is>
      </c>
      <c r="B648" s="1" t="n">
        <v>45096</v>
      </c>
      <c r="C648" s="1" t="n">
        <v>45812</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27615-2023</t>
        </is>
      </c>
      <c r="B649" s="1" t="n">
        <v>45097</v>
      </c>
      <c r="C649" s="1" t="n">
        <v>45812</v>
      </c>
      <c r="D649" t="inlineStr">
        <is>
          <t>DALARNAS LÄN</t>
        </is>
      </c>
      <c r="E649" t="inlineStr">
        <is>
          <t>ÄLVDALEN</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28216-2023</t>
        </is>
      </c>
      <c r="B650" s="1" t="n">
        <v>45099</v>
      </c>
      <c r="C650" s="1" t="n">
        <v>45812</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28664-2023</t>
        </is>
      </c>
      <c r="B651" s="1" t="n">
        <v>45103</v>
      </c>
      <c r="C651" s="1" t="n">
        <v>45812</v>
      </c>
      <c r="D651" t="inlineStr">
        <is>
          <t>DALARNAS LÄN</t>
        </is>
      </c>
      <c r="E651" t="inlineStr">
        <is>
          <t>ÄLVDALEN</t>
        </is>
      </c>
      <c r="F651" t="inlineStr">
        <is>
          <t>Allmännings- och besparingsskogar</t>
        </is>
      </c>
      <c r="G651" t="n">
        <v>4.2</v>
      </c>
      <c r="H651" t="n">
        <v>0</v>
      </c>
      <c r="I651" t="n">
        <v>0</v>
      </c>
      <c r="J651" t="n">
        <v>0</v>
      </c>
      <c r="K651" t="n">
        <v>0</v>
      </c>
      <c r="L651" t="n">
        <v>0</v>
      </c>
      <c r="M651" t="n">
        <v>0</v>
      </c>
      <c r="N651" t="n">
        <v>0</v>
      </c>
      <c r="O651" t="n">
        <v>0</v>
      </c>
      <c r="P651" t="n">
        <v>0</v>
      </c>
      <c r="Q651" t="n">
        <v>0</v>
      </c>
      <c r="R651" s="2" t="inlineStr"/>
    </row>
    <row r="652" ht="15" customHeight="1">
      <c r="A652" t="inlineStr">
        <is>
          <t>A 28778-2023</t>
        </is>
      </c>
      <c r="B652" s="1" t="n">
        <v>45104</v>
      </c>
      <c r="C652" s="1" t="n">
        <v>45812</v>
      </c>
      <c r="D652" t="inlineStr">
        <is>
          <t>DALARNAS LÄN</t>
        </is>
      </c>
      <c r="E652" t="inlineStr">
        <is>
          <t>ÄLVDALEN</t>
        </is>
      </c>
      <c r="F652" t="inlineStr">
        <is>
          <t>Allmännings- och besparingsskogar</t>
        </is>
      </c>
      <c r="G652" t="n">
        <v>4.7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v>
      </c>
      <c r="C653" s="1" t="n">
        <v>45812</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29164-2023</t>
        </is>
      </c>
      <c r="B654" s="1" t="n">
        <v>45105</v>
      </c>
      <c r="C654" s="1" t="n">
        <v>45812</v>
      </c>
      <c r="D654" t="inlineStr">
        <is>
          <t>DALARNAS LÄN</t>
        </is>
      </c>
      <c r="E654" t="inlineStr">
        <is>
          <t>ÄLVDALEN</t>
        </is>
      </c>
      <c r="F654" t="inlineStr">
        <is>
          <t>Allmännings- och besparingsskogar</t>
        </is>
      </c>
      <c r="G654" t="n">
        <v>1</v>
      </c>
      <c r="H654" t="n">
        <v>0</v>
      </c>
      <c r="I654" t="n">
        <v>0</v>
      </c>
      <c r="J654" t="n">
        <v>0</v>
      </c>
      <c r="K654" t="n">
        <v>0</v>
      </c>
      <c r="L654" t="n">
        <v>0</v>
      </c>
      <c r="M654" t="n">
        <v>0</v>
      </c>
      <c r="N654" t="n">
        <v>0</v>
      </c>
      <c r="O654" t="n">
        <v>0</v>
      </c>
      <c r="P654" t="n">
        <v>0</v>
      </c>
      <c r="Q654" t="n">
        <v>0</v>
      </c>
      <c r="R654" s="2" t="inlineStr"/>
    </row>
    <row r="655" ht="15" customHeight="1">
      <c r="A655" t="inlineStr">
        <is>
          <t>A 29119-2023</t>
        </is>
      </c>
      <c r="B655" s="1" t="n">
        <v>45105</v>
      </c>
      <c r="C655" s="1" t="n">
        <v>45812</v>
      </c>
      <c r="D655" t="inlineStr">
        <is>
          <t>DALARNAS LÄN</t>
        </is>
      </c>
      <c r="E655" t="inlineStr">
        <is>
          <t>ÄLVDALEN</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29251-2023</t>
        </is>
      </c>
      <c r="B656" s="1" t="n">
        <v>45105</v>
      </c>
      <c r="C656" s="1" t="n">
        <v>45812</v>
      </c>
      <c r="D656" t="inlineStr">
        <is>
          <t>DALARNAS LÄN</t>
        </is>
      </c>
      <c r="E656" t="inlineStr">
        <is>
          <t>ÄLVDALEN</t>
        </is>
      </c>
      <c r="F656" t="inlineStr">
        <is>
          <t>Allmännings- och besparingsskogar</t>
        </is>
      </c>
      <c r="G656" t="n">
        <v>18.6</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45812</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29770-2023</t>
        </is>
      </c>
      <c r="B658" s="1" t="n">
        <v>45107</v>
      </c>
      <c r="C658" s="1" t="n">
        <v>45812</v>
      </c>
      <c r="D658" t="inlineStr">
        <is>
          <t>DALARNAS LÄN</t>
        </is>
      </c>
      <c r="E658" t="inlineStr">
        <is>
          <t>ÄLVDALEN</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32031-2023</t>
        </is>
      </c>
      <c r="B659" s="1" t="n">
        <v>45107</v>
      </c>
      <c r="C659" s="1" t="n">
        <v>45812</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32104-2023</t>
        </is>
      </c>
      <c r="B660" s="1" t="n">
        <v>45107</v>
      </c>
      <c r="C660" s="1" t="n">
        <v>45812</v>
      </c>
      <c r="D660" t="inlineStr">
        <is>
          <t>DALARNAS LÄN</t>
        </is>
      </c>
      <c r="E660" t="inlineStr">
        <is>
          <t>ÄLVDALEN</t>
        </is>
      </c>
      <c r="G660" t="n">
        <v>4.6</v>
      </c>
      <c r="H660" t="n">
        <v>0</v>
      </c>
      <c r="I660" t="n">
        <v>0</v>
      </c>
      <c r="J660" t="n">
        <v>0</v>
      </c>
      <c r="K660" t="n">
        <v>0</v>
      </c>
      <c r="L660" t="n">
        <v>0</v>
      </c>
      <c r="M660" t="n">
        <v>0</v>
      </c>
      <c r="N660" t="n">
        <v>0</v>
      </c>
      <c r="O660" t="n">
        <v>0</v>
      </c>
      <c r="P660" t="n">
        <v>0</v>
      </c>
      <c r="Q660" t="n">
        <v>0</v>
      </c>
      <c r="R660" s="2" t="inlineStr"/>
    </row>
    <row r="661" ht="15" customHeight="1">
      <c r="A661" t="inlineStr">
        <is>
          <t>A 30217-2023</t>
        </is>
      </c>
      <c r="B661" s="1" t="n">
        <v>45110</v>
      </c>
      <c r="C661" s="1" t="n">
        <v>45812</v>
      </c>
      <c r="D661" t="inlineStr">
        <is>
          <t>DALARNAS LÄN</t>
        </is>
      </c>
      <c r="E661" t="inlineStr">
        <is>
          <t>ÄLVDALEN</t>
        </is>
      </c>
      <c r="F661" t="inlineStr">
        <is>
          <t>Allmännings- och besparingsskogar</t>
        </is>
      </c>
      <c r="G661" t="n">
        <v>1.5</v>
      </c>
      <c r="H661" t="n">
        <v>0</v>
      </c>
      <c r="I661" t="n">
        <v>0</v>
      </c>
      <c r="J661" t="n">
        <v>0</v>
      </c>
      <c r="K661" t="n">
        <v>0</v>
      </c>
      <c r="L661" t="n">
        <v>0</v>
      </c>
      <c r="M661" t="n">
        <v>0</v>
      </c>
      <c r="N661" t="n">
        <v>0</v>
      </c>
      <c r="O661" t="n">
        <v>0</v>
      </c>
      <c r="P661" t="n">
        <v>0</v>
      </c>
      <c r="Q661" t="n">
        <v>0</v>
      </c>
      <c r="R661" s="2" t="inlineStr"/>
    </row>
    <row r="662" ht="15" customHeight="1">
      <c r="A662" t="inlineStr">
        <is>
          <t>A 30232-2023</t>
        </is>
      </c>
      <c r="B662" s="1" t="n">
        <v>45110</v>
      </c>
      <c r="C662" s="1" t="n">
        <v>45812</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30155-2023</t>
        </is>
      </c>
      <c r="B663" s="1" t="n">
        <v>45110</v>
      </c>
      <c r="C663" s="1" t="n">
        <v>45812</v>
      </c>
      <c r="D663" t="inlineStr">
        <is>
          <t>DALARNAS LÄN</t>
        </is>
      </c>
      <c r="E663" t="inlineStr">
        <is>
          <t>ÄLVDALEN</t>
        </is>
      </c>
      <c r="F663" t="inlineStr">
        <is>
          <t>Allmännings- och besparingsskogar</t>
        </is>
      </c>
      <c r="G663" t="n">
        <v>24.1</v>
      </c>
      <c r="H663" t="n">
        <v>0</v>
      </c>
      <c r="I663" t="n">
        <v>0</v>
      </c>
      <c r="J663" t="n">
        <v>0</v>
      </c>
      <c r="K663" t="n">
        <v>0</v>
      </c>
      <c r="L663" t="n">
        <v>0</v>
      </c>
      <c r="M663" t="n">
        <v>0</v>
      </c>
      <c r="N663" t="n">
        <v>0</v>
      </c>
      <c r="O663" t="n">
        <v>0</v>
      </c>
      <c r="P663" t="n">
        <v>0</v>
      </c>
      <c r="Q663" t="n">
        <v>0</v>
      </c>
      <c r="R663" s="2" t="inlineStr"/>
    </row>
    <row r="664" ht="15" customHeight="1">
      <c r="A664" t="inlineStr">
        <is>
          <t>A 30225-2023</t>
        </is>
      </c>
      <c r="B664" s="1" t="n">
        <v>45110</v>
      </c>
      <c r="C664" s="1" t="n">
        <v>45812</v>
      </c>
      <c r="D664" t="inlineStr">
        <is>
          <t>DALARNAS LÄN</t>
        </is>
      </c>
      <c r="E664" t="inlineStr">
        <is>
          <t>ÄLVDALEN</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30226-2023</t>
        </is>
      </c>
      <c r="B665" s="1" t="n">
        <v>45110</v>
      </c>
      <c r="C665" s="1" t="n">
        <v>45812</v>
      </c>
      <c r="D665" t="inlineStr">
        <is>
          <t>DALARNAS LÄN</t>
        </is>
      </c>
      <c r="E665" t="inlineStr">
        <is>
          <t>ÄLVDALEN</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30519-2023</t>
        </is>
      </c>
      <c r="B666" s="1" t="n">
        <v>45111</v>
      </c>
      <c r="C666" s="1" t="n">
        <v>45812</v>
      </c>
      <c r="D666" t="inlineStr">
        <is>
          <t>DALARNAS LÄN</t>
        </is>
      </c>
      <c r="E666" t="inlineStr">
        <is>
          <t>ÄLVDALEN</t>
        </is>
      </c>
      <c r="F666" t="inlineStr">
        <is>
          <t>Allmännings- och besparingsskogar</t>
        </is>
      </c>
      <c r="G666" t="n">
        <v>39.6</v>
      </c>
      <c r="H666" t="n">
        <v>0</v>
      </c>
      <c r="I666" t="n">
        <v>0</v>
      </c>
      <c r="J666" t="n">
        <v>0</v>
      </c>
      <c r="K666" t="n">
        <v>0</v>
      </c>
      <c r="L666" t="n">
        <v>0</v>
      </c>
      <c r="M666" t="n">
        <v>0</v>
      </c>
      <c r="N666" t="n">
        <v>0</v>
      </c>
      <c r="O666" t="n">
        <v>0</v>
      </c>
      <c r="P666" t="n">
        <v>0</v>
      </c>
      <c r="Q666" t="n">
        <v>0</v>
      </c>
      <c r="R666" s="2" t="inlineStr"/>
    </row>
    <row r="667" ht="15" customHeight="1">
      <c r="A667" t="inlineStr">
        <is>
          <t>A 30742-2023</t>
        </is>
      </c>
      <c r="B667" s="1" t="n">
        <v>45112</v>
      </c>
      <c r="C667" s="1" t="n">
        <v>45812</v>
      </c>
      <c r="D667" t="inlineStr">
        <is>
          <t>DALARNAS LÄN</t>
        </is>
      </c>
      <c r="E667" t="inlineStr">
        <is>
          <t>ÄLVDALEN</t>
        </is>
      </c>
      <c r="F667" t="inlineStr">
        <is>
          <t>Bergvik skog väst AB</t>
        </is>
      </c>
      <c r="G667" t="n">
        <v>6.4</v>
      </c>
      <c r="H667" t="n">
        <v>0</v>
      </c>
      <c r="I667" t="n">
        <v>0</v>
      </c>
      <c r="J667" t="n">
        <v>0</v>
      </c>
      <c r="K667" t="n">
        <v>0</v>
      </c>
      <c r="L667" t="n">
        <v>0</v>
      </c>
      <c r="M667" t="n">
        <v>0</v>
      </c>
      <c r="N667" t="n">
        <v>0</v>
      </c>
      <c r="O667" t="n">
        <v>0</v>
      </c>
      <c r="P667" t="n">
        <v>0</v>
      </c>
      <c r="Q667" t="n">
        <v>0</v>
      </c>
      <c r="R667" s="2" t="inlineStr"/>
    </row>
    <row r="668" ht="15" customHeight="1">
      <c r="A668" t="inlineStr">
        <is>
          <t>A 32886-2023</t>
        </is>
      </c>
      <c r="B668" s="1" t="n">
        <v>45112</v>
      </c>
      <c r="C668" s="1" t="n">
        <v>45812</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30985-2023</t>
        </is>
      </c>
      <c r="B669" s="1" t="n">
        <v>45113</v>
      </c>
      <c r="C669" s="1" t="n">
        <v>45812</v>
      </c>
      <c r="D669" t="inlineStr">
        <is>
          <t>DALARNAS LÄN</t>
        </is>
      </c>
      <c r="E669" t="inlineStr">
        <is>
          <t>ÄLVDALEN</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30902-2023</t>
        </is>
      </c>
      <c r="B670" s="1" t="n">
        <v>45113</v>
      </c>
      <c r="C670" s="1" t="n">
        <v>45812</v>
      </c>
      <c r="D670" t="inlineStr">
        <is>
          <t>DALARNAS LÄN</t>
        </is>
      </c>
      <c r="E670" t="inlineStr">
        <is>
          <t>ÄLVDALEN</t>
        </is>
      </c>
      <c r="F670" t="inlineStr">
        <is>
          <t>Allmännings- och besparingsskogar</t>
        </is>
      </c>
      <c r="G670" t="n">
        <v>1.9</v>
      </c>
      <c r="H670" t="n">
        <v>0</v>
      </c>
      <c r="I670" t="n">
        <v>0</v>
      </c>
      <c r="J670" t="n">
        <v>0</v>
      </c>
      <c r="K670" t="n">
        <v>0</v>
      </c>
      <c r="L670" t="n">
        <v>0</v>
      </c>
      <c r="M670" t="n">
        <v>0</v>
      </c>
      <c r="N670" t="n">
        <v>0</v>
      </c>
      <c r="O670" t="n">
        <v>0</v>
      </c>
      <c r="P670" t="n">
        <v>0</v>
      </c>
      <c r="Q670" t="n">
        <v>0</v>
      </c>
      <c r="R670" s="2" t="inlineStr"/>
    </row>
    <row r="671" ht="15" customHeight="1">
      <c r="A671" t="inlineStr">
        <is>
          <t>A 30987-2023</t>
        </is>
      </c>
      <c r="B671" s="1" t="n">
        <v>45113</v>
      </c>
      <c r="C671" s="1" t="n">
        <v>45812</v>
      </c>
      <c r="D671" t="inlineStr">
        <is>
          <t>DALARNAS LÄN</t>
        </is>
      </c>
      <c r="E671" t="inlineStr">
        <is>
          <t>ÄLVDALEN</t>
        </is>
      </c>
      <c r="F671" t="inlineStr">
        <is>
          <t>Allmännings- och besparingsskogar</t>
        </is>
      </c>
      <c r="G671" t="n">
        <v>3.8</v>
      </c>
      <c r="H671" t="n">
        <v>0</v>
      </c>
      <c r="I671" t="n">
        <v>0</v>
      </c>
      <c r="J671" t="n">
        <v>0</v>
      </c>
      <c r="K671" t="n">
        <v>0</v>
      </c>
      <c r="L671" t="n">
        <v>0</v>
      </c>
      <c r="M671" t="n">
        <v>0</v>
      </c>
      <c r="N671" t="n">
        <v>0</v>
      </c>
      <c r="O671" t="n">
        <v>0</v>
      </c>
      <c r="P671" t="n">
        <v>0</v>
      </c>
      <c r="Q671" t="n">
        <v>0</v>
      </c>
      <c r="R671" s="2" t="inlineStr"/>
    </row>
    <row r="672" ht="15" customHeight="1">
      <c r="A672" t="inlineStr">
        <is>
          <t>A 31076-2023</t>
        </is>
      </c>
      <c r="B672" s="1" t="n">
        <v>45113</v>
      </c>
      <c r="C672" s="1" t="n">
        <v>45812</v>
      </c>
      <c r="D672" t="inlineStr">
        <is>
          <t>DALARNAS LÄN</t>
        </is>
      </c>
      <c r="E672" t="inlineStr">
        <is>
          <t>ÄLVDALEN</t>
        </is>
      </c>
      <c r="F672" t="inlineStr">
        <is>
          <t>Bergvik skog väst AB</t>
        </is>
      </c>
      <c r="G672" t="n">
        <v>7.4</v>
      </c>
      <c r="H672" t="n">
        <v>0</v>
      </c>
      <c r="I672" t="n">
        <v>0</v>
      </c>
      <c r="J672" t="n">
        <v>0</v>
      </c>
      <c r="K672" t="n">
        <v>0</v>
      </c>
      <c r="L672" t="n">
        <v>0</v>
      </c>
      <c r="M672" t="n">
        <v>0</v>
      </c>
      <c r="N672" t="n">
        <v>0</v>
      </c>
      <c r="O672" t="n">
        <v>0</v>
      </c>
      <c r="P672" t="n">
        <v>0</v>
      </c>
      <c r="Q672" t="n">
        <v>0</v>
      </c>
      <c r="R672" s="2" t="inlineStr"/>
    </row>
    <row r="673" ht="15" customHeight="1">
      <c r="A673" t="inlineStr">
        <is>
          <t>A 31301-2023</t>
        </is>
      </c>
      <c r="B673" s="1" t="n">
        <v>45114</v>
      </c>
      <c r="C673" s="1" t="n">
        <v>45812</v>
      </c>
      <c r="D673" t="inlineStr">
        <is>
          <t>DALARNAS LÄN</t>
        </is>
      </c>
      <c r="E673" t="inlineStr">
        <is>
          <t>ÄLVDALEN</t>
        </is>
      </c>
      <c r="F673" t="inlineStr">
        <is>
          <t>Allmännings- och besparingsskogar</t>
        </is>
      </c>
      <c r="G673" t="n">
        <v>23.4</v>
      </c>
      <c r="H673" t="n">
        <v>0</v>
      </c>
      <c r="I673" t="n">
        <v>0</v>
      </c>
      <c r="J673" t="n">
        <v>0</v>
      </c>
      <c r="K673" t="n">
        <v>0</v>
      </c>
      <c r="L673" t="n">
        <v>0</v>
      </c>
      <c r="M673" t="n">
        <v>0</v>
      </c>
      <c r="N673" t="n">
        <v>0</v>
      </c>
      <c r="O673" t="n">
        <v>0</v>
      </c>
      <c r="P673" t="n">
        <v>0</v>
      </c>
      <c r="Q673" t="n">
        <v>0</v>
      </c>
      <c r="R673" s="2" t="inlineStr"/>
    </row>
    <row r="674" ht="15" customHeight="1">
      <c r="A674" t="inlineStr">
        <is>
          <t>A 31328-2023</t>
        </is>
      </c>
      <c r="B674" s="1" t="n">
        <v>45114</v>
      </c>
      <c r="C674" s="1" t="n">
        <v>45812</v>
      </c>
      <c r="D674" t="inlineStr">
        <is>
          <t>DALARNAS LÄN</t>
        </is>
      </c>
      <c r="E674" t="inlineStr">
        <is>
          <t>ÄLVDALEN</t>
        </is>
      </c>
      <c r="F674" t="inlineStr">
        <is>
          <t>Övriga statliga verk och myndigheter</t>
        </is>
      </c>
      <c r="G674" t="n">
        <v>0.9</v>
      </c>
      <c r="H674" t="n">
        <v>0</v>
      </c>
      <c r="I674" t="n">
        <v>0</v>
      </c>
      <c r="J674" t="n">
        <v>0</v>
      </c>
      <c r="K674" t="n">
        <v>0</v>
      </c>
      <c r="L674" t="n">
        <v>0</v>
      </c>
      <c r="M674" t="n">
        <v>0</v>
      </c>
      <c r="N674" t="n">
        <v>0</v>
      </c>
      <c r="O674" t="n">
        <v>0</v>
      </c>
      <c r="P674" t="n">
        <v>0</v>
      </c>
      <c r="Q674" t="n">
        <v>0</v>
      </c>
      <c r="R674" s="2" t="inlineStr"/>
    </row>
    <row r="675" ht="15" customHeight="1">
      <c r="A675" t="inlineStr">
        <is>
          <t>A 33099-2023</t>
        </is>
      </c>
      <c r="B675" s="1" t="n">
        <v>45114</v>
      </c>
      <c r="C675" s="1" t="n">
        <v>45812</v>
      </c>
      <c r="D675" t="inlineStr">
        <is>
          <t>DALARNAS LÄN</t>
        </is>
      </c>
      <c r="E675" t="inlineStr">
        <is>
          <t>ÄLVDALEN</t>
        </is>
      </c>
      <c r="G675" t="n">
        <v>3.5</v>
      </c>
      <c r="H675" t="n">
        <v>0</v>
      </c>
      <c r="I675" t="n">
        <v>0</v>
      </c>
      <c r="J675" t="n">
        <v>0</v>
      </c>
      <c r="K675" t="n">
        <v>0</v>
      </c>
      <c r="L675" t="n">
        <v>0</v>
      </c>
      <c r="M675" t="n">
        <v>0</v>
      </c>
      <c r="N675" t="n">
        <v>0</v>
      </c>
      <c r="O675" t="n">
        <v>0</v>
      </c>
      <c r="P675" t="n">
        <v>0</v>
      </c>
      <c r="Q675" t="n">
        <v>0</v>
      </c>
      <c r="R675" s="2" t="inlineStr"/>
    </row>
    <row r="676" ht="15" customHeight="1">
      <c r="A676" t="inlineStr">
        <is>
          <t>A 33107-2023</t>
        </is>
      </c>
      <c r="B676" s="1" t="n">
        <v>45114</v>
      </c>
      <c r="C676" s="1" t="n">
        <v>45812</v>
      </c>
      <c r="D676" t="inlineStr">
        <is>
          <t>DALARNAS LÄN</t>
        </is>
      </c>
      <c r="E676" t="inlineStr">
        <is>
          <t>ÄLVDALEN</t>
        </is>
      </c>
      <c r="G676" t="n">
        <v>0.9</v>
      </c>
      <c r="H676" t="n">
        <v>0</v>
      </c>
      <c r="I676" t="n">
        <v>0</v>
      </c>
      <c r="J676" t="n">
        <v>0</v>
      </c>
      <c r="K676" t="n">
        <v>0</v>
      </c>
      <c r="L676" t="n">
        <v>0</v>
      </c>
      <c r="M676" t="n">
        <v>0</v>
      </c>
      <c r="N676" t="n">
        <v>0</v>
      </c>
      <c r="O676" t="n">
        <v>0</v>
      </c>
      <c r="P676" t="n">
        <v>0</v>
      </c>
      <c r="Q676" t="n">
        <v>0</v>
      </c>
      <c r="R676" s="2" t="inlineStr"/>
    </row>
    <row r="677" ht="15" customHeight="1">
      <c r="A677" t="inlineStr">
        <is>
          <t>A 33102-2023</t>
        </is>
      </c>
      <c r="B677" s="1" t="n">
        <v>45114</v>
      </c>
      <c r="C677" s="1" t="n">
        <v>45812</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33109-2023</t>
        </is>
      </c>
      <c r="B678" s="1" t="n">
        <v>45114</v>
      </c>
      <c r="C678" s="1" t="n">
        <v>45812</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31332-2023</t>
        </is>
      </c>
      <c r="B679" s="1" t="n">
        <v>45114</v>
      </c>
      <c r="C679" s="1" t="n">
        <v>45812</v>
      </c>
      <c r="D679" t="inlineStr">
        <is>
          <t>DALARNAS LÄN</t>
        </is>
      </c>
      <c r="E679" t="inlineStr">
        <is>
          <t>ÄLVDALEN</t>
        </is>
      </c>
      <c r="F679" t="inlineStr">
        <is>
          <t>Övriga statliga verk och myndigheter</t>
        </is>
      </c>
      <c r="G679" t="n">
        <v>0.5</v>
      </c>
      <c r="H679" t="n">
        <v>0</v>
      </c>
      <c r="I679" t="n">
        <v>0</v>
      </c>
      <c r="J679" t="n">
        <v>0</v>
      </c>
      <c r="K679" t="n">
        <v>0</v>
      </c>
      <c r="L679" t="n">
        <v>0</v>
      </c>
      <c r="M679" t="n">
        <v>0</v>
      </c>
      <c r="N679" t="n">
        <v>0</v>
      </c>
      <c r="O679" t="n">
        <v>0</v>
      </c>
      <c r="P679" t="n">
        <v>0</v>
      </c>
      <c r="Q679" t="n">
        <v>0</v>
      </c>
      <c r="R679" s="2" t="inlineStr"/>
    </row>
    <row r="680" ht="15" customHeight="1">
      <c r="A680" t="inlineStr">
        <is>
          <t>A 33100-2023</t>
        </is>
      </c>
      <c r="B680" s="1" t="n">
        <v>45114</v>
      </c>
      <c r="C680" s="1" t="n">
        <v>45812</v>
      </c>
      <c r="D680" t="inlineStr">
        <is>
          <t>DALARNAS LÄN</t>
        </is>
      </c>
      <c r="E680" t="inlineStr">
        <is>
          <t>ÄLVDALEN</t>
        </is>
      </c>
      <c r="G680" t="n">
        <v>0.5</v>
      </c>
      <c r="H680" t="n">
        <v>0</v>
      </c>
      <c r="I680" t="n">
        <v>0</v>
      </c>
      <c r="J680" t="n">
        <v>0</v>
      </c>
      <c r="K680" t="n">
        <v>0</v>
      </c>
      <c r="L680" t="n">
        <v>0</v>
      </c>
      <c r="M680" t="n">
        <v>0</v>
      </c>
      <c r="N680" t="n">
        <v>0</v>
      </c>
      <c r="O680" t="n">
        <v>0</v>
      </c>
      <c r="P680" t="n">
        <v>0</v>
      </c>
      <c r="Q680" t="n">
        <v>0</v>
      </c>
      <c r="R680" s="2" t="inlineStr"/>
    </row>
    <row r="681" ht="15" customHeight="1">
      <c r="A681" t="inlineStr">
        <is>
          <t>A 33108-2023</t>
        </is>
      </c>
      <c r="B681" s="1" t="n">
        <v>45114</v>
      </c>
      <c r="C681" s="1" t="n">
        <v>45812</v>
      </c>
      <c r="D681" t="inlineStr">
        <is>
          <t>DALARNAS LÄN</t>
        </is>
      </c>
      <c r="E681" t="inlineStr">
        <is>
          <t>ÄLVDALEN</t>
        </is>
      </c>
      <c r="G681" t="n">
        <v>1</v>
      </c>
      <c r="H681" t="n">
        <v>0</v>
      </c>
      <c r="I681" t="n">
        <v>0</v>
      </c>
      <c r="J681" t="n">
        <v>0</v>
      </c>
      <c r="K681" t="n">
        <v>0</v>
      </c>
      <c r="L681" t="n">
        <v>0</v>
      </c>
      <c r="M681" t="n">
        <v>0</v>
      </c>
      <c r="N681" t="n">
        <v>0</v>
      </c>
      <c r="O681" t="n">
        <v>0</v>
      </c>
      <c r="P681" t="n">
        <v>0</v>
      </c>
      <c r="Q681" t="n">
        <v>0</v>
      </c>
      <c r="R681" s="2" t="inlineStr"/>
    </row>
    <row r="682" ht="15" customHeight="1">
      <c r="A682" t="inlineStr">
        <is>
          <t>A 33104-2023</t>
        </is>
      </c>
      <c r="B682" s="1" t="n">
        <v>45114</v>
      </c>
      <c r="C682" s="1" t="n">
        <v>45812</v>
      </c>
      <c r="D682" t="inlineStr">
        <is>
          <t>DALARNAS LÄN</t>
        </is>
      </c>
      <c r="E682" t="inlineStr">
        <is>
          <t>ÄLVDALEN</t>
        </is>
      </c>
      <c r="G682" t="n">
        <v>9.9</v>
      </c>
      <c r="H682" t="n">
        <v>0</v>
      </c>
      <c r="I682" t="n">
        <v>0</v>
      </c>
      <c r="J682" t="n">
        <v>0</v>
      </c>
      <c r="K682" t="n">
        <v>0</v>
      </c>
      <c r="L682" t="n">
        <v>0</v>
      </c>
      <c r="M682" t="n">
        <v>0</v>
      </c>
      <c r="N682" t="n">
        <v>0</v>
      </c>
      <c r="O682" t="n">
        <v>0</v>
      </c>
      <c r="P682" t="n">
        <v>0</v>
      </c>
      <c r="Q682" t="n">
        <v>0</v>
      </c>
      <c r="R682" s="2" t="inlineStr"/>
    </row>
    <row r="683" ht="15" customHeight="1">
      <c r="A683" t="inlineStr">
        <is>
          <t>A 33110-2023</t>
        </is>
      </c>
      <c r="B683" s="1" t="n">
        <v>45114</v>
      </c>
      <c r="C683" s="1" t="n">
        <v>45812</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33545-2023</t>
        </is>
      </c>
      <c r="B684" s="1" t="n">
        <v>45118</v>
      </c>
      <c r="C684" s="1" t="n">
        <v>45812</v>
      </c>
      <c r="D684" t="inlineStr">
        <is>
          <t>DALARNAS LÄN</t>
        </is>
      </c>
      <c r="E684" t="inlineStr">
        <is>
          <t>ÄLVDALEN</t>
        </is>
      </c>
      <c r="G684" t="n">
        <v>16.2</v>
      </c>
      <c r="H684" t="n">
        <v>0</v>
      </c>
      <c r="I684" t="n">
        <v>0</v>
      </c>
      <c r="J684" t="n">
        <v>0</v>
      </c>
      <c r="K684" t="n">
        <v>0</v>
      </c>
      <c r="L684" t="n">
        <v>0</v>
      </c>
      <c r="M684" t="n">
        <v>0</v>
      </c>
      <c r="N684" t="n">
        <v>0</v>
      </c>
      <c r="O684" t="n">
        <v>0</v>
      </c>
      <c r="P684" t="n">
        <v>0</v>
      </c>
      <c r="Q684" t="n">
        <v>0</v>
      </c>
      <c r="R684" s="2" t="inlineStr"/>
    </row>
    <row r="685" ht="15" customHeight="1">
      <c r="A685" t="inlineStr">
        <is>
          <t>A 32352-2023</t>
        </is>
      </c>
      <c r="B685" s="1" t="n">
        <v>45120</v>
      </c>
      <c r="C685" s="1" t="n">
        <v>45812</v>
      </c>
      <c r="D685" t="inlineStr">
        <is>
          <t>DALARNAS LÄN</t>
        </is>
      </c>
      <c r="E685" t="inlineStr">
        <is>
          <t>ÄLVDALEN</t>
        </is>
      </c>
      <c r="G685" t="n">
        <v>2</v>
      </c>
      <c r="H685" t="n">
        <v>0</v>
      </c>
      <c r="I685" t="n">
        <v>0</v>
      </c>
      <c r="J685" t="n">
        <v>0</v>
      </c>
      <c r="K685" t="n">
        <v>0</v>
      </c>
      <c r="L685" t="n">
        <v>0</v>
      </c>
      <c r="M685" t="n">
        <v>0</v>
      </c>
      <c r="N685" t="n">
        <v>0</v>
      </c>
      <c r="O685" t="n">
        <v>0</v>
      </c>
      <c r="P685" t="n">
        <v>0</v>
      </c>
      <c r="Q685" t="n">
        <v>0</v>
      </c>
      <c r="R685" s="2" t="inlineStr"/>
    </row>
    <row r="686" ht="15" customHeight="1">
      <c r="A686" t="inlineStr">
        <is>
          <t>A 32594-2023</t>
        </is>
      </c>
      <c r="B686" s="1" t="n">
        <v>45121</v>
      </c>
      <c r="C686" s="1" t="n">
        <v>45812</v>
      </c>
      <c r="D686" t="inlineStr">
        <is>
          <t>DALARNAS LÄN</t>
        </is>
      </c>
      <c r="E686" t="inlineStr">
        <is>
          <t>ÄLVDALEN</t>
        </is>
      </c>
      <c r="G686" t="n">
        <v>4</v>
      </c>
      <c r="H686" t="n">
        <v>0</v>
      </c>
      <c r="I686" t="n">
        <v>0</v>
      </c>
      <c r="J686" t="n">
        <v>0</v>
      </c>
      <c r="K686" t="n">
        <v>0</v>
      </c>
      <c r="L686" t="n">
        <v>0</v>
      </c>
      <c r="M686" t="n">
        <v>0</v>
      </c>
      <c r="N686" t="n">
        <v>0</v>
      </c>
      <c r="O686" t="n">
        <v>0</v>
      </c>
      <c r="P686" t="n">
        <v>0</v>
      </c>
      <c r="Q686" t="n">
        <v>0</v>
      </c>
      <c r="R686" s="2" t="inlineStr"/>
    </row>
    <row r="687" ht="15" customHeight="1">
      <c r="A687" t="inlineStr">
        <is>
          <t>A 32622-2023</t>
        </is>
      </c>
      <c r="B687" s="1" t="n">
        <v>45121</v>
      </c>
      <c r="C687" s="1" t="n">
        <v>45812</v>
      </c>
      <c r="D687" t="inlineStr">
        <is>
          <t>DALARNAS LÄN</t>
        </is>
      </c>
      <c r="E687" t="inlineStr">
        <is>
          <t>ÄLVDALEN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32832-2023</t>
        </is>
      </c>
      <c r="B688" s="1" t="n">
        <v>45124</v>
      </c>
      <c r="C688" s="1" t="n">
        <v>45812</v>
      </c>
      <c r="D688" t="inlineStr">
        <is>
          <t>DALARNAS LÄN</t>
        </is>
      </c>
      <c r="E688" t="inlineStr">
        <is>
          <t>ÄLVDALEN</t>
        </is>
      </c>
      <c r="G688" t="n">
        <v>15.8</v>
      </c>
      <c r="H688" t="n">
        <v>0</v>
      </c>
      <c r="I688" t="n">
        <v>0</v>
      </c>
      <c r="J688" t="n">
        <v>0</v>
      </c>
      <c r="K688" t="n">
        <v>0</v>
      </c>
      <c r="L688" t="n">
        <v>0</v>
      </c>
      <c r="M688" t="n">
        <v>0</v>
      </c>
      <c r="N688" t="n">
        <v>0</v>
      </c>
      <c r="O688" t="n">
        <v>0</v>
      </c>
      <c r="P688" t="n">
        <v>0</v>
      </c>
      <c r="Q688" t="n">
        <v>0</v>
      </c>
      <c r="R688" s="2" t="inlineStr"/>
    </row>
    <row r="689" ht="15" customHeight="1">
      <c r="A689" t="inlineStr">
        <is>
          <t>A 32841-2023</t>
        </is>
      </c>
      <c r="B689" s="1" t="n">
        <v>45124</v>
      </c>
      <c r="C689" s="1" t="n">
        <v>45812</v>
      </c>
      <c r="D689" t="inlineStr">
        <is>
          <t>DALARNAS LÄN</t>
        </is>
      </c>
      <c r="E689" t="inlineStr">
        <is>
          <t>ÄLVDALEN</t>
        </is>
      </c>
      <c r="G689" t="n">
        <v>1.5</v>
      </c>
      <c r="H689" t="n">
        <v>0</v>
      </c>
      <c r="I689" t="n">
        <v>0</v>
      </c>
      <c r="J689" t="n">
        <v>0</v>
      </c>
      <c r="K689" t="n">
        <v>0</v>
      </c>
      <c r="L689" t="n">
        <v>0</v>
      </c>
      <c r="M689" t="n">
        <v>0</v>
      </c>
      <c r="N689" t="n">
        <v>0</v>
      </c>
      <c r="O689" t="n">
        <v>0</v>
      </c>
      <c r="P689" t="n">
        <v>0</v>
      </c>
      <c r="Q689" t="n">
        <v>0</v>
      </c>
      <c r="R689" s="2" t="inlineStr"/>
    </row>
    <row r="690" ht="15" customHeight="1">
      <c r="A690" t="inlineStr">
        <is>
          <t>A 32838-2023</t>
        </is>
      </c>
      <c r="B690" s="1" t="n">
        <v>45124</v>
      </c>
      <c r="C690" s="1" t="n">
        <v>45812</v>
      </c>
      <c r="D690" t="inlineStr">
        <is>
          <t>DALARNAS LÄN</t>
        </is>
      </c>
      <c r="E690" t="inlineStr">
        <is>
          <t>ÄLVDALEN</t>
        </is>
      </c>
      <c r="G690" t="n">
        <v>3.7</v>
      </c>
      <c r="H690" t="n">
        <v>0</v>
      </c>
      <c r="I690" t="n">
        <v>0</v>
      </c>
      <c r="J690" t="n">
        <v>0</v>
      </c>
      <c r="K690" t="n">
        <v>0</v>
      </c>
      <c r="L690" t="n">
        <v>0</v>
      </c>
      <c r="M690" t="n">
        <v>0</v>
      </c>
      <c r="N690" t="n">
        <v>0</v>
      </c>
      <c r="O690" t="n">
        <v>0</v>
      </c>
      <c r="P690" t="n">
        <v>0</v>
      </c>
      <c r="Q690" t="n">
        <v>0</v>
      </c>
      <c r="R690" s="2" t="inlineStr"/>
    </row>
    <row r="691" ht="15" customHeight="1">
      <c r="A691" t="inlineStr">
        <is>
          <t>A 33951-2023</t>
        </is>
      </c>
      <c r="B691" s="1" t="n">
        <v>45124</v>
      </c>
      <c r="C691" s="1" t="n">
        <v>45812</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33073-2023</t>
        </is>
      </c>
      <c r="B692" s="1" t="n">
        <v>45126</v>
      </c>
      <c r="C692" s="1" t="n">
        <v>45812</v>
      </c>
      <c r="D692" t="inlineStr">
        <is>
          <t>DALARNAS LÄN</t>
        </is>
      </c>
      <c r="E692" t="inlineStr">
        <is>
          <t>ÄLVDALEN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33068-2023</t>
        </is>
      </c>
      <c r="B693" s="1" t="n">
        <v>45126</v>
      </c>
      <c r="C693" s="1" t="n">
        <v>45812</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33465-2023</t>
        </is>
      </c>
      <c r="B694" s="1" t="n">
        <v>45131</v>
      </c>
      <c r="C694" s="1" t="n">
        <v>45812</v>
      </c>
      <c r="D694" t="inlineStr">
        <is>
          <t>DALARNAS LÄN</t>
        </is>
      </c>
      <c r="E694" t="inlineStr">
        <is>
          <t>ÄLVDALEN</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33918-2023</t>
        </is>
      </c>
      <c r="B695" s="1" t="n">
        <v>45134</v>
      </c>
      <c r="C695" s="1" t="n">
        <v>45812</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34420-2023</t>
        </is>
      </c>
      <c r="B696" s="1" t="n">
        <v>45139</v>
      </c>
      <c r="C696" s="1" t="n">
        <v>45812</v>
      </c>
      <c r="D696" t="inlineStr">
        <is>
          <t>DALARNAS LÄN</t>
        </is>
      </c>
      <c r="E696" t="inlineStr">
        <is>
          <t>ÄLVDALEN</t>
        </is>
      </c>
      <c r="G696" t="n">
        <v>1.9</v>
      </c>
      <c r="H696" t="n">
        <v>0</v>
      </c>
      <c r="I696" t="n">
        <v>0</v>
      </c>
      <c r="J696" t="n">
        <v>0</v>
      </c>
      <c r="K696" t="n">
        <v>0</v>
      </c>
      <c r="L696" t="n">
        <v>0</v>
      </c>
      <c r="M696" t="n">
        <v>0</v>
      </c>
      <c r="N696" t="n">
        <v>0</v>
      </c>
      <c r="O696" t="n">
        <v>0</v>
      </c>
      <c r="P696" t="n">
        <v>0</v>
      </c>
      <c r="Q696" t="n">
        <v>0</v>
      </c>
      <c r="R696" s="2" t="inlineStr"/>
    </row>
    <row r="697" ht="15" customHeight="1">
      <c r="A697" t="inlineStr">
        <is>
          <t>A 34544-2023</t>
        </is>
      </c>
      <c r="B697" s="1" t="n">
        <v>45140</v>
      </c>
      <c r="C697" s="1" t="n">
        <v>45812</v>
      </c>
      <c r="D697" t="inlineStr">
        <is>
          <t>DALARNAS LÄN</t>
        </is>
      </c>
      <c r="E697" t="inlineStr">
        <is>
          <t>ÄLVDALEN</t>
        </is>
      </c>
      <c r="F697" t="inlineStr">
        <is>
          <t>Övriga statliga verk och myndigheter</t>
        </is>
      </c>
      <c r="G697" t="n">
        <v>19.7</v>
      </c>
      <c r="H697" t="n">
        <v>0</v>
      </c>
      <c r="I697" t="n">
        <v>0</v>
      </c>
      <c r="J697" t="n">
        <v>0</v>
      </c>
      <c r="K697" t="n">
        <v>0</v>
      </c>
      <c r="L697" t="n">
        <v>0</v>
      </c>
      <c r="M697" t="n">
        <v>0</v>
      </c>
      <c r="N697" t="n">
        <v>0</v>
      </c>
      <c r="O697" t="n">
        <v>0</v>
      </c>
      <c r="P697" t="n">
        <v>0</v>
      </c>
      <c r="Q697" t="n">
        <v>0</v>
      </c>
      <c r="R697" s="2" t="inlineStr"/>
    </row>
    <row r="698" ht="15" customHeight="1">
      <c r="A698" t="inlineStr">
        <is>
          <t>A 34835-2023</t>
        </is>
      </c>
      <c r="B698" s="1" t="n">
        <v>45141</v>
      </c>
      <c r="C698" s="1" t="n">
        <v>45812</v>
      </c>
      <c r="D698" t="inlineStr">
        <is>
          <t>DALARNAS LÄN</t>
        </is>
      </c>
      <c r="E698" t="inlineStr">
        <is>
          <t>ÄLVDALEN</t>
        </is>
      </c>
      <c r="G698" t="n">
        <v>3.4</v>
      </c>
      <c r="H698" t="n">
        <v>0</v>
      </c>
      <c r="I698" t="n">
        <v>0</v>
      </c>
      <c r="J698" t="n">
        <v>0</v>
      </c>
      <c r="K698" t="n">
        <v>0</v>
      </c>
      <c r="L698" t="n">
        <v>0</v>
      </c>
      <c r="M698" t="n">
        <v>0</v>
      </c>
      <c r="N698" t="n">
        <v>0</v>
      </c>
      <c r="O698" t="n">
        <v>0</v>
      </c>
      <c r="P698" t="n">
        <v>0</v>
      </c>
      <c r="Q698" t="n">
        <v>0</v>
      </c>
      <c r="R698" s="2" t="inlineStr"/>
    </row>
    <row r="699" ht="15" customHeight="1">
      <c r="A699" t="inlineStr">
        <is>
          <t>A 34837-2023</t>
        </is>
      </c>
      <c r="B699" s="1" t="n">
        <v>45141</v>
      </c>
      <c r="C699" s="1" t="n">
        <v>45812</v>
      </c>
      <c r="D699" t="inlineStr">
        <is>
          <t>DALARNAS LÄN</t>
        </is>
      </c>
      <c r="E699" t="inlineStr">
        <is>
          <t>ÄLVDALEN</t>
        </is>
      </c>
      <c r="G699" t="n">
        <v>0.7</v>
      </c>
      <c r="H699" t="n">
        <v>0</v>
      </c>
      <c r="I699" t="n">
        <v>0</v>
      </c>
      <c r="J699" t="n">
        <v>0</v>
      </c>
      <c r="K699" t="n">
        <v>0</v>
      </c>
      <c r="L699" t="n">
        <v>0</v>
      </c>
      <c r="M699" t="n">
        <v>0</v>
      </c>
      <c r="N699" t="n">
        <v>0</v>
      </c>
      <c r="O699" t="n">
        <v>0</v>
      </c>
      <c r="P699" t="n">
        <v>0</v>
      </c>
      <c r="Q699" t="n">
        <v>0</v>
      </c>
      <c r="R699" s="2" t="inlineStr"/>
    </row>
    <row r="700" ht="15" customHeight="1">
      <c r="A700" t="inlineStr">
        <is>
          <t>A 34836-2023</t>
        </is>
      </c>
      <c r="B700" s="1" t="n">
        <v>45141</v>
      </c>
      <c r="C700" s="1" t="n">
        <v>45812</v>
      </c>
      <c r="D700" t="inlineStr">
        <is>
          <t>DALARNAS LÄN</t>
        </is>
      </c>
      <c r="E700" t="inlineStr">
        <is>
          <t>ÄLVDALEN</t>
        </is>
      </c>
      <c r="G700" t="n">
        <v>8.1</v>
      </c>
      <c r="H700" t="n">
        <v>0</v>
      </c>
      <c r="I700" t="n">
        <v>0</v>
      </c>
      <c r="J700" t="n">
        <v>0</v>
      </c>
      <c r="K700" t="n">
        <v>0</v>
      </c>
      <c r="L700" t="n">
        <v>0</v>
      </c>
      <c r="M700" t="n">
        <v>0</v>
      </c>
      <c r="N700" t="n">
        <v>0</v>
      </c>
      <c r="O700" t="n">
        <v>0</v>
      </c>
      <c r="P700" t="n">
        <v>0</v>
      </c>
      <c r="Q700" t="n">
        <v>0</v>
      </c>
      <c r="R700" s="2" t="inlineStr"/>
    </row>
    <row r="701" ht="15" customHeight="1">
      <c r="A701" t="inlineStr">
        <is>
          <t>A 35161-2023</t>
        </is>
      </c>
      <c r="B701" s="1" t="n">
        <v>45145</v>
      </c>
      <c r="C701" s="1" t="n">
        <v>45812</v>
      </c>
      <c r="D701" t="inlineStr">
        <is>
          <t>DALARNAS LÄN</t>
        </is>
      </c>
      <c r="E701" t="inlineStr">
        <is>
          <t>ÄLVDALEN</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36640-2023</t>
        </is>
      </c>
      <c r="B702" s="1" t="n">
        <v>45153</v>
      </c>
      <c r="C702" s="1" t="n">
        <v>45812</v>
      </c>
      <c r="D702" t="inlineStr">
        <is>
          <t>DALARNAS LÄN</t>
        </is>
      </c>
      <c r="E702" t="inlineStr">
        <is>
          <t>ÄLVDALEN</t>
        </is>
      </c>
      <c r="G702" t="n">
        <v>2.3</v>
      </c>
      <c r="H702" t="n">
        <v>0</v>
      </c>
      <c r="I702" t="n">
        <v>0</v>
      </c>
      <c r="J702" t="n">
        <v>0</v>
      </c>
      <c r="K702" t="n">
        <v>0</v>
      </c>
      <c r="L702" t="n">
        <v>0</v>
      </c>
      <c r="M702" t="n">
        <v>0</v>
      </c>
      <c r="N702" t="n">
        <v>0</v>
      </c>
      <c r="O702" t="n">
        <v>0</v>
      </c>
      <c r="P702" t="n">
        <v>0</v>
      </c>
      <c r="Q702" t="n">
        <v>0</v>
      </c>
      <c r="R702" s="2" t="inlineStr"/>
    </row>
    <row r="703" ht="15" customHeight="1">
      <c r="A703" t="inlineStr">
        <is>
          <t>A 36593-2023</t>
        </is>
      </c>
      <c r="B703" s="1" t="n">
        <v>45153</v>
      </c>
      <c r="C703" s="1" t="n">
        <v>45812</v>
      </c>
      <c r="D703" t="inlineStr">
        <is>
          <t>DALARNAS LÄN</t>
        </is>
      </c>
      <c r="E703" t="inlineStr">
        <is>
          <t>ÄLVDALEN</t>
        </is>
      </c>
      <c r="G703" t="n">
        <v>0.9</v>
      </c>
      <c r="H703" t="n">
        <v>0</v>
      </c>
      <c r="I703" t="n">
        <v>0</v>
      </c>
      <c r="J703" t="n">
        <v>0</v>
      </c>
      <c r="K703" t="n">
        <v>0</v>
      </c>
      <c r="L703" t="n">
        <v>0</v>
      </c>
      <c r="M703" t="n">
        <v>0</v>
      </c>
      <c r="N703" t="n">
        <v>0</v>
      </c>
      <c r="O703" t="n">
        <v>0</v>
      </c>
      <c r="P703" t="n">
        <v>0</v>
      </c>
      <c r="Q703" t="n">
        <v>0</v>
      </c>
      <c r="R703" s="2" t="inlineStr"/>
    </row>
    <row r="704" ht="15" customHeight="1">
      <c r="A704" t="inlineStr">
        <is>
          <t>A 37759-2023</t>
        </is>
      </c>
      <c r="B704" s="1" t="n">
        <v>45159</v>
      </c>
      <c r="C704" s="1" t="n">
        <v>45812</v>
      </c>
      <c r="D704" t="inlineStr">
        <is>
          <t>DALARNAS LÄN</t>
        </is>
      </c>
      <c r="E704" t="inlineStr">
        <is>
          <t>ÄLVDALEN</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37760-2023</t>
        </is>
      </c>
      <c r="B705" s="1" t="n">
        <v>45159</v>
      </c>
      <c r="C705" s="1" t="n">
        <v>45812</v>
      </c>
      <c r="D705" t="inlineStr">
        <is>
          <t>DALARNAS LÄN</t>
        </is>
      </c>
      <c r="E705" t="inlineStr">
        <is>
          <t>ÄLVDALEN</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37665-2023</t>
        </is>
      </c>
      <c r="B706" s="1" t="n">
        <v>45159</v>
      </c>
      <c r="C706" s="1" t="n">
        <v>45812</v>
      </c>
      <c r="D706" t="inlineStr">
        <is>
          <t>DALARNAS LÄN</t>
        </is>
      </c>
      <c r="E706" t="inlineStr">
        <is>
          <t>ÄLVDALEN</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37730-2023</t>
        </is>
      </c>
      <c r="B707" s="1" t="n">
        <v>45159</v>
      </c>
      <c r="C707" s="1" t="n">
        <v>45812</v>
      </c>
      <c r="D707" t="inlineStr">
        <is>
          <t>DALARNAS LÄN</t>
        </is>
      </c>
      <c r="E707" t="inlineStr">
        <is>
          <t>ÄLVDALEN</t>
        </is>
      </c>
      <c r="G707" t="n">
        <v>5.4</v>
      </c>
      <c r="H707" t="n">
        <v>0</v>
      </c>
      <c r="I707" t="n">
        <v>0</v>
      </c>
      <c r="J707" t="n">
        <v>0</v>
      </c>
      <c r="K707" t="n">
        <v>0</v>
      </c>
      <c r="L707" t="n">
        <v>0</v>
      </c>
      <c r="M707" t="n">
        <v>0</v>
      </c>
      <c r="N707" t="n">
        <v>0</v>
      </c>
      <c r="O707" t="n">
        <v>0</v>
      </c>
      <c r="P707" t="n">
        <v>0</v>
      </c>
      <c r="Q707" t="n">
        <v>0</v>
      </c>
      <c r="R707" s="2" t="inlineStr"/>
    </row>
    <row r="708" ht="15" customHeight="1">
      <c r="A708" t="inlineStr">
        <is>
          <t>A 40962-2023</t>
        </is>
      </c>
      <c r="B708" s="1" t="n">
        <v>45173</v>
      </c>
      <c r="C708" s="1" t="n">
        <v>45812</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41004-2023</t>
        </is>
      </c>
      <c r="B709" s="1" t="n">
        <v>45173</v>
      </c>
      <c r="C709" s="1" t="n">
        <v>45812</v>
      </c>
      <c r="D709" t="inlineStr">
        <is>
          <t>DALARNAS LÄN</t>
        </is>
      </c>
      <c r="E709" t="inlineStr">
        <is>
          <t>ÄLVDALEN</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41103-2023</t>
        </is>
      </c>
      <c r="B710" s="1" t="n">
        <v>45173</v>
      </c>
      <c r="C710" s="1" t="n">
        <v>45812</v>
      </c>
      <c r="D710" t="inlineStr">
        <is>
          <t>DALARNAS LÄN</t>
        </is>
      </c>
      <c r="E710" t="inlineStr">
        <is>
          <t>ÄLVDALEN</t>
        </is>
      </c>
      <c r="F710" t="inlineStr">
        <is>
          <t>Bergvik skog väst AB</t>
        </is>
      </c>
      <c r="G710" t="n">
        <v>4.9</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45812</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45812</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45812</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45812</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45155-2023</t>
        </is>
      </c>
      <c r="B715" s="1" t="n">
        <v>45187</v>
      </c>
      <c r="C715" s="1" t="n">
        <v>45812</v>
      </c>
      <c r="D715" t="inlineStr">
        <is>
          <t>DALARNAS LÄN</t>
        </is>
      </c>
      <c r="E715" t="inlineStr">
        <is>
          <t>ÄLVDALEN</t>
        </is>
      </c>
      <c r="G715" t="n">
        <v>40.1</v>
      </c>
      <c r="H715" t="n">
        <v>0</v>
      </c>
      <c r="I715" t="n">
        <v>0</v>
      </c>
      <c r="J715" t="n">
        <v>0</v>
      </c>
      <c r="K715" t="n">
        <v>0</v>
      </c>
      <c r="L715" t="n">
        <v>0</v>
      </c>
      <c r="M715" t="n">
        <v>0</v>
      </c>
      <c r="N715" t="n">
        <v>0</v>
      </c>
      <c r="O715" t="n">
        <v>0</v>
      </c>
      <c r="P715" t="n">
        <v>0</v>
      </c>
      <c r="Q715" t="n">
        <v>0</v>
      </c>
      <c r="R715" s="2" t="inlineStr"/>
    </row>
    <row r="716" ht="15" customHeight="1">
      <c r="A716" t="inlineStr">
        <is>
          <t>A 46559-2023</t>
        </is>
      </c>
      <c r="B716" s="1" t="n">
        <v>45187</v>
      </c>
      <c r="C716" s="1" t="n">
        <v>45812</v>
      </c>
      <c r="D716" t="inlineStr">
        <is>
          <t>DALARNAS LÄN</t>
        </is>
      </c>
      <c r="E716" t="inlineStr">
        <is>
          <t>ÄLVDALEN</t>
        </is>
      </c>
      <c r="G716" t="n">
        <v>9.6</v>
      </c>
      <c r="H716" t="n">
        <v>0</v>
      </c>
      <c r="I716" t="n">
        <v>0</v>
      </c>
      <c r="J716" t="n">
        <v>0</v>
      </c>
      <c r="K716" t="n">
        <v>0</v>
      </c>
      <c r="L716" t="n">
        <v>0</v>
      </c>
      <c r="M716" t="n">
        <v>0</v>
      </c>
      <c r="N716" t="n">
        <v>0</v>
      </c>
      <c r="O716" t="n">
        <v>0</v>
      </c>
      <c r="P716" t="n">
        <v>0</v>
      </c>
      <c r="Q716" t="n">
        <v>0</v>
      </c>
      <c r="R716" s="2" t="inlineStr"/>
    </row>
    <row r="717" ht="15" customHeight="1">
      <c r="A717" t="inlineStr">
        <is>
          <t>A 44077-2023</t>
        </is>
      </c>
      <c r="B717" s="1" t="n">
        <v>45188</v>
      </c>
      <c r="C717" s="1" t="n">
        <v>45812</v>
      </c>
      <c r="D717" t="inlineStr">
        <is>
          <t>DALARNAS LÄN</t>
        </is>
      </c>
      <c r="E717" t="inlineStr">
        <is>
          <t>ÄLVDALEN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44253-2023</t>
        </is>
      </c>
      <c r="B718" s="1" t="n">
        <v>45188</v>
      </c>
      <c r="C718" s="1" t="n">
        <v>45812</v>
      </c>
      <c r="D718" t="inlineStr">
        <is>
          <t>DALARNAS LÄN</t>
        </is>
      </c>
      <c r="E718" t="inlineStr">
        <is>
          <t>ÄLVDALEN</t>
        </is>
      </c>
      <c r="F718" t="inlineStr">
        <is>
          <t>Allmännings- och besparingsskogar</t>
        </is>
      </c>
      <c r="G718" t="n">
        <v>1.7</v>
      </c>
      <c r="H718" t="n">
        <v>0</v>
      </c>
      <c r="I718" t="n">
        <v>0</v>
      </c>
      <c r="J718" t="n">
        <v>0</v>
      </c>
      <c r="K718" t="n">
        <v>0</v>
      </c>
      <c r="L718" t="n">
        <v>0</v>
      </c>
      <c r="M718" t="n">
        <v>0</v>
      </c>
      <c r="N718" t="n">
        <v>0</v>
      </c>
      <c r="O718" t="n">
        <v>0</v>
      </c>
      <c r="P718" t="n">
        <v>0</v>
      </c>
      <c r="Q718" t="n">
        <v>0</v>
      </c>
      <c r="R718" s="2" t="inlineStr"/>
    </row>
    <row r="719" ht="15" customHeight="1">
      <c r="A719" t="inlineStr">
        <is>
          <t>A 44605-2023</t>
        </is>
      </c>
      <c r="B719" s="1" t="n">
        <v>45189</v>
      </c>
      <c r="C719" s="1" t="n">
        <v>45812</v>
      </c>
      <c r="D719" t="inlineStr">
        <is>
          <t>DALARNAS LÄN</t>
        </is>
      </c>
      <c r="E719" t="inlineStr">
        <is>
          <t>ÄLVDALEN</t>
        </is>
      </c>
      <c r="G719" t="n">
        <v>16.9</v>
      </c>
      <c r="H719" t="n">
        <v>0</v>
      </c>
      <c r="I719" t="n">
        <v>0</v>
      </c>
      <c r="J719" t="n">
        <v>0</v>
      </c>
      <c r="K719" t="n">
        <v>0</v>
      </c>
      <c r="L719" t="n">
        <v>0</v>
      </c>
      <c r="M719" t="n">
        <v>0</v>
      </c>
      <c r="N719" t="n">
        <v>0</v>
      </c>
      <c r="O719" t="n">
        <v>0</v>
      </c>
      <c r="P719" t="n">
        <v>0</v>
      </c>
      <c r="Q719" t="n">
        <v>0</v>
      </c>
      <c r="R719" s="2" t="inlineStr"/>
    </row>
    <row r="720" ht="15" customHeight="1">
      <c r="A720" t="inlineStr">
        <is>
          <t>A 45122-2023</t>
        </is>
      </c>
      <c r="B720" s="1" t="n">
        <v>45191</v>
      </c>
      <c r="C720" s="1" t="n">
        <v>45812</v>
      </c>
      <c r="D720" t="inlineStr">
        <is>
          <t>DALARNAS LÄN</t>
        </is>
      </c>
      <c r="E720" t="inlineStr">
        <is>
          <t>ÄLVDALEN</t>
        </is>
      </c>
      <c r="G720" t="n">
        <v>2.7</v>
      </c>
      <c r="H720" t="n">
        <v>0</v>
      </c>
      <c r="I720" t="n">
        <v>0</v>
      </c>
      <c r="J720" t="n">
        <v>0</v>
      </c>
      <c r="K720" t="n">
        <v>0</v>
      </c>
      <c r="L720" t="n">
        <v>0</v>
      </c>
      <c r="M720" t="n">
        <v>0</v>
      </c>
      <c r="N720" t="n">
        <v>0</v>
      </c>
      <c r="O720" t="n">
        <v>0</v>
      </c>
      <c r="P720" t="n">
        <v>0</v>
      </c>
      <c r="Q720" t="n">
        <v>0</v>
      </c>
      <c r="R720" s="2" t="inlineStr"/>
    </row>
    <row r="721" ht="15" customHeight="1">
      <c r="A721" t="inlineStr">
        <is>
          <t>A 45540-2023</t>
        </is>
      </c>
      <c r="B721" s="1" t="n">
        <v>45194</v>
      </c>
      <c r="C721" s="1" t="n">
        <v>45812</v>
      </c>
      <c r="D721" t="inlineStr">
        <is>
          <t>DALARNAS LÄN</t>
        </is>
      </c>
      <c r="E721" t="inlineStr">
        <is>
          <t>ÄLVDALEN</t>
        </is>
      </c>
      <c r="G721" t="n">
        <v>14.5</v>
      </c>
      <c r="H721" t="n">
        <v>0</v>
      </c>
      <c r="I721" t="n">
        <v>0</v>
      </c>
      <c r="J721" t="n">
        <v>0</v>
      </c>
      <c r="K721" t="n">
        <v>0</v>
      </c>
      <c r="L721" t="n">
        <v>0</v>
      </c>
      <c r="M721" t="n">
        <v>0</v>
      </c>
      <c r="N721" t="n">
        <v>0</v>
      </c>
      <c r="O721" t="n">
        <v>0</v>
      </c>
      <c r="P721" t="n">
        <v>0</v>
      </c>
      <c r="Q721" t="n">
        <v>0</v>
      </c>
      <c r="R721" s="2" t="inlineStr"/>
    </row>
    <row r="722" ht="15" customHeight="1">
      <c r="A722" t="inlineStr">
        <is>
          <t>A 45544-2023</t>
        </is>
      </c>
      <c r="B722" s="1" t="n">
        <v>45194</v>
      </c>
      <c r="C722" s="1" t="n">
        <v>45812</v>
      </c>
      <c r="D722" t="inlineStr">
        <is>
          <t>DALARNAS LÄN</t>
        </is>
      </c>
      <c r="E722" t="inlineStr">
        <is>
          <t>ÄLVDALEN</t>
        </is>
      </c>
      <c r="F722" t="inlineStr">
        <is>
          <t>Allmännings- och besparingsskogar</t>
        </is>
      </c>
      <c r="G722" t="n">
        <v>9.6</v>
      </c>
      <c r="H722" t="n">
        <v>0</v>
      </c>
      <c r="I722" t="n">
        <v>0</v>
      </c>
      <c r="J722" t="n">
        <v>0</v>
      </c>
      <c r="K722" t="n">
        <v>0</v>
      </c>
      <c r="L722" t="n">
        <v>0</v>
      </c>
      <c r="M722" t="n">
        <v>0</v>
      </c>
      <c r="N722" t="n">
        <v>0</v>
      </c>
      <c r="O722" t="n">
        <v>0</v>
      </c>
      <c r="P722" t="n">
        <v>0</v>
      </c>
      <c r="Q722" t="n">
        <v>0</v>
      </c>
      <c r="R722" s="2" t="inlineStr"/>
    </row>
    <row r="723" ht="15" customHeight="1">
      <c r="A723" t="inlineStr">
        <is>
          <t>A 45898-2023</t>
        </is>
      </c>
      <c r="B723" s="1" t="n">
        <v>45195</v>
      </c>
      <c r="C723" s="1" t="n">
        <v>45812</v>
      </c>
      <c r="D723" t="inlineStr">
        <is>
          <t>DALARNAS LÄN</t>
        </is>
      </c>
      <c r="E723" t="inlineStr">
        <is>
          <t>ÄLVDALEN</t>
        </is>
      </c>
      <c r="G723" t="n">
        <v>3.6</v>
      </c>
      <c r="H723" t="n">
        <v>0</v>
      </c>
      <c r="I723" t="n">
        <v>0</v>
      </c>
      <c r="J723" t="n">
        <v>0</v>
      </c>
      <c r="K723" t="n">
        <v>0</v>
      </c>
      <c r="L723" t="n">
        <v>0</v>
      </c>
      <c r="M723" t="n">
        <v>0</v>
      </c>
      <c r="N723" t="n">
        <v>0</v>
      </c>
      <c r="O723" t="n">
        <v>0</v>
      </c>
      <c r="P723" t="n">
        <v>0</v>
      </c>
      <c r="Q723" t="n">
        <v>0</v>
      </c>
      <c r="R723" s="2" t="inlineStr"/>
    </row>
    <row r="724" ht="15" customHeight="1">
      <c r="A724" t="inlineStr">
        <is>
          <t>A 45859-2023</t>
        </is>
      </c>
      <c r="B724" s="1" t="n">
        <v>45195</v>
      </c>
      <c r="C724" s="1" t="n">
        <v>45812</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45894-2023</t>
        </is>
      </c>
      <c r="B725" s="1" t="n">
        <v>45195</v>
      </c>
      <c r="C725" s="1" t="n">
        <v>45812</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46011-2023</t>
        </is>
      </c>
      <c r="B726" s="1" t="n">
        <v>45196</v>
      </c>
      <c r="C726" s="1" t="n">
        <v>45812</v>
      </c>
      <c r="D726" t="inlineStr">
        <is>
          <t>DALARNAS LÄN</t>
        </is>
      </c>
      <c r="E726" t="inlineStr">
        <is>
          <t>ÄLVDALEN</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46322-2023</t>
        </is>
      </c>
      <c r="B727" s="1" t="n">
        <v>45197</v>
      </c>
      <c r="C727" s="1" t="n">
        <v>45812</v>
      </c>
      <c r="D727" t="inlineStr">
        <is>
          <t>DALARNAS LÄN</t>
        </is>
      </c>
      <c r="E727" t="inlineStr">
        <is>
          <t>ÄLVDALEN</t>
        </is>
      </c>
      <c r="G727" t="n">
        <v>1.4</v>
      </c>
      <c r="H727" t="n">
        <v>0</v>
      </c>
      <c r="I727" t="n">
        <v>0</v>
      </c>
      <c r="J727" t="n">
        <v>0</v>
      </c>
      <c r="K727" t="n">
        <v>0</v>
      </c>
      <c r="L727" t="n">
        <v>0</v>
      </c>
      <c r="M727" t="n">
        <v>0</v>
      </c>
      <c r="N727" t="n">
        <v>0</v>
      </c>
      <c r="O727" t="n">
        <v>0</v>
      </c>
      <c r="P727" t="n">
        <v>0</v>
      </c>
      <c r="Q727" t="n">
        <v>0</v>
      </c>
      <c r="R727" s="2" t="inlineStr"/>
    </row>
    <row r="728" ht="15" customHeight="1">
      <c r="A728" t="inlineStr">
        <is>
          <t>A 46329-2023</t>
        </is>
      </c>
      <c r="B728" s="1" t="n">
        <v>45197</v>
      </c>
      <c r="C728" s="1" t="n">
        <v>45812</v>
      </c>
      <c r="D728" t="inlineStr">
        <is>
          <t>DALARNAS LÄN</t>
        </is>
      </c>
      <c r="E728" t="inlineStr">
        <is>
          <t>ÄLVDALEN</t>
        </is>
      </c>
      <c r="G728" t="n">
        <v>2.8</v>
      </c>
      <c r="H728" t="n">
        <v>0</v>
      </c>
      <c r="I728" t="n">
        <v>0</v>
      </c>
      <c r="J728" t="n">
        <v>0</v>
      </c>
      <c r="K728" t="n">
        <v>0</v>
      </c>
      <c r="L728" t="n">
        <v>0</v>
      </c>
      <c r="M728" t="n">
        <v>0</v>
      </c>
      <c r="N728" t="n">
        <v>0</v>
      </c>
      <c r="O728" t="n">
        <v>0</v>
      </c>
      <c r="P728" t="n">
        <v>0</v>
      </c>
      <c r="Q728" t="n">
        <v>0</v>
      </c>
      <c r="R728" s="2" t="inlineStr"/>
    </row>
    <row r="729" ht="15" customHeight="1">
      <c r="A729" t="inlineStr">
        <is>
          <t>A 47064-2023</t>
        </is>
      </c>
      <c r="B729" s="1" t="n">
        <v>45201</v>
      </c>
      <c r="C729" s="1" t="n">
        <v>45812</v>
      </c>
      <c r="D729" t="inlineStr">
        <is>
          <t>DALARNAS LÄN</t>
        </is>
      </c>
      <c r="E729" t="inlineStr">
        <is>
          <t>ÄLVDALEN</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47078-2023</t>
        </is>
      </c>
      <c r="B730" s="1" t="n">
        <v>45201</v>
      </c>
      <c r="C730" s="1" t="n">
        <v>45812</v>
      </c>
      <c r="D730" t="inlineStr">
        <is>
          <t>DALARNAS LÄN</t>
        </is>
      </c>
      <c r="E730" t="inlineStr">
        <is>
          <t>ÄLVDALEN</t>
        </is>
      </c>
      <c r="F730" t="inlineStr">
        <is>
          <t>Bergvik skog väst AB</t>
        </is>
      </c>
      <c r="G730" t="n">
        <v>6.6</v>
      </c>
      <c r="H730" t="n">
        <v>0</v>
      </c>
      <c r="I730" t="n">
        <v>0</v>
      </c>
      <c r="J730" t="n">
        <v>0</v>
      </c>
      <c r="K730" t="n">
        <v>0</v>
      </c>
      <c r="L730" t="n">
        <v>0</v>
      </c>
      <c r="M730" t="n">
        <v>0</v>
      </c>
      <c r="N730" t="n">
        <v>0</v>
      </c>
      <c r="O730" t="n">
        <v>0</v>
      </c>
      <c r="P730" t="n">
        <v>0</v>
      </c>
      <c r="Q730" t="n">
        <v>0</v>
      </c>
      <c r="R730" s="2" t="inlineStr"/>
    </row>
    <row r="731" ht="15" customHeight="1">
      <c r="A731" t="inlineStr">
        <is>
          <t>A 47081-2023</t>
        </is>
      </c>
      <c r="B731" s="1" t="n">
        <v>45201</v>
      </c>
      <c r="C731" s="1" t="n">
        <v>45812</v>
      </c>
      <c r="D731" t="inlineStr">
        <is>
          <t>DALARNAS LÄN</t>
        </is>
      </c>
      <c r="E731" t="inlineStr">
        <is>
          <t>ÄLVDALEN</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47085-2023</t>
        </is>
      </c>
      <c r="B732" s="1" t="n">
        <v>45201</v>
      </c>
      <c r="C732" s="1" t="n">
        <v>45812</v>
      </c>
      <c r="D732" t="inlineStr">
        <is>
          <t>DALARNAS LÄN</t>
        </is>
      </c>
      <c r="E732" t="inlineStr">
        <is>
          <t>ÄLVDALEN</t>
        </is>
      </c>
      <c r="G732" t="n">
        <v>7.2</v>
      </c>
      <c r="H732" t="n">
        <v>0</v>
      </c>
      <c r="I732" t="n">
        <v>0</v>
      </c>
      <c r="J732" t="n">
        <v>0</v>
      </c>
      <c r="K732" t="n">
        <v>0</v>
      </c>
      <c r="L732" t="n">
        <v>0</v>
      </c>
      <c r="M732" t="n">
        <v>0</v>
      </c>
      <c r="N732" t="n">
        <v>0</v>
      </c>
      <c r="O732" t="n">
        <v>0</v>
      </c>
      <c r="P732" t="n">
        <v>0</v>
      </c>
      <c r="Q732" t="n">
        <v>0</v>
      </c>
      <c r="R732" s="2" t="inlineStr"/>
    </row>
    <row r="733" ht="15" customHeight="1">
      <c r="A733" t="inlineStr">
        <is>
          <t>A 47054-2023</t>
        </is>
      </c>
      <c r="B733" s="1" t="n">
        <v>45201</v>
      </c>
      <c r="C733" s="1" t="n">
        <v>45812</v>
      </c>
      <c r="D733" t="inlineStr">
        <is>
          <t>DALARNAS LÄN</t>
        </is>
      </c>
      <c r="E733" t="inlineStr">
        <is>
          <t>ÄLVDALEN</t>
        </is>
      </c>
      <c r="G733" t="n">
        <v>1.8</v>
      </c>
      <c r="H733" t="n">
        <v>0</v>
      </c>
      <c r="I733" t="n">
        <v>0</v>
      </c>
      <c r="J733" t="n">
        <v>0</v>
      </c>
      <c r="K733" t="n">
        <v>0</v>
      </c>
      <c r="L733" t="n">
        <v>0</v>
      </c>
      <c r="M733" t="n">
        <v>0</v>
      </c>
      <c r="N733" t="n">
        <v>0</v>
      </c>
      <c r="O733" t="n">
        <v>0</v>
      </c>
      <c r="P733" t="n">
        <v>0</v>
      </c>
      <c r="Q733" t="n">
        <v>0</v>
      </c>
      <c r="R733" s="2" t="inlineStr"/>
    </row>
    <row r="734" ht="15" customHeight="1">
      <c r="A734" t="inlineStr">
        <is>
          <t>A 47071-2023</t>
        </is>
      </c>
      <c r="B734" s="1" t="n">
        <v>45201</v>
      </c>
      <c r="C734" s="1" t="n">
        <v>45812</v>
      </c>
      <c r="D734" t="inlineStr">
        <is>
          <t>DALARNAS LÄN</t>
        </is>
      </c>
      <c r="E734" t="inlineStr">
        <is>
          <t>ÄLVDALEN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47873-2023</t>
        </is>
      </c>
      <c r="B735" s="1" t="n">
        <v>45204</v>
      </c>
      <c r="C735" s="1" t="n">
        <v>45812</v>
      </c>
      <c r="D735" t="inlineStr">
        <is>
          <t>DALARNAS LÄN</t>
        </is>
      </c>
      <c r="E735" t="inlineStr">
        <is>
          <t>ÄLVDALEN</t>
        </is>
      </c>
      <c r="G735" t="n">
        <v>1.3</v>
      </c>
      <c r="H735" t="n">
        <v>0</v>
      </c>
      <c r="I735" t="n">
        <v>0</v>
      </c>
      <c r="J735" t="n">
        <v>0</v>
      </c>
      <c r="K735" t="n">
        <v>0</v>
      </c>
      <c r="L735" t="n">
        <v>0</v>
      </c>
      <c r="M735" t="n">
        <v>0</v>
      </c>
      <c r="N735" t="n">
        <v>0</v>
      </c>
      <c r="O735" t="n">
        <v>0</v>
      </c>
      <c r="P735" t="n">
        <v>0</v>
      </c>
      <c r="Q735" t="n">
        <v>0</v>
      </c>
      <c r="R735" s="2" t="inlineStr"/>
    </row>
    <row r="736" ht="15" customHeight="1">
      <c r="A736" t="inlineStr">
        <is>
          <t>A 47877-2023</t>
        </is>
      </c>
      <c r="B736" s="1" t="n">
        <v>45204</v>
      </c>
      <c r="C736" s="1" t="n">
        <v>45812</v>
      </c>
      <c r="D736" t="inlineStr">
        <is>
          <t>DALARNAS LÄN</t>
        </is>
      </c>
      <c r="E736" t="inlineStr">
        <is>
          <t>ÄLVDALEN</t>
        </is>
      </c>
      <c r="G736" t="n">
        <v>4.8</v>
      </c>
      <c r="H736" t="n">
        <v>0</v>
      </c>
      <c r="I736" t="n">
        <v>0</v>
      </c>
      <c r="J736" t="n">
        <v>0</v>
      </c>
      <c r="K736" t="n">
        <v>0</v>
      </c>
      <c r="L736" t="n">
        <v>0</v>
      </c>
      <c r="M736" t="n">
        <v>0</v>
      </c>
      <c r="N736" t="n">
        <v>0</v>
      </c>
      <c r="O736" t="n">
        <v>0</v>
      </c>
      <c r="P736" t="n">
        <v>0</v>
      </c>
      <c r="Q736" t="n">
        <v>0</v>
      </c>
      <c r="R736" s="2" t="inlineStr"/>
    </row>
    <row r="737" ht="15" customHeight="1">
      <c r="A737" t="inlineStr">
        <is>
          <t>A 47869-2023</t>
        </is>
      </c>
      <c r="B737" s="1" t="n">
        <v>45204</v>
      </c>
      <c r="C737" s="1" t="n">
        <v>45812</v>
      </c>
      <c r="D737" t="inlineStr">
        <is>
          <t>DALARNAS LÄN</t>
        </is>
      </c>
      <c r="E737" t="inlineStr">
        <is>
          <t>ÄLVDALEN</t>
        </is>
      </c>
      <c r="G737" t="n">
        <v>11</v>
      </c>
      <c r="H737" t="n">
        <v>0</v>
      </c>
      <c r="I737" t="n">
        <v>0</v>
      </c>
      <c r="J737" t="n">
        <v>0</v>
      </c>
      <c r="K737" t="n">
        <v>0</v>
      </c>
      <c r="L737" t="n">
        <v>0</v>
      </c>
      <c r="M737" t="n">
        <v>0</v>
      </c>
      <c r="N737" t="n">
        <v>0</v>
      </c>
      <c r="O737" t="n">
        <v>0</v>
      </c>
      <c r="P737" t="n">
        <v>0</v>
      </c>
      <c r="Q737" t="n">
        <v>0</v>
      </c>
      <c r="R737" s="2" t="inlineStr"/>
    </row>
    <row r="738" ht="15" customHeight="1">
      <c r="A738" t="inlineStr">
        <is>
          <t>A 48652-2023</t>
        </is>
      </c>
      <c r="B738" s="1" t="n">
        <v>45208</v>
      </c>
      <c r="C738" s="1" t="n">
        <v>45812</v>
      </c>
      <c r="D738" t="inlineStr">
        <is>
          <t>DALARNAS LÄN</t>
        </is>
      </c>
      <c r="E738" t="inlineStr">
        <is>
          <t>ÄLVDALEN</t>
        </is>
      </c>
      <c r="G738" t="n">
        <v>15</v>
      </c>
      <c r="H738" t="n">
        <v>0</v>
      </c>
      <c r="I738" t="n">
        <v>0</v>
      </c>
      <c r="J738" t="n">
        <v>0</v>
      </c>
      <c r="K738" t="n">
        <v>0</v>
      </c>
      <c r="L738" t="n">
        <v>0</v>
      </c>
      <c r="M738" t="n">
        <v>0</v>
      </c>
      <c r="N738" t="n">
        <v>0</v>
      </c>
      <c r="O738" t="n">
        <v>0</v>
      </c>
      <c r="P738" t="n">
        <v>0</v>
      </c>
      <c r="Q738" t="n">
        <v>0</v>
      </c>
      <c r="R738" s="2" t="inlineStr"/>
    </row>
    <row r="739" ht="15" customHeight="1">
      <c r="A739" t="inlineStr">
        <is>
          <t>A 48951-2023</t>
        </is>
      </c>
      <c r="B739" s="1" t="n">
        <v>45209</v>
      </c>
      <c r="C739" s="1" t="n">
        <v>45812</v>
      </c>
      <c r="D739" t="inlineStr">
        <is>
          <t>DALARNAS LÄN</t>
        </is>
      </c>
      <c r="E739" t="inlineStr">
        <is>
          <t>ÄLVDALEN</t>
        </is>
      </c>
      <c r="G739" t="n">
        <v>1.6</v>
      </c>
      <c r="H739" t="n">
        <v>0</v>
      </c>
      <c r="I739" t="n">
        <v>0</v>
      </c>
      <c r="J739" t="n">
        <v>0</v>
      </c>
      <c r="K739" t="n">
        <v>0</v>
      </c>
      <c r="L739" t="n">
        <v>0</v>
      </c>
      <c r="M739" t="n">
        <v>0</v>
      </c>
      <c r="N739" t="n">
        <v>0</v>
      </c>
      <c r="O739" t="n">
        <v>0</v>
      </c>
      <c r="P739" t="n">
        <v>0</v>
      </c>
      <c r="Q739" t="n">
        <v>0</v>
      </c>
      <c r="R739" s="2" t="inlineStr"/>
    </row>
    <row r="740" ht="15" customHeight="1">
      <c r="A740" t="inlineStr">
        <is>
          <t>A 48954-2023</t>
        </is>
      </c>
      <c r="B740" s="1" t="n">
        <v>45209</v>
      </c>
      <c r="C740" s="1" t="n">
        <v>45812</v>
      </c>
      <c r="D740" t="inlineStr">
        <is>
          <t>DALARNAS LÄN</t>
        </is>
      </c>
      <c r="E740" t="inlineStr">
        <is>
          <t>ÄLVDALEN</t>
        </is>
      </c>
      <c r="G740" t="n">
        <v>7</v>
      </c>
      <c r="H740" t="n">
        <v>0</v>
      </c>
      <c r="I740" t="n">
        <v>0</v>
      </c>
      <c r="J740" t="n">
        <v>0</v>
      </c>
      <c r="K740" t="n">
        <v>0</v>
      </c>
      <c r="L740" t="n">
        <v>0</v>
      </c>
      <c r="M740" t="n">
        <v>0</v>
      </c>
      <c r="N740" t="n">
        <v>0</v>
      </c>
      <c r="O740" t="n">
        <v>0</v>
      </c>
      <c r="P740" t="n">
        <v>0</v>
      </c>
      <c r="Q740" t="n">
        <v>0</v>
      </c>
      <c r="R740" s="2" t="inlineStr"/>
    </row>
    <row r="741" ht="15" customHeight="1">
      <c r="A741" t="inlineStr">
        <is>
          <t>A 49081-2023</t>
        </is>
      </c>
      <c r="B741" s="1" t="n">
        <v>45210</v>
      </c>
      <c r="C741" s="1" t="n">
        <v>45812</v>
      </c>
      <c r="D741" t="inlineStr">
        <is>
          <t>DALARNAS LÄN</t>
        </is>
      </c>
      <c r="E741" t="inlineStr">
        <is>
          <t>ÄLVDALEN</t>
        </is>
      </c>
      <c r="G741" t="n">
        <v>16.3</v>
      </c>
      <c r="H741" t="n">
        <v>0</v>
      </c>
      <c r="I741" t="n">
        <v>0</v>
      </c>
      <c r="J741" t="n">
        <v>0</v>
      </c>
      <c r="K741" t="n">
        <v>0</v>
      </c>
      <c r="L741" t="n">
        <v>0</v>
      </c>
      <c r="M741" t="n">
        <v>0</v>
      </c>
      <c r="N741" t="n">
        <v>0</v>
      </c>
      <c r="O741" t="n">
        <v>0</v>
      </c>
      <c r="P741" t="n">
        <v>0</v>
      </c>
      <c r="Q741" t="n">
        <v>0</v>
      </c>
      <c r="R741" s="2" t="inlineStr"/>
    </row>
    <row r="742" ht="15" customHeight="1">
      <c r="A742" t="inlineStr">
        <is>
          <t>A 49063-2023</t>
        </is>
      </c>
      <c r="B742" s="1" t="n">
        <v>45210</v>
      </c>
      <c r="C742" s="1" t="n">
        <v>45812</v>
      </c>
      <c r="D742" t="inlineStr">
        <is>
          <t>DALARNAS LÄN</t>
        </is>
      </c>
      <c r="E742" t="inlineStr">
        <is>
          <t>ÄLVDALEN</t>
        </is>
      </c>
      <c r="G742" t="n">
        <v>4.1</v>
      </c>
      <c r="H742" t="n">
        <v>0</v>
      </c>
      <c r="I742" t="n">
        <v>0</v>
      </c>
      <c r="J742" t="n">
        <v>0</v>
      </c>
      <c r="K742" t="n">
        <v>0</v>
      </c>
      <c r="L742" t="n">
        <v>0</v>
      </c>
      <c r="M742" t="n">
        <v>0</v>
      </c>
      <c r="N742" t="n">
        <v>0</v>
      </c>
      <c r="O742" t="n">
        <v>0</v>
      </c>
      <c r="P742" t="n">
        <v>0</v>
      </c>
      <c r="Q742" t="n">
        <v>0</v>
      </c>
      <c r="R742" s="2" t="inlineStr"/>
    </row>
    <row r="743" ht="15" customHeight="1">
      <c r="A743" t="inlineStr">
        <is>
          <t>A 49137-2023</t>
        </is>
      </c>
      <c r="B743" s="1" t="n">
        <v>45210</v>
      </c>
      <c r="C743" s="1" t="n">
        <v>45812</v>
      </c>
      <c r="D743" t="inlineStr">
        <is>
          <t>DALARNAS LÄN</t>
        </is>
      </c>
      <c r="E743" t="inlineStr">
        <is>
          <t>ÄLVDALEN</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49236-2023</t>
        </is>
      </c>
      <c r="B744" s="1" t="n">
        <v>45210</v>
      </c>
      <c r="C744" s="1" t="n">
        <v>45812</v>
      </c>
      <c r="D744" t="inlineStr">
        <is>
          <t>DALARNAS LÄN</t>
        </is>
      </c>
      <c r="E744" t="inlineStr">
        <is>
          <t>ÄLVDALEN</t>
        </is>
      </c>
      <c r="F744" t="inlineStr">
        <is>
          <t>Bergvik skog väst AB</t>
        </is>
      </c>
      <c r="G744" t="n">
        <v>4.4</v>
      </c>
      <c r="H744" t="n">
        <v>0</v>
      </c>
      <c r="I744" t="n">
        <v>0</v>
      </c>
      <c r="J744" t="n">
        <v>0</v>
      </c>
      <c r="K744" t="n">
        <v>0</v>
      </c>
      <c r="L744" t="n">
        <v>0</v>
      </c>
      <c r="M744" t="n">
        <v>0</v>
      </c>
      <c r="N744" t="n">
        <v>0</v>
      </c>
      <c r="O744" t="n">
        <v>0</v>
      </c>
      <c r="P744" t="n">
        <v>0</v>
      </c>
      <c r="Q744" t="n">
        <v>0</v>
      </c>
      <c r="R744" s="2" t="inlineStr"/>
    </row>
    <row r="745" ht="15" customHeight="1">
      <c r="A745" t="inlineStr">
        <is>
          <t>A 49203-2023</t>
        </is>
      </c>
      <c r="B745" s="1" t="n">
        <v>45210</v>
      </c>
      <c r="C745" s="1" t="n">
        <v>45812</v>
      </c>
      <c r="D745" t="inlineStr">
        <is>
          <t>DALARNAS LÄN</t>
        </is>
      </c>
      <c r="E745" t="inlineStr">
        <is>
          <t>ÄLVDALEN</t>
        </is>
      </c>
      <c r="F745" t="inlineStr">
        <is>
          <t>Bergvik skog väst AB</t>
        </is>
      </c>
      <c r="G745" t="n">
        <v>18.2</v>
      </c>
      <c r="H745" t="n">
        <v>0</v>
      </c>
      <c r="I745" t="n">
        <v>0</v>
      </c>
      <c r="J745" t="n">
        <v>0</v>
      </c>
      <c r="K745" t="n">
        <v>0</v>
      </c>
      <c r="L745" t="n">
        <v>0</v>
      </c>
      <c r="M745" t="n">
        <v>0</v>
      </c>
      <c r="N745" t="n">
        <v>0</v>
      </c>
      <c r="O745" t="n">
        <v>0</v>
      </c>
      <c r="P745" t="n">
        <v>0</v>
      </c>
      <c r="Q745" t="n">
        <v>0</v>
      </c>
      <c r="R745" s="2" t="inlineStr"/>
    </row>
    <row r="746" ht="15" customHeight="1">
      <c r="A746" t="inlineStr">
        <is>
          <t>A 49272-2023</t>
        </is>
      </c>
      <c r="B746" s="1" t="n">
        <v>45210</v>
      </c>
      <c r="C746" s="1" t="n">
        <v>45812</v>
      </c>
      <c r="D746" t="inlineStr">
        <is>
          <t>DALARNAS LÄN</t>
        </is>
      </c>
      <c r="E746" t="inlineStr">
        <is>
          <t>ÄLVDALEN</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49404-2023</t>
        </is>
      </c>
      <c r="B747" s="1" t="n">
        <v>45211</v>
      </c>
      <c r="C747" s="1" t="n">
        <v>45812</v>
      </c>
      <c r="D747" t="inlineStr">
        <is>
          <t>DALARNAS LÄN</t>
        </is>
      </c>
      <c r="E747" t="inlineStr">
        <is>
          <t>ÄLVDALEN</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49723-2023</t>
        </is>
      </c>
      <c r="B748" s="1" t="n">
        <v>45212</v>
      </c>
      <c r="C748" s="1" t="n">
        <v>45812</v>
      </c>
      <c r="D748" t="inlineStr">
        <is>
          <t>DALARNAS LÄN</t>
        </is>
      </c>
      <c r="E748" t="inlineStr">
        <is>
          <t>ÄLVDALEN</t>
        </is>
      </c>
      <c r="F748" t="inlineStr">
        <is>
          <t>Bergvik skog väst AB</t>
        </is>
      </c>
      <c r="G748" t="n">
        <v>5</v>
      </c>
      <c r="H748" t="n">
        <v>0</v>
      </c>
      <c r="I748" t="n">
        <v>0</v>
      </c>
      <c r="J748" t="n">
        <v>0</v>
      </c>
      <c r="K748" t="n">
        <v>0</v>
      </c>
      <c r="L748" t="n">
        <v>0</v>
      </c>
      <c r="M748" t="n">
        <v>0</v>
      </c>
      <c r="N748" t="n">
        <v>0</v>
      </c>
      <c r="O748" t="n">
        <v>0</v>
      </c>
      <c r="P748" t="n">
        <v>0</v>
      </c>
      <c r="Q748" t="n">
        <v>0</v>
      </c>
      <c r="R748" s="2" t="inlineStr"/>
    </row>
    <row r="749" ht="15" customHeight="1">
      <c r="A749" t="inlineStr">
        <is>
          <t>A 49974-2023</t>
        </is>
      </c>
      <c r="B749" s="1" t="n">
        <v>45215</v>
      </c>
      <c r="C749" s="1" t="n">
        <v>45812</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50440-2023</t>
        </is>
      </c>
      <c r="B750" s="1" t="n">
        <v>45216</v>
      </c>
      <c r="C750" s="1" t="n">
        <v>45812</v>
      </c>
      <c r="D750" t="inlineStr">
        <is>
          <t>DALARNAS LÄN</t>
        </is>
      </c>
      <c r="E750" t="inlineStr">
        <is>
          <t>ÄLVDALEN</t>
        </is>
      </c>
      <c r="F750" t="inlineStr">
        <is>
          <t>Allmännings- och besparingsskogar</t>
        </is>
      </c>
      <c r="G750" t="n">
        <v>3.4</v>
      </c>
      <c r="H750" t="n">
        <v>0</v>
      </c>
      <c r="I750" t="n">
        <v>0</v>
      </c>
      <c r="J750" t="n">
        <v>0</v>
      </c>
      <c r="K750" t="n">
        <v>0</v>
      </c>
      <c r="L750" t="n">
        <v>0</v>
      </c>
      <c r="M750" t="n">
        <v>0</v>
      </c>
      <c r="N750" t="n">
        <v>0</v>
      </c>
      <c r="O750" t="n">
        <v>0</v>
      </c>
      <c r="P750" t="n">
        <v>0</v>
      </c>
      <c r="Q750" t="n">
        <v>0</v>
      </c>
      <c r="R750" s="2" t="inlineStr"/>
    </row>
    <row r="751" ht="15" customHeight="1">
      <c r="A751" t="inlineStr">
        <is>
          <t>A 51967-2023</t>
        </is>
      </c>
      <c r="B751" s="1" t="n">
        <v>45223</v>
      </c>
      <c r="C751" s="1" t="n">
        <v>45812</v>
      </c>
      <c r="D751" t="inlineStr">
        <is>
          <t>DALARNAS LÄN</t>
        </is>
      </c>
      <c r="E751" t="inlineStr">
        <is>
          <t>ÄLVDALEN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51897-2023</t>
        </is>
      </c>
      <c r="B752" s="1" t="n">
        <v>45223</v>
      </c>
      <c r="C752" s="1" t="n">
        <v>45812</v>
      </c>
      <c r="D752" t="inlineStr">
        <is>
          <t>DALARNAS LÄN</t>
        </is>
      </c>
      <c r="E752" t="inlineStr">
        <is>
          <t>ÄLVDALEN</t>
        </is>
      </c>
      <c r="F752" t="inlineStr">
        <is>
          <t>Allmännings- och besparingsskogar</t>
        </is>
      </c>
      <c r="G752" t="n">
        <v>32.6</v>
      </c>
      <c r="H752" t="n">
        <v>0</v>
      </c>
      <c r="I752" t="n">
        <v>0</v>
      </c>
      <c r="J752" t="n">
        <v>0</v>
      </c>
      <c r="K752" t="n">
        <v>0</v>
      </c>
      <c r="L752" t="n">
        <v>0</v>
      </c>
      <c r="M752" t="n">
        <v>0</v>
      </c>
      <c r="N752" t="n">
        <v>0</v>
      </c>
      <c r="O752" t="n">
        <v>0</v>
      </c>
      <c r="P752" t="n">
        <v>0</v>
      </c>
      <c r="Q752" t="n">
        <v>0</v>
      </c>
      <c r="R752" s="2" t="inlineStr"/>
    </row>
    <row r="753" ht="15" customHeight="1">
      <c r="A753" t="inlineStr">
        <is>
          <t>A 52210-2023</t>
        </is>
      </c>
      <c r="B753" s="1" t="n">
        <v>45224</v>
      </c>
      <c r="C753" s="1" t="n">
        <v>45812</v>
      </c>
      <c r="D753" t="inlineStr">
        <is>
          <t>DALARNAS LÄN</t>
        </is>
      </c>
      <c r="E753" t="inlineStr">
        <is>
          <t>ÄLVDALEN</t>
        </is>
      </c>
      <c r="F753" t="inlineStr">
        <is>
          <t>Allmännings- och besparingsskogar</t>
        </is>
      </c>
      <c r="G753" t="n">
        <v>16.2</v>
      </c>
      <c r="H753" t="n">
        <v>0</v>
      </c>
      <c r="I753" t="n">
        <v>0</v>
      </c>
      <c r="J753" t="n">
        <v>0</v>
      </c>
      <c r="K753" t="n">
        <v>0</v>
      </c>
      <c r="L753" t="n">
        <v>0</v>
      </c>
      <c r="M753" t="n">
        <v>0</v>
      </c>
      <c r="N753" t="n">
        <v>0</v>
      </c>
      <c r="O753" t="n">
        <v>0</v>
      </c>
      <c r="P753" t="n">
        <v>0</v>
      </c>
      <c r="Q753" t="n">
        <v>0</v>
      </c>
      <c r="R753" s="2" t="inlineStr"/>
    </row>
    <row r="754" ht="15" customHeight="1">
      <c r="A754" t="inlineStr">
        <is>
          <t>A 52388-2023</t>
        </is>
      </c>
      <c r="B754" s="1" t="n">
        <v>45224</v>
      </c>
      <c r="C754" s="1" t="n">
        <v>45812</v>
      </c>
      <c r="D754" t="inlineStr">
        <is>
          <t>DALARNAS LÄN</t>
        </is>
      </c>
      <c r="E754" t="inlineStr">
        <is>
          <t>ÄLVDALEN</t>
        </is>
      </c>
      <c r="G754" t="n">
        <v>4.2</v>
      </c>
      <c r="H754" t="n">
        <v>0</v>
      </c>
      <c r="I754" t="n">
        <v>0</v>
      </c>
      <c r="J754" t="n">
        <v>0</v>
      </c>
      <c r="K754" t="n">
        <v>0</v>
      </c>
      <c r="L754" t="n">
        <v>0</v>
      </c>
      <c r="M754" t="n">
        <v>0</v>
      </c>
      <c r="N754" t="n">
        <v>0</v>
      </c>
      <c r="O754" t="n">
        <v>0</v>
      </c>
      <c r="P754" t="n">
        <v>0</v>
      </c>
      <c r="Q754" t="n">
        <v>0</v>
      </c>
      <c r="R754" s="2" t="inlineStr"/>
    </row>
    <row r="755" ht="15" customHeight="1">
      <c r="A755" t="inlineStr">
        <is>
          <t>A 52483-2023</t>
        </is>
      </c>
      <c r="B755" s="1" t="n">
        <v>45225</v>
      </c>
      <c r="C755" s="1" t="n">
        <v>45812</v>
      </c>
      <c r="D755" t="inlineStr">
        <is>
          <t>DALARNAS LÄN</t>
        </is>
      </c>
      <c r="E755" t="inlineStr">
        <is>
          <t>ÄLVDALEN</t>
        </is>
      </c>
      <c r="F755" t="inlineStr">
        <is>
          <t>Allmännings- och besparingsskogar</t>
        </is>
      </c>
      <c r="G755" t="n">
        <v>30.9</v>
      </c>
      <c r="H755" t="n">
        <v>0</v>
      </c>
      <c r="I755" t="n">
        <v>0</v>
      </c>
      <c r="J755" t="n">
        <v>0</v>
      </c>
      <c r="K755" t="n">
        <v>0</v>
      </c>
      <c r="L755" t="n">
        <v>0</v>
      </c>
      <c r="M755" t="n">
        <v>0</v>
      </c>
      <c r="N755" t="n">
        <v>0</v>
      </c>
      <c r="O755" t="n">
        <v>0</v>
      </c>
      <c r="P755" t="n">
        <v>0</v>
      </c>
      <c r="Q755" t="n">
        <v>0</v>
      </c>
      <c r="R755" s="2" t="inlineStr"/>
      <c r="U755">
        <f>HYPERLINK("https://klasma.github.io/Logging_2039/knärot/A 52483-2023 karta knärot.png", "A 52483-2023")</f>
        <v/>
      </c>
      <c r="V755">
        <f>HYPERLINK("https://klasma.github.io/Logging_2039/klagomål/A 52483-2023 FSC-klagomål.docx", "A 52483-2023")</f>
        <v/>
      </c>
      <c r="W755">
        <f>HYPERLINK("https://klasma.github.io/Logging_2039/klagomålsmail/A 52483-2023 FSC-klagomål mail.docx", "A 52483-2023")</f>
        <v/>
      </c>
      <c r="X755">
        <f>HYPERLINK("https://klasma.github.io/Logging_2039/tillsyn/A 52483-2023 tillsynsbegäran.docx", "A 52483-2023")</f>
        <v/>
      </c>
      <c r="Y755">
        <f>HYPERLINK("https://klasma.github.io/Logging_2039/tillsynsmail/A 52483-2023 tillsynsbegäran mail.docx", "A 52483-2023")</f>
        <v/>
      </c>
    </row>
    <row r="756" ht="15" customHeight="1">
      <c r="A756" t="inlineStr">
        <is>
          <t>A 53408-2023</t>
        </is>
      </c>
      <c r="B756" s="1" t="n">
        <v>45229</v>
      </c>
      <c r="C756" s="1" t="n">
        <v>45812</v>
      </c>
      <c r="D756" t="inlineStr">
        <is>
          <t>DALARNAS LÄN</t>
        </is>
      </c>
      <c r="E756" t="inlineStr">
        <is>
          <t>ÄLVDALEN</t>
        </is>
      </c>
      <c r="G756" t="n">
        <v>2</v>
      </c>
      <c r="H756" t="n">
        <v>0</v>
      </c>
      <c r="I756" t="n">
        <v>0</v>
      </c>
      <c r="J756" t="n">
        <v>0</v>
      </c>
      <c r="K756" t="n">
        <v>0</v>
      </c>
      <c r="L756" t="n">
        <v>0</v>
      </c>
      <c r="M756" t="n">
        <v>0</v>
      </c>
      <c r="N756" t="n">
        <v>0</v>
      </c>
      <c r="O756" t="n">
        <v>0</v>
      </c>
      <c r="P756" t="n">
        <v>0</v>
      </c>
      <c r="Q756" t="n">
        <v>0</v>
      </c>
      <c r="R756" s="2" t="inlineStr"/>
    </row>
    <row r="757" ht="15" customHeight="1">
      <c r="A757" t="inlineStr">
        <is>
          <t>A 53200-2023</t>
        </is>
      </c>
      <c r="B757" s="1" t="n">
        <v>45229</v>
      </c>
      <c r="C757" s="1" t="n">
        <v>45812</v>
      </c>
      <c r="D757" t="inlineStr">
        <is>
          <t>DALARNAS LÄN</t>
        </is>
      </c>
      <c r="E757" t="inlineStr">
        <is>
          <t>ÄLVDALEN</t>
        </is>
      </c>
      <c r="G757" t="n">
        <v>2.4</v>
      </c>
      <c r="H757" t="n">
        <v>0</v>
      </c>
      <c r="I757" t="n">
        <v>0</v>
      </c>
      <c r="J757" t="n">
        <v>0</v>
      </c>
      <c r="K757" t="n">
        <v>0</v>
      </c>
      <c r="L757" t="n">
        <v>0</v>
      </c>
      <c r="M757" t="n">
        <v>0</v>
      </c>
      <c r="N757" t="n">
        <v>0</v>
      </c>
      <c r="O757" t="n">
        <v>0</v>
      </c>
      <c r="P757" t="n">
        <v>0</v>
      </c>
      <c r="Q757" t="n">
        <v>0</v>
      </c>
      <c r="R757" s="2" t="inlineStr"/>
    </row>
    <row r="758" ht="15" customHeight="1">
      <c r="A758" t="inlineStr">
        <is>
          <t>A 54491-2023</t>
        </is>
      </c>
      <c r="B758" s="1" t="n">
        <v>45233</v>
      </c>
      <c r="C758" s="1" t="n">
        <v>45812</v>
      </c>
      <c r="D758" t="inlineStr">
        <is>
          <t>DALARNAS LÄN</t>
        </is>
      </c>
      <c r="E758" t="inlineStr">
        <is>
          <t>ÄLVDALEN</t>
        </is>
      </c>
      <c r="F758" t="inlineStr">
        <is>
          <t>Allmännings- och besparingsskogar</t>
        </is>
      </c>
      <c r="G758" t="n">
        <v>4.4</v>
      </c>
      <c r="H758" t="n">
        <v>0</v>
      </c>
      <c r="I758" t="n">
        <v>0</v>
      </c>
      <c r="J758" t="n">
        <v>0</v>
      </c>
      <c r="K758" t="n">
        <v>0</v>
      </c>
      <c r="L758" t="n">
        <v>0</v>
      </c>
      <c r="M758" t="n">
        <v>0</v>
      </c>
      <c r="N758" t="n">
        <v>0</v>
      </c>
      <c r="O758" t="n">
        <v>0</v>
      </c>
      <c r="P758" t="n">
        <v>0</v>
      </c>
      <c r="Q758" t="n">
        <v>0</v>
      </c>
      <c r="R758" s="2" t="inlineStr"/>
    </row>
    <row r="759" ht="15" customHeight="1">
      <c r="A759" t="inlineStr">
        <is>
          <t>A 54433-2023</t>
        </is>
      </c>
      <c r="B759" s="1" t="n">
        <v>45233</v>
      </c>
      <c r="C759" s="1" t="n">
        <v>45812</v>
      </c>
      <c r="D759" t="inlineStr">
        <is>
          <t>DALARNAS LÄN</t>
        </is>
      </c>
      <c r="E759" t="inlineStr">
        <is>
          <t>ÄLVDALEN</t>
        </is>
      </c>
      <c r="F759" t="inlineStr">
        <is>
          <t>Allmännings- och besparingsskogar</t>
        </is>
      </c>
      <c r="G759" t="n">
        <v>26.4</v>
      </c>
      <c r="H759" t="n">
        <v>0</v>
      </c>
      <c r="I759" t="n">
        <v>0</v>
      </c>
      <c r="J759" t="n">
        <v>0</v>
      </c>
      <c r="K759" t="n">
        <v>0</v>
      </c>
      <c r="L759" t="n">
        <v>0</v>
      </c>
      <c r="M759" t="n">
        <v>0</v>
      </c>
      <c r="N759" t="n">
        <v>0</v>
      </c>
      <c r="O759" t="n">
        <v>0</v>
      </c>
      <c r="P759" t="n">
        <v>0</v>
      </c>
      <c r="Q759" t="n">
        <v>0</v>
      </c>
      <c r="R759" s="2" t="inlineStr"/>
    </row>
    <row r="760" ht="15" customHeight="1">
      <c r="A760" t="inlineStr">
        <is>
          <t>A 54493-2023</t>
        </is>
      </c>
      <c r="B760" s="1" t="n">
        <v>45233</v>
      </c>
      <c r="C760" s="1" t="n">
        <v>45812</v>
      </c>
      <c r="D760" t="inlineStr">
        <is>
          <t>DALARNAS LÄN</t>
        </is>
      </c>
      <c r="E760" t="inlineStr">
        <is>
          <t>ÄLVDALEN</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54443-2023</t>
        </is>
      </c>
      <c r="B761" s="1" t="n">
        <v>45233</v>
      </c>
      <c r="C761" s="1" t="n">
        <v>45812</v>
      </c>
      <c r="D761" t="inlineStr">
        <is>
          <t>DALARNAS LÄN</t>
        </is>
      </c>
      <c r="E761" t="inlineStr">
        <is>
          <t>ÄLVDALEN</t>
        </is>
      </c>
      <c r="F761" t="inlineStr">
        <is>
          <t>Allmännings- och besparingsskogar</t>
        </is>
      </c>
      <c r="G761" t="n">
        <v>11.6</v>
      </c>
      <c r="H761" t="n">
        <v>0</v>
      </c>
      <c r="I761" t="n">
        <v>0</v>
      </c>
      <c r="J761" t="n">
        <v>0</v>
      </c>
      <c r="K761" t="n">
        <v>0</v>
      </c>
      <c r="L761" t="n">
        <v>0</v>
      </c>
      <c r="M761" t="n">
        <v>0</v>
      </c>
      <c r="N761" t="n">
        <v>0</v>
      </c>
      <c r="O761" t="n">
        <v>0</v>
      </c>
      <c r="P761" t="n">
        <v>0</v>
      </c>
      <c r="Q761" t="n">
        <v>0</v>
      </c>
      <c r="R761" s="2" t="inlineStr"/>
    </row>
    <row r="762" ht="15" customHeight="1">
      <c r="A762" t="inlineStr">
        <is>
          <t>A 54445-2023</t>
        </is>
      </c>
      <c r="B762" s="1" t="n">
        <v>45233</v>
      </c>
      <c r="C762" s="1" t="n">
        <v>45812</v>
      </c>
      <c r="D762" t="inlineStr">
        <is>
          <t>DALARNAS LÄN</t>
        </is>
      </c>
      <c r="E762" t="inlineStr">
        <is>
          <t>ÄLVDALEN</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45812</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45812</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45812</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45812</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45812</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45812</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45812</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45812</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45812</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45812</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45812</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45812</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45812</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45812</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45812</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45812</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45812</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45812</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45812</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45812</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45812</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45812</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45812</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45812</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45812</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45812</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45812</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45812</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45812</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45812</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60655-2023</t>
        </is>
      </c>
      <c r="B793" s="1" t="n">
        <v>45260</v>
      </c>
      <c r="C793" s="1" t="n">
        <v>45812</v>
      </c>
      <c r="D793" t="inlineStr">
        <is>
          <t>DALARNAS LÄN</t>
        </is>
      </c>
      <c r="E793" t="inlineStr">
        <is>
          <t>ÄLVDALEN</t>
        </is>
      </c>
      <c r="G793" t="n">
        <v>3</v>
      </c>
      <c r="H793" t="n">
        <v>0</v>
      </c>
      <c r="I793" t="n">
        <v>0</v>
      </c>
      <c r="J793" t="n">
        <v>0</v>
      </c>
      <c r="K793" t="n">
        <v>0</v>
      </c>
      <c r="L793" t="n">
        <v>0</v>
      </c>
      <c r="M793" t="n">
        <v>0</v>
      </c>
      <c r="N793" t="n">
        <v>0</v>
      </c>
      <c r="O793" t="n">
        <v>0</v>
      </c>
      <c r="P793" t="n">
        <v>0</v>
      </c>
      <c r="Q793" t="n">
        <v>0</v>
      </c>
      <c r="R793" s="2" t="inlineStr"/>
    </row>
    <row r="794" ht="15" customHeight="1">
      <c r="A794" t="inlineStr">
        <is>
          <t>A 60716-2023</t>
        </is>
      </c>
      <c r="B794" s="1" t="n">
        <v>45260</v>
      </c>
      <c r="C794" s="1" t="n">
        <v>45812</v>
      </c>
      <c r="D794" t="inlineStr">
        <is>
          <t>DALARNAS LÄN</t>
        </is>
      </c>
      <c r="E794" t="inlineStr">
        <is>
          <t>ÄLVDALEN</t>
        </is>
      </c>
      <c r="G794" t="n">
        <v>1.2</v>
      </c>
      <c r="H794" t="n">
        <v>0</v>
      </c>
      <c r="I794" t="n">
        <v>0</v>
      </c>
      <c r="J794" t="n">
        <v>0</v>
      </c>
      <c r="K794" t="n">
        <v>0</v>
      </c>
      <c r="L794" t="n">
        <v>0</v>
      </c>
      <c r="M794" t="n">
        <v>0</v>
      </c>
      <c r="N794" t="n">
        <v>0</v>
      </c>
      <c r="O794" t="n">
        <v>0</v>
      </c>
      <c r="P794" t="n">
        <v>0</v>
      </c>
      <c r="Q794" t="n">
        <v>0</v>
      </c>
      <c r="R794" s="2" t="inlineStr"/>
    </row>
    <row r="795" ht="15" customHeight="1">
      <c r="A795" t="inlineStr">
        <is>
          <t>A 60676-2023</t>
        </is>
      </c>
      <c r="B795" s="1" t="n">
        <v>45260</v>
      </c>
      <c r="C795" s="1" t="n">
        <v>45812</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45812</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45812</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45812</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63494-2023</t>
        </is>
      </c>
      <c r="B799" s="1" t="n">
        <v>45274</v>
      </c>
      <c r="C799" s="1" t="n">
        <v>45812</v>
      </c>
      <c r="D799" t="inlineStr">
        <is>
          <t>DALARNAS LÄN</t>
        </is>
      </c>
      <c r="E799" t="inlineStr">
        <is>
          <t>ÄLVDALEN</t>
        </is>
      </c>
      <c r="F799" t="inlineStr">
        <is>
          <t>Allmännings- och besparingsskogar</t>
        </is>
      </c>
      <c r="G799" t="n">
        <v>14.9</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45812</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45812</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505-2024</t>
        </is>
      </c>
      <c r="B802" s="1" t="n">
        <v>45299</v>
      </c>
      <c r="C802" s="1" t="n">
        <v>45812</v>
      </c>
      <c r="D802" t="inlineStr">
        <is>
          <t>DALARNAS LÄN</t>
        </is>
      </c>
      <c r="E802" t="inlineStr">
        <is>
          <t>ÄLVDALEN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45812</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45812</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1804-2024</t>
        </is>
      </c>
      <c r="B805" s="1" t="n">
        <v>45307</v>
      </c>
      <c r="C805" s="1" t="n">
        <v>45812</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45812</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1794-2024</t>
        </is>
      </c>
      <c r="B807" s="1" t="n">
        <v>45307</v>
      </c>
      <c r="C807" s="1" t="n">
        <v>45812</v>
      </c>
      <c r="D807" t="inlineStr">
        <is>
          <t>DALARNAS LÄN</t>
        </is>
      </c>
      <c r="E807" t="inlineStr">
        <is>
          <t>ÄLVDALEN</t>
        </is>
      </c>
      <c r="G807" t="n">
        <v>1</v>
      </c>
      <c r="H807" t="n">
        <v>0</v>
      </c>
      <c r="I807" t="n">
        <v>0</v>
      </c>
      <c r="J807" t="n">
        <v>0</v>
      </c>
      <c r="K807" t="n">
        <v>0</v>
      </c>
      <c r="L807" t="n">
        <v>0</v>
      </c>
      <c r="M807" t="n">
        <v>0</v>
      </c>
      <c r="N807" t="n">
        <v>0</v>
      </c>
      <c r="O807" t="n">
        <v>0</v>
      </c>
      <c r="P807" t="n">
        <v>0</v>
      </c>
      <c r="Q807" t="n">
        <v>0</v>
      </c>
      <c r="R807" s="2" t="inlineStr"/>
    </row>
    <row r="808" ht="15" customHeight="1">
      <c r="A808" t="inlineStr">
        <is>
          <t>A 2375-2024</t>
        </is>
      </c>
      <c r="B808" s="1" t="n">
        <v>45310</v>
      </c>
      <c r="C808" s="1" t="n">
        <v>45812</v>
      </c>
      <c r="D808" t="inlineStr">
        <is>
          <t>DALARNAS LÄN</t>
        </is>
      </c>
      <c r="E808" t="inlineStr">
        <is>
          <t>ÄLVDALEN</t>
        </is>
      </c>
      <c r="G808" t="n">
        <v>5.4</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45812</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45812</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45812</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45812</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45812</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45812</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45812</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45812</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45812</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45812</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45812</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45812</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45812</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3916-2024</t>
        </is>
      </c>
      <c r="B822" s="1" t="n">
        <v>45322</v>
      </c>
      <c r="C822" s="1" t="n">
        <v>45812</v>
      </c>
      <c r="D822" t="inlineStr">
        <is>
          <t>DALARNAS LÄN</t>
        </is>
      </c>
      <c r="E822" t="inlineStr">
        <is>
          <t>ÄLVDALEN</t>
        </is>
      </c>
      <c r="G822" t="n">
        <v>3.7</v>
      </c>
      <c r="H822" t="n">
        <v>0</v>
      </c>
      <c r="I822" t="n">
        <v>0</v>
      </c>
      <c r="J822" t="n">
        <v>0</v>
      </c>
      <c r="K822" t="n">
        <v>0</v>
      </c>
      <c r="L822" t="n">
        <v>0</v>
      </c>
      <c r="M822" t="n">
        <v>0</v>
      </c>
      <c r="N822" t="n">
        <v>0</v>
      </c>
      <c r="O822" t="n">
        <v>0</v>
      </c>
      <c r="P822" t="n">
        <v>0</v>
      </c>
      <c r="Q822" t="n">
        <v>0</v>
      </c>
      <c r="R822" s="2" t="inlineStr"/>
    </row>
    <row r="823" ht="15" customHeight="1">
      <c r="A823" t="inlineStr">
        <is>
          <t>A 4050-2024</t>
        </is>
      </c>
      <c r="B823" s="1" t="n">
        <v>45323</v>
      </c>
      <c r="C823" s="1" t="n">
        <v>45812</v>
      </c>
      <c r="D823" t="inlineStr">
        <is>
          <t>DALARNAS LÄN</t>
        </is>
      </c>
      <c r="E823" t="inlineStr">
        <is>
          <t>ÄLVDALEN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45812</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45812</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4662-2024</t>
        </is>
      </c>
      <c r="B826" s="1" t="n">
        <v>45328</v>
      </c>
      <c r="C826" s="1" t="n">
        <v>45812</v>
      </c>
      <c r="D826" t="inlineStr">
        <is>
          <t>DALARNAS LÄN</t>
        </is>
      </c>
      <c r="E826" t="inlineStr">
        <is>
          <t>ÄLVDALEN</t>
        </is>
      </c>
      <c r="G826" t="n">
        <v>4.9</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45812</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45812</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45812</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5170-2024</t>
        </is>
      </c>
      <c r="B830" s="1" t="n">
        <v>45330</v>
      </c>
      <c r="C830" s="1" t="n">
        <v>45812</v>
      </c>
      <c r="D830" t="inlineStr">
        <is>
          <t>DALARNAS LÄN</t>
        </is>
      </c>
      <c r="E830" t="inlineStr">
        <is>
          <t>ÄLVDALEN</t>
        </is>
      </c>
      <c r="G830" t="n">
        <v>15.8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45812</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45812</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6001-2024</t>
        </is>
      </c>
      <c r="B833" s="1" t="n">
        <v>45336</v>
      </c>
      <c r="C833" s="1" t="n">
        <v>45812</v>
      </c>
      <c r="D833" t="inlineStr">
        <is>
          <t>DALARNAS LÄN</t>
        </is>
      </c>
      <c r="E833" t="inlineStr">
        <is>
          <t>ÄLVDALEN</t>
        </is>
      </c>
      <c r="G833" t="n">
        <v>1.4</v>
      </c>
      <c r="H833" t="n">
        <v>0</v>
      </c>
      <c r="I833" t="n">
        <v>0</v>
      </c>
      <c r="J833" t="n">
        <v>0</v>
      </c>
      <c r="K833" t="n">
        <v>0</v>
      </c>
      <c r="L833" t="n">
        <v>0</v>
      </c>
      <c r="M833" t="n">
        <v>0</v>
      </c>
      <c r="N833" t="n">
        <v>0</v>
      </c>
      <c r="O833" t="n">
        <v>0</v>
      </c>
      <c r="P833" t="n">
        <v>0</v>
      </c>
      <c r="Q833" t="n">
        <v>0</v>
      </c>
      <c r="R833" s="2" t="inlineStr"/>
    </row>
    <row r="834" ht="15" customHeight="1">
      <c r="A834" t="inlineStr">
        <is>
          <t>A 6230-2024</t>
        </is>
      </c>
      <c r="B834" s="1" t="n">
        <v>45337</v>
      </c>
      <c r="C834" s="1" t="n">
        <v>45812</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6652-2024</t>
        </is>
      </c>
      <c r="B835" s="1" t="n">
        <v>45341</v>
      </c>
      <c r="C835" s="1" t="n">
        <v>45812</v>
      </c>
      <c r="D835" t="inlineStr">
        <is>
          <t>DALARNAS LÄN</t>
        </is>
      </c>
      <c r="E835" t="inlineStr">
        <is>
          <t>ÄLVDALEN</t>
        </is>
      </c>
      <c r="G835" t="n">
        <v>3.6</v>
      </c>
      <c r="H835" t="n">
        <v>0</v>
      </c>
      <c r="I835" t="n">
        <v>0</v>
      </c>
      <c r="J835" t="n">
        <v>0</v>
      </c>
      <c r="K835" t="n">
        <v>0</v>
      </c>
      <c r="L835" t="n">
        <v>0</v>
      </c>
      <c r="M835" t="n">
        <v>0</v>
      </c>
      <c r="N835" t="n">
        <v>0</v>
      </c>
      <c r="O835" t="n">
        <v>0</v>
      </c>
      <c r="P835" t="n">
        <v>0</v>
      </c>
      <c r="Q835" t="n">
        <v>0</v>
      </c>
      <c r="R835" s="2" t="inlineStr"/>
    </row>
    <row r="836" ht="15" customHeight="1">
      <c r="A836" t="inlineStr">
        <is>
          <t>A 7045-2024</t>
        </is>
      </c>
      <c r="B836" s="1" t="n">
        <v>45343</v>
      </c>
      <c r="C836" s="1" t="n">
        <v>45812</v>
      </c>
      <c r="D836" t="inlineStr">
        <is>
          <t>DALARNAS LÄN</t>
        </is>
      </c>
      <c r="E836" t="inlineStr">
        <is>
          <t>ÄLVDALEN</t>
        </is>
      </c>
      <c r="G836" t="n">
        <v>13</v>
      </c>
      <c r="H836" t="n">
        <v>0</v>
      </c>
      <c r="I836" t="n">
        <v>0</v>
      </c>
      <c r="J836" t="n">
        <v>0</v>
      </c>
      <c r="K836" t="n">
        <v>0</v>
      </c>
      <c r="L836" t="n">
        <v>0</v>
      </c>
      <c r="M836" t="n">
        <v>0</v>
      </c>
      <c r="N836" t="n">
        <v>0</v>
      </c>
      <c r="O836" t="n">
        <v>0</v>
      </c>
      <c r="P836" t="n">
        <v>0</v>
      </c>
      <c r="Q836" t="n">
        <v>0</v>
      </c>
      <c r="R836" s="2" t="inlineStr"/>
    </row>
    <row r="837" ht="15" customHeight="1">
      <c r="A837" t="inlineStr">
        <is>
          <t>A 7581-2024</t>
        </is>
      </c>
      <c r="B837" s="1" t="n">
        <v>45348</v>
      </c>
      <c r="C837" s="1" t="n">
        <v>45812</v>
      </c>
      <c r="D837" t="inlineStr">
        <is>
          <t>DALARNAS LÄN</t>
        </is>
      </c>
      <c r="E837" t="inlineStr">
        <is>
          <t>ÄLVDALEN</t>
        </is>
      </c>
      <c r="G837" t="n">
        <v>1.5</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45812</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7576-2024</t>
        </is>
      </c>
      <c r="B839" s="1" t="n">
        <v>45348</v>
      </c>
      <c r="C839" s="1" t="n">
        <v>45812</v>
      </c>
      <c r="D839" t="inlineStr">
        <is>
          <t>DALARNAS LÄN</t>
        </is>
      </c>
      <c r="E839" t="inlineStr">
        <is>
          <t>ÄLVDALEN</t>
        </is>
      </c>
      <c r="G839" t="n">
        <v>11.1</v>
      </c>
      <c r="H839" t="n">
        <v>0</v>
      </c>
      <c r="I839" t="n">
        <v>0</v>
      </c>
      <c r="J839" t="n">
        <v>0</v>
      </c>
      <c r="K839" t="n">
        <v>0</v>
      </c>
      <c r="L839" t="n">
        <v>0</v>
      </c>
      <c r="M839" t="n">
        <v>0</v>
      </c>
      <c r="N839" t="n">
        <v>0</v>
      </c>
      <c r="O839" t="n">
        <v>0</v>
      </c>
      <c r="P839" t="n">
        <v>0</v>
      </c>
      <c r="Q839" t="n">
        <v>0</v>
      </c>
      <c r="R839" s="2" t="inlineStr"/>
    </row>
    <row r="840" ht="15" customHeight="1">
      <c r="A840" t="inlineStr">
        <is>
          <t>A 7998-2024</t>
        </is>
      </c>
      <c r="B840" s="1" t="n">
        <v>45350</v>
      </c>
      <c r="C840" s="1" t="n">
        <v>45812</v>
      </c>
      <c r="D840" t="inlineStr">
        <is>
          <t>DALARNAS LÄN</t>
        </is>
      </c>
      <c r="E840" t="inlineStr">
        <is>
          <t>ÄLVDALEN</t>
        </is>
      </c>
      <c r="F840" t="inlineStr">
        <is>
          <t>Kommuner</t>
        </is>
      </c>
      <c r="G840" t="n">
        <v>7.9</v>
      </c>
      <c r="H840" t="n">
        <v>0</v>
      </c>
      <c r="I840" t="n">
        <v>0</v>
      </c>
      <c r="J840" t="n">
        <v>0</v>
      </c>
      <c r="K840" t="n">
        <v>0</v>
      </c>
      <c r="L840" t="n">
        <v>0</v>
      </c>
      <c r="M840" t="n">
        <v>0</v>
      </c>
      <c r="N840" t="n">
        <v>0</v>
      </c>
      <c r="O840" t="n">
        <v>0</v>
      </c>
      <c r="P840" t="n">
        <v>0</v>
      </c>
      <c r="Q840" t="n">
        <v>0</v>
      </c>
      <c r="R840" s="2" t="inlineStr"/>
    </row>
    <row r="841" ht="15" customHeight="1">
      <c r="A841" t="inlineStr">
        <is>
          <t>A 8784-2024</t>
        </is>
      </c>
      <c r="B841" s="1" t="n">
        <v>45356</v>
      </c>
      <c r="C841" s="1" t="n">
        <v>45812</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9084-2024</t>
        </is>
      </c>
      <c r="B842" s="1" t="n">
        <v>45357</v>
      </c>
      <c r="C842" s="1" t="n">
        <v>45812</v>
      </c>
      <c r="D842" t="inlineStr">
        <is>
          <t>DALARNAS LÄN</t>
        </is>
      </c>
      <c r="E842" t="inlineStr">
        <is>
          <t>ÄLVDALEN</t>
        </is>
      </c>
      <c r="F842" t="inlineStr">
        <is>
          <t>Övriga Aktiebolag</t>
        </is>
      </c>
      <c r="G842" t="n">
        <v>5.6</v>
      </c>
      <c r="H842" t="n">
        <v>0</v>
      </c>
      <c r="I842" t="n">
        <v>0</v>
      </c>
      <c r="J842" t="n">
        <v>0</v>
      </c>
      <c r="K842" t="n">
        <v>0</v>
      </c>
      <c r="L842" t="n">
        <v>0</v>
      </c>
      <c r="M842" t="n">
        <v>0</v>
      </c>
      <c r="N842" t="n">
        <v>0</v>
      </c>
      <c r="O842" t="n">
        <v>0</v>
      </c>
      <c r="P842" t="n">
        <v>0</v>
      </c>
      <c r="Q842" t="n">
        <v>0</v>
      </c>
      <c r="R842" s="2" t="inlineStr"/>
    </row>
    <row r="843" ht="15" customHeight="1">
      <c r="A843" t="inlineStr">
        <is>
          <t>A 9100-2024</t>
        </is>
      </c>
      <c r="B843" s="1" t="n">
        <v>45357</v>
      </c>
      <c r="C843" s="1" t="n">
        <v>45812</v>
      </c>
      <c r="D843" t="inlineStr">
        <is>
          <t>DALARNAS LÄN</t>
        </is>
      </c>
      <c r="E843" t="inlineStr">
        <is>
          <t>ÄLVDALEN</t>
        </is>
      </c>
      <c r="F843" t="inlineStr">
        <is>
          <t>Övriga Aktiebolag</t>
        </is>
      </c>
      <c r="G843" t="n">
        <v>6.3</v>
      </c>
      <c r="H843" t="n">
        <v>0</v>
      </c>
      <c r="I843" t="n">
        <v>0</v>
      </c>
      <c r="J843" t="n">
        <v>0</v>
      </c>
      <c r="K843" t="n">
        <v>0</v>
      </c>
      <c r="L843" t="n">
        <v>0</v>
      </c>
      <c r="M843" t="n">
        <v>0</v>
      </c>
      <c r="N843" t="n">
        <v>0</v>
      </c>
      <c r="O843" t="n">
        <v>0</v>
      </c>
      <c r="P843" t="n">
        <v>0</v>
      </c>
      <c r="Q843" t="n">
        <v>0</v>
      </c>
      <c r="R843" s="2" t="inlineStr"/>
    </row>
    <row r="844" ht="15" customHeight="1">
      <c r="A844" t="inlineStr">
        <is>
          <t>A 9091-2024</t>
        </is>
      </c>
      <c r="B844" s="1" t="n">
        <v>45357</v>
      </c>
      <c r="C844" s="1" t="n">
        <v>45812</v>
      </c>
      <c r="D844" t="inlineStr">
        <is>
          <t>DALARNAS LÄN</t>
        </is>
      </c>
      <c r="E844" t="inlineStr">
        <is>
          <t>ÄLVDALEN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9108-2024</t>
        </is>
      </c>
      <c r="B845" s="1" t="n">
        <v>45358</v>
      </c>
      <c r="C845" s="1" t="n">
        <v>45812</v>
      </c>
      <c r="D845" t="inlineStr">
        <is>
          <t>DALARNAS LÄN</t>
        </is>
      </c>
      <c r="E845" t="inlineStr">
        <is>
          <t>ÄLVDALEN</t>
        </is>
      </c>
      <c r="F845" t="inlineStr">
        <is>
          <t>Övriga Aktiebolag</t>
        </is>
      </c>
      <c r="G845" t="n">
        <v>24.4</v>
      </c>
      <c r="H845" t="n">
        <v>0</v>
      </c>
      <c r="I845" t="n">
        <v>0</v>
      </c>
      <c r="J845" t="n">
        <v>0</v>
      </c>
      <c r="K845" t="n">
        <v>0</v>
      </c>
      <c r="L845" t="n">
        <v>0</v>
      </c>
      <c r="M845" t="n">
        <v>0</v>
      </c>
      <c r="N845" t="n">
        <v>0</v>
      </c>
      <c r="O845" t="n">
        <v>0</v>
      </c>
      <c r="P845" t="n">
        <v>0</v>
      </c>
      <c r="Q845" t="n">
        <v>0</v>
      </c>
      <c r="R845" s="2" t="inlineStr"/>
    </row>
    <row r="846" ht="15" customHeight="1">
      <c r="A846" t="inlineStr">
        <is>
          <t>A 9085-2024</t>
        </is>
      </c>
      <c r="B846" s="1" t="n">
        <v>45357</v>
      </c>
      <c r="C846" s="1" t="n">
        <v>45812</v>
      </c>
      <c r="D846" t="inlineStr">
        <is>
          <t>DALARNAS LÄN</t>
        </is>
      </c>
      <c r="E846" t="inlineStr">
        <is>
          <t>ÄLVDALEN</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11891-2024</t>
        </is>
      </c>
      <c r="B847" s="1" t="n">
        <v>45376</v>
      </c>
      <c r="C847" s="1" t="n">
        <v>45812</v>
      </c>
      <c r="D847" t="inlineStr">
        <is>
          <t>DALARNAS LÄN</t>
        </is>
      </c>
      <c r="E847" t="inlineStr">
        <is>
          <t>ÄLVDALEN</t>
        </is>
      </c>
      <c r="G847" t="n">
        <v>24.7</v>
      </c>
      <c r="H847" t="n">
        <v>0</v>
      </c>
      <c r="I847" t="n">
        <v>0</v>
      </c>
      <c r="J847" t="n">
        <v>0</v>
      </c>
      <c r="K847" t="n">
        <v>0</v>
      </c>
      <c r="L847" t="n">
        <v>0</v>
      </c>
      <c r="M847" t="n">
        <v>0</v>
      </c>
      <c r="N847" t="n">
        <v>0</v>
      </c>
      <c r="O847" t="n">
        <v>0</v>
      </c>
      <c r="P847" t="n">
        <v>0</v>
      </c>
      <c r="Q847" t="n">
        <v>0</v>
      </c>
      <c r="R847" s="2" t="inlineStr"/>
    </row>
    <row r="848" ht="15" customHeight="1">
      <c r="A848" t="inlineStr">
        <is>
          <t>A 12420-2024</t>
        </is>
      </c>
      <c r="B848" s="1" t="n">
        <v>45379</v>
      </c>
      <c r="C848" s="1" t="n">
        <v>45812</v>
      </c>
      <c r="D848" t="inlineStr">
        <is>
          <t>DALARNAS LÄN</t>
        </is>
      </c>
      <c r="E848" t="inlineStr">
        <is>
          <t>ÄLVDALEN</t>
        </is>
      </c>
      <c r="G848" t="n">
        <v>7.4</v>
      </c>
      <c r="H848" t="n">
        <v>0</v>
      </c>
      <c r="I848" t="n">
        <v>0</v>
      </c>
      <c r="J848" t="n">
        <v>0</v>
      </c>
      <c r="K848" t="n">
        <v>0</v>
      </c>
      <c r="L848" t="n">
        <v>0</v>
      </c>
      <c r="M848" t="n">
        <v>0</v>
      </c>
      <c r="N848" t="n">
        <v>0</v>
      </c>
      <c r="O848" t="n">
        <v>0</v>
      </c>
      <c r="P848" t="n">
        <v>0</v>
      </c>
      <c r="Q848" t="n">
        <v>0</v>
      </c>
      <c r="R848" s="2" t="inlineStr"/>
    </row>
    <row r="849" ht="15" customHeight="1">
      <c r="A849" t="inlineStr">
        <is>
          <t>A 13047-2024</t>
        </is>
      </c>
      <c r="B849" s="1" t="n">
        <v>45385</v>
      </c>
      <c r="C849" s="1" t="n">
        <v>45812</v>
      </c>
      <c r="D849" t="inlineStr">
        <is>
          <t>DALARNAS LÄN</t>
        </is>
      </c>
      <c r="E849" t="inlineStr">
        <is>
          <t>ÄLVDALEN</t>
        </is>
      </c>
      <c r="G849" t="n">
        <v>4.3</v>
      </c>
      <c r="H849" t="n">
        <v>0</v>
      </c>
      <c r="I849" t="n">
        <v>0</v>
      </c>
      <c r="J849" t="n">
        <v>0</v>
      </c>
      <c r="K849" t="n">
        <v>0</v>
      </c>
      <c r="L849" t="n">
        <v>0</v>
      </c>
      <c r="M849" t="n">
        <v>0</v>
      </c>
      <c r="N849" t="n">
        <v>0</v>
      </c>
      <c r="O849" t="n">
        <v>0</v>
      </c>
      <c r="P849" t="n">
        <v>0</v>
      </c>
      <c r="Q849" t="n">
        <v>0</v>
      </c>
      <c r="R849" s="2" t="inlineStr"/>
    </row>
    <row r="850" ht="15" customHeight="1">
      <c r="A850" t="inlineStr">
        <is>
          <t>A 13854-2024</t>
        </is>
      </c>
      <c r="B850" s="1" t="n">
        <v>45390</v>
      </c>
      <c r="C850" s="1" t="n">
        <v>45812</v>
      </c>
      <c r="D850" t="inlineStr">
        <is>
          <t>DALARNAS LÄN</t>
        </is>
      </c>
      <c r="E850" t="inlineStr">
        <is>
          <t>ÄLVDALEN</t>
        </is>
      </c>
      <c r="G850" t="n">
        <v>13.5</v>
      </c>
      <c r="H850" t="n">
        <v>0</v>
      </c>
      <c r="I850" t="n">
        <v>0</v>
      </c>
      <c r="J850" t="n">
        <v>0</v>
      </c>
      <c r="K850" t="n">
        <v>0</v>
      </c>
      <c r="L850" t="n">
        <v>0</v>
      </c>
      <c r="M850" t="n">
        <v>0</v>
      </c>
      <c r="N850" t="n">
        <v>0</v>
      </c>
      <c r="O850" t="n">
        <v>0</v>
      </c>
      <c r="P850" t="n">
        <v>0</v>
      </c>
      <c r="Q850" t="n">
        <v>0</v>
      </c>
      <c r="R850" s="2" t="inlineStr"/>
    </row>
    <row r="851" ht="15" customHeight="1">
      <c r="A851" t="inlineStr">
        <is>
          <t>A 14895-2024</t>
        </is>
      </c>
      <c r="B851" s="1" t="n">
        <v>45398</v>
      </c>
      <c r="C851" s="1" t="n">
        <v>45812</v>
      </c>
      <c r="D851" t="inlineStr">
        <is>
          <t>DALARNAS LÄN</t>
        </is>
      </c>
      <c r="E851" t="inlineStr">
        <is>
          <t>ÄLVDALEN</t>
        </is>
      </c>
      <c r="G851" t="n">
        <v>4.9</v>
      </c>
      <c r="H851" t="n">
        <v>0</v>
      </c>
      <c r="I851" t="n">
        <v>0</v>
      </c>
      <c r="J851" t="n">
        <v>0</v>
      </c>
      <c r="K851" t="n">
        <v>0</v>
      </c>
      <c r="L851" t="n">
        <v>0</v>
      </c>
      <c r="M851" t="n">
        <v>0</v>
      </c>
      <c r="N851" t="n">
        <v>0</v>
      </c>
      <c r="O851" t="n">
        <v>0</v>
      </c>
      <c r="P851" t="n">
        <v>0</v>
      </c>
      <c r="Q851" t="n">
        <v>0</v>
      </c>
      <c r="R851" s="2" t="inlineStr"/>
    </row>
    <row r="852" ht="15" customHeight="1">
      <c r="A852" t="inlineStr">
        <is>
          <t>A 15037-2024</t>
        </is>
      </c>
      <c r="B852" s="1" t="n">
        <v>45399</v>
      </c>
      <c r="C852" s="1" t="n">
        <v>45812</v>
      </c>
      <c r="D852" t="inlineStr">
        <is>
          <t>DALARNAS LÄN</t>
        </is>
      </c>
      <c r="E852" t="inlineStr">
        <is>
          <t>ÄLVDALEN</t>
        </is>
      </c>
      <c r="G852" t="n">
        <v>17</v>
      </c>
      <c r="H852" t="n">
        <v>0</v>
      </c>
      <c r="I852" t="n">
        <v>0</v>
      </c>
      <c r="J852" t="n">
        <v>0</v>
      </c>
      <c r="K852" t="n">
        <v>0</v>
      </c>
      <c r="L852" t="n">
        <v>0</v>
      </c>
      <c r="M852" t="n">
        <v>0</v>
      </c>
      <c r="N852" t="n">
        <v>0</v>
      </c>
      <c r="O852" t="n">
        <v>0</v>
      </c>
      <c r="P852" t="n">
        <v>0</v>
      </c>
      <c r="Q852" t="n">
        <v>0</v>
      </c>
      <c r="R852" s="2" t="inlineStr"/>
    </row>
    <row r="853" ht="15" customHeight="1">
      <c r="A853" t="inlineStr">
        <is>
          <t>A 15647-2024</t>
        </is>
      </c>
      <c r="B853" s="1" t="n">
        <v>45404</v>
      </c>
      <c r="C853" s="1" t="n">
        <v>45812</v>
      </c>
      <c r="D853" t="inlineStr">
        <is>
          <t>DALARNAS LÄN</t>
        </is>
      </c>
      <c r="E853" t="inlineStr">
        <is>
          <t>ÄLVDALEN</t>
        </is>
      </c>
      <c r="F853" t="inlineStr">
        <is>
          <t>Bergvik skog väst AB</t>
        </is>
      </c>
      <c r="G853" t="n">
        <v>16.3</v>
      </c>
      <c r="H853" t="n">
        <v>0</v>
      </c>
      <c r="I853" t="n">
        <v>0</v>
      </c>
      <c r="J853" t="n">
        <v>0</v>
      </c>
      <c r="K853" t="n">
        <v>0</v>
      </c>
      <c r="L853" t="n">
        <v>0</v>
      </c>
      <c r="M853" t="n">
        <v>0</v>
      </c>
      <c r="N853" t="n">
        <v>0</v>
      </c>
      <c r="O853" t="n">
        <v>0</v>
      </c>
      <c r="P853" t="n">
        <v>0</v>
      </c>
      <c r="Q853" t="n">
        <v>0</v>
      </c>
      <c r="R853" s="2" t="inlineStr"/>
    </row>
    <row r="854" ht="15" customHeight="1">
      <c r="A854" t="inlineStr">
        <is>
          <t>A 15760-2024</t>
        </is>
      </c>
      <c r="B854" s="1" t="n">
        <v>45404</v>
      </c>
      <c r="C854" s="1" t="n">
        <v>45812</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15652-2024</t>
        </is>
      </c>
      <c r="B855" s="1" t="n">
        <v>45404</v>
      </c>
      <c r="C855" s="1" t="n">
        <v>45812</v>
      </c>
      <c r="D855" t="inlineStr">
        <is>
          <t>DALARNAS LÄN</t>
        </is>
      </c>
      <c r="E855" t="inlineStr">
        <is>
          <t>ÄLVDALEN</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15759-2024</t>
        </is>
      </c>
      <c r="B856" s="1" t="n">
        <v>45404</v>
      </c>
      <c r="C856" s="1" t="n">
        <v>45812</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17049-2024</t>
        </is>
      </c>
      <c r="B857" s="1" t="n">
        <v>45412</v>
      </c>
      <c r="C857" s="1" t="n">
        <v>45812</v>
      </c>
      <c r="D857" t="inlineStr">
        <is>
          <t>DALARNAS LÄN</t>
        </is>
      </c>
      <c r="E857" t="inlineStr">
        <is>
          <t>ÄLVDALEN</t>
        </is>
      </c>
      <c r="G857" t="n">
        <v>9.5</v>
      </c>
      <c r="H857" t="n">
        <v>0</v>
      </c>
      <c r="I857" t="n">
        <v>0</v>
      </c>
      <c r="J857" t="n">
        <v>0</v>
      </c>
      <c r="K857" t="n">
        <v>0</v>
      </c>
      <c r="L857" t="n">
        <v>0</v>
      </c>
      <c r="M857" t="n">
        <v>0</v>
      </c>
      <c r="N857" t="n">
        <v>0</v>
      </c>
      <c r="O857" t="n">
        <v>0</v>
      </c>
      <c r="P857" t="n">
        <v>0</v>
      </c>
      <c r="Q857" t="n">
        <v>0</v>
      </c>
      <c r="R857" s="2" t="inlineStr"/>
    </row>
    <row r="858" ht="15" customHeight="1">
      <c r="A858" t="inlineStr">
        <is>
          <t>A 17558-2024</t>
        </is>
      </c>
      <c r="B858" s="1" t="n">
        <v>45415</v>
      </c>
      <c r="C858" s="1" t="n">
        <v>45812</v>
      </c>
      <c r="D858" t="inlineStr">
        <is>
          <t>DALARNAS LÄN</t>
        </is>
      </c>
      <c r="E858" t="inlineStr">
        <is>
          <t>ÄLVDALEN</t>
        </is>
      </c>
      <c r="G858" t="n">
        <v>2.2</v>
      </c>
      <c r="H858" t="n">
        <v>0</v>
      </c>
      <c r="I858" t="n">
        <v>0</v>
      </c>
      <c r="J858" t="n">
        <v>0</v>
      </c>
      <c r="K858" t="n">
        <v>0</v>
      </c>
      <c r="L858" t="n">
        <v>0</v>
      </c>
      <c r="M858" t="n">
        <v>0</v>
      </c>
      <c r="N858" t="n">
        <v>0</v>
      </c>
      <c r="O858" t="n">
        <v>0</v>
      </c>
      <c r="P858" t="n">
        <v>0</v>
      </c>
      <c r="Q858" t="n">
        <v>0</v>
      </c>
      <c r="R858" s="2" t="inlineStr"/>
    </row>
    <row r="859" ht="15" customHeight="1">
      <c r="A859" t="inlineStr">
        <is>
          <t>A 17827-2024</t>
        </is>
      </c>
      <c r="B859" s="1" t="n">
        <v>45418</v>
      </c>
      <c r="C859" s="1" t="n">
        <v>45812</v>
      </c>
      <c r="D859" t="inlineStr">
        <is>
          <t>DALARNAS LÄN</t>
        </is>
      </c>
      <c r="E859" t="inlineStr">
        <is>
          <t>ÄLVDALEN</t>
        </is>
      </c>
      <c r="F859" t="inlineStr">
        <is>
          <t>Övriga statliga verk och myndigheter</t>
        </is>
      </c>
      <c r="G859" t="n">
        <v>12.3</v>
      </c>
      <c r="H859" t="n">
        <v>0</v>
      </c>
      <c r="I859" t="n">
        <v>0</v>
      </c>
      <c r="J859" t="n">
        <v>0</v>
      </c>
      <c r="K859" t="n">
        <v>0</v>
      </c>
      <c r="L859" t="n">
        <v>0</v>
      </c>
      <c r="M859" t="n">
        <v>0</v>
      </c>
      <c r="N859" t="n">
        <v>0</v>
      </c>
      <c r="O859" t="n">
        <v>0</v>
      </c>
      <c r="P859" t="n">
        <v>0</v>
      </c>
      <c r="Q859" t="n">
        <v>0</v>
      </c>
      <c r="R859" s="2" t="inlineStr"/>
    </row>
    <row r="860" ht="15" customHeight="1">
      <c r="A860" t="inlineStr">
        <is>
          <t>A 18075-2024</t>
        </is>
      </c>
      <c r="B860" s="1" t="n">
        <v>45420</v>
      </c>
      <c r="C860" s="1" t="n">
        <v>45812</v>
      </c>
      <c r="D860" t="inlineStr">
        <is>
          <t>DALARNAS LÄN</t>
        </is>
      </c>
      <c r="E860" t="inlineStr">
        <is>
          <t>ÄLVDALEN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19007-2024</t>
        </is>
      </c>
      <c r="B861" s="1" t="n">
        <v>45427</v>
      </c>
      <c r="C861" s="1" t="n">
        <v>45812</v>
      </c>
      <c r="D861" t="inlineStr">
        <is>
          <t>DALARNAS LÄN</t>
        </is>
      </c>
      <c r="E861" t="inlineStr">
        <is>
          <t>ÄLVDALEN</t>
        </is>
      </c>
      <c r="G861" t="n">
        <v>1.1</v>
      </c>
      <c r="H861" t="n">
        <v>0</v>
      </c>
      <c r="I861" t="n">
        <v>0</v>
      </c>
      <c r="J861" t="n">
        <v>0</v>
      </c>
      <c r="K861" t="n">
        <v>0</v>
      </c>
      <c r="L861" t="n">
        <v>0</v>
      </c>
      <c r="M861" t="n">
        <v>0</v>
      </c>
      <c r="N861" t="n">
        <v>0</v>
      </c>
      <c r="O861" t="n">
        <v>0</v>
      </c>
      <c r="P861" t="n">
        <v>0</v>
      </c>
      <c r="Q861" t="n">
        <v>0</v>
      </c>
      <c r="R861" s="2" t="inlineStr"/>
    </row>
    <row r="862" ht="15" customHeight="1">
      <c r="A862" t="inlineStr">
        <is>
          <t>A 19100-2024</t>
        </is>
      </c>
      <c r="B862" s="1" t="n">
        <v>45428</v>
      </c>
      <c r="C862" s="1" t="n">
        <v>45812</v>
      </c>
      <c r="D862" t="inlineStr">
        <is>
          <t>DALARNAS LÄN</t>
        </is>
      </c>
      <c r="E862" t="inlineStr">
        <is>
          <t>ÄLVDALEN</t>
        </is>
      </c>
      <c r="F862" t="inlineStr">
        <is>
          <t>Allmännings- och besparingsskogar</t>
        </is>
      </c>
      <c r="G862" t="n">
        <v>32.5</v>
      </c>
      <c r="H862" t="n">
        <v>0</v>
      </c>
      <c r="I862" t="n">
        <v>0</v>
      </c>
      <c r="J862" t="n">
        <v>0</v>
      </c>
      <c r="K862" t="n">
        <v>0</v>
      </c>
      <c r="L862" t="n">
        <v>0</v>
      </c>
      <c r="M862" t="n">
        <v>0</v>
      </c>
      <c r="N862" t="n">
        <v>0</v>
      </c>
      <c r="O862" t="n">
        <v>0</v>
      </c>
      <c r="P862" t="n">
        <v>0</v>
      </c>
      <c r="Q862" t="n">
        <v>0</v>
      </c>
      <c r="R862" s="2" t="inlineStr"/>
    </row>
    <row r="863" ht="15" customHeight="1">
      <c r="A863" t="inlineStr">
        <is>
          <t>A 19423-2024</t>
        </is>
      </c>
      <c r="B863" s="1" t="n">
        <v>45429</v>
      </c>
      <c r="C863" s="1" t="n">
        <v>45812</v>
      </c>
      <c r="D863" t="inlineStr">
        <is>
          <t>DALARNAS LÄN</t>
        </is>
      </c>
      <c r="E863" t="inlineStr">
        <is>
          <t>ÄLVDALEN</t>
        </is>
      </c>
      <c r="F863" t="inlineStr">
        <is>
          <t>Bergvik skog väst AB</t>
        </is>
      </c>
      <c r="G863" t="n">
        <v>9.5</v>
      </c>
      <c r="H863" t="n">
        <v>0</v>
      </c>
      <c r="I863" t="n">
        <v>0</v>
      </c>
      <c r="J863" t="n">
        <v>0</v>
      </c>
      <c r="K863" t="n">
        <v>0</v>
      </c>
      <c r="L863" t="n">
        <v>0</v>
      </c>
      <c r="M863" t="n">
        <v>0</v>
      </c>
      <c r="N863" t="n">
        <v>0</v>
      </c>
      <c r="O863" t="n">
        <v>0</v>
      </c>
      <c r="P863" t="n">
        <v>0</v>
      </c>
      <c r="Q863" t="n">
        <v>0</v>
      </c>
      <c r="R863" s="2" t="inlineStr"/>
    </row>
    <row r="864" ht="15" customHeight="1">
      <c r="A864" t="inlineStr">
        <is>
          <t>A 19708-2024</t>
        </is>
      </c>
      <c r="B864" s="1" t="n">
        <v>45432</v>
      </c>
      <c r="C864" s="1" t="n">
        <v>45812</v>
      </c>
      <c r="D864" t="inlineStr">
        <is>
          <t>DALARNAS LÄN</t>
        </is>
      </c>
      <c r="E864" t="inlineStr">
        <is>
          <t>ÄLVDALEN</t>
        </is>
      </c>
      <c r="G864" t="n">
        <v>12.4</v>
      </c>
      <c r="H864" t="n">
        <v>0</v>
      </c>
      <c r="I864" t="n">
        <v>0</v>
      </c>
      <c r="J864" t="n">
        <v>0</v>
      </c>
      <c r="K864" t="n">
        <v>0</v>
      </c>
      <c r="L864" t="n">
        <v>0</v>
      </c>
      <c r="M864" t="n">
        <v>0</v>
      </c>
      <c r="N864" t="n">
        <v>0</v>
      </c>
      <c r="O864" t="n">
        <v>0</v>
      </c>
      <c r="P864" t="n">
        <v>0</v>
      </c>
      <c r="Q864" t="n">
        <v>0</v>
      </c>
      <c r="R864" s="2" t="inlineStr"/>
    </row>
    <row r="865" ht="15" customHeight="1">
      <c r="A865" t="inlineStr">
        <is>
          <t>A 20569-2024</t>
        </is>
      </c>
      <c r="B865" s="1" t="n">
        <v>45436</v>
      </c>
      <c r="C865" s="1" t="n">
        <v>45812</v>
      </c>
      <c r="D865" t="inlineStr">
        <is>
          <t>DALARNAS LÄN</t>
        </is>
      </c>
      <c r="E865" t="inlineStr">
        <is>
          <t>ÄLVDALEN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21199-2024</t>
        </is>
      </c>
      <c r="B866" s="1" t="n">
        <v>45440</v>
      </c>
      <c r="C866" s="1" t="n">
        <v>45812</v>
      </c>
      <c r="D866" t="inlineStr">
        <is>
          <t>DALARNAS LÄN</t>
        </is>
      </c>
      <c r="E866" t="inlineStr">
        <is>
          <t>ÄLVDALEN</t>
        </is>
      </c>
      <c r="G866" t="n">
        <v>3</v>
      </c>
      <c r="H866" t="n">
        <v>0</v>
      </c>
      <c r="I866" t="n">
        <v>0</v>
      </c>
      <c r="J866" t="n">
        <v>0</v>
      </c>
      <c r="K866" t="n">
        <v>0</v>
      </c>
      <c r="L866" t="n">
        <v>0</v>
      </c>
      <c r="M866" t="n">
        <v>0</v>
      </c>
      <c r="N866" t="n">
        <v>0</v>
      </c>
      <c r="O866" t="n">
        <v>0</v>
      </c>
      <c r="P866" t="n">
        <v>0</v>
      </c>
      <c r="Q866" t="n">
        <v>0</v>
      </c>
      <c r="R866" s="2" t="inlineStr"/>
    </row>
    <row r="867" ht="15" customHeight="1">
      <c r="A867" t="inlineStr">
        <is>
          <t>A 21116-2024</t>
        </is>
      </c>
      <c r="B867" s="1" t="n">
        <v>45440</v>
      </c>
      <c r="C867" s="1" t="n">
        <v>45812</v>
      </c>
      <c r="D867" t="inlineStr">
        <is>
          <t>DALARNAS LÄN</t>
        </is>
      </c>
      <c r="E867" t="inlineStr">
        <is>
          <t>ÄLVDALEN</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21466-2024</t>
        </is>
      </c>
      <c r="B868" s="1" t="n">
        <v>45441</v>
      </c>
      <c r="C868" s="1" t="n">
        <v>45812</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21469-2024</t>
        </is>
      </c>
      <c r="B869" s="1" t="n">
        <v>45441</v>
      </c>
      <c r="C869" s="1" t="n">
        <v>45812</v>
      </c>
      <c r="D869" t="inlineStr">
        <is>
          <t>DALARNAS LÄN</t>
        </is>
      </c>
      <c r="E869" t="inlineStr">
        <is>
          <t>ÄLVDALEN</t>
        </is>
      </c>
      <c r="G869" t="n">
        <v>1</v>
      </c>
      <c r="H869" t="n">
        <v>0</v>
      </c>
      <c r="I869" t="n">
        <v>0</v>
      </c>
      <c r="J869" t="n">
        <v>0</v>
      </c>
      <c r="K869" t="n">
        <v>0</v>
      </c>
      <c r="L869" t="n">
        <v>0</v>
      </c>
      <c r="M869" t="n">
        <v>0</v>
      </c>
      <c r="N869" t="n">
        <v>0</v>
      </c>
      <c r="O869" t="n">
        <v>0</v>
      </c>
      <c r="P869" t="n">
        <v>0</v>
      </c>
      <c r="Q869" t="n">
        <v>0</v>
      </c>
      <c r="R869" s="2" t="inlineStr"/>
    </row>
    <row r="870" ht="15" customHeight="1">
      <c r="A870" t="inlineStr">
        <is>
          <t>A 21659-2024</t>
        </is>
      </c>
      <c r="B870" s="1" t="n">
        <v>45442</v>
      </c>
      <c r="C870" s="1" t="n">
        <v>45812</v>
      </c>
      <c r="D870" t="inlineStr">
        <is>
          <t>DALARNAS LÄN</t>
        </is>
      </c>
      <c r="E870" t="inlineStr">
        <is>
          <t>ÄLVDALEN</t>
        </is>
      </c>
      <c r="F870" t="inlineStr">
        <is>
          <t>Bergvik skog väst AB</t>
        </is>
      </c>
      <c r="G870" t="n">
        <v>3.2</v>
      </c>
      <c r="H870" t="n">
        <v>0</v>
      </c>
      <c r="I870" t="n">
        <v>0</v>
      </c>
      <c r="J870" t="n">
        <v>0</v>
      </c>
      <c r="K870" t="n">
        <v>0</v>
      </c>
      <c r="L870" t="n">
        <v>0</v>
      </c>
      <c r="M870" t="n">
        <v>0</v>
      </c>
      <c r="N870" t="n">
        <v>0</v>
      </c>
      <c r="O870" t="n">
        <v>0</v>
      </c>
      <c r="P870" t="n">
        <v>0</v>
      </c>
      <c r="Q870" t="n">
        <v>0</v>
      </c>
      <c r="R870" s="2" t="inlineStr"/>
    </row>
    <row r="871" ht="15" customHeight="1">
      <c r="A871" t="inlineStr">
        <is>
          <t>A 23328-2024</t>
        </is>
      </c>
      <c r="B871" s="1" t="n">
        <v>45453</v>
      </c>
      <c r="C871" s="1" t="n">
        <v>45812</v>
      </c>
      <c r="D871" t="inlineStr">
        <is>
          <t>DALARNAS LÄN</t>
        </is>
      </c>
      <c r="E871" t="inlineStr">
        <is>
          <t>ÄLVDALEN</t>
        </is>
      </c>
      <c r="G871" t="n">
        <v>2.7</v>
      </c>
      <c r="H871" t="n">
        <v>0</v>
      </c>
      <c r="I871" t="n">
        <v>0</v>
      </c>
      <c r="J871" t="n">
        <v>0</v>
      </c>
      <c r="K871" t="n">
        <v>0</v>
      </c>
      <c r="L871" t="n">
        <v>0</v>
      </c>
      <c r="M871" t="n">
        <v>0</v>
      </c>
      <c r="N871" t="n">
        <v>0</v>
      </c>
      <c r="O871" t="n">
        <v>0</v>
      </c>
      <c r="P871" t="n">
        <v>0</v>
      </c>
      <c r="Q871" t="n">
        <v>0</v>
      </c>
      <c r="R871" s="2" t="inlineStr"/>
    </row>
    <row r="872" ht="15" customHeight="1">
      <c r="A872" t="inlineStr">
        <is>
          <t>A 23370-2024</t>
        </is>
      </c>
      <c r="B872" s="1" t="n">
        <v>45453</v>
      </c>
      <c r="C872" s="1" t="n">
        <v>45812</v>
      </c>
      <c r="D872" t="inlineStr">
        <is>
          <t>DALARNAS LÄN</t>
        </is>
      </c>
      <c r="E872" t="inlineStr">
        <is>
          <t>ÄLVDALEN</t>
        </is>
      </c>
      <c r="G872" t="n">
        <v>2.4</v>
      </c>
      <c r="H872" t="n">
        <v>0</v>
      </c>
      <c r="I872" t="n">
        <v>0</v>
      </c>
      <c r="J872" t="n">
        <v>0</v>
      </c>
      <c r="K872" t="n">
        <v>0</v>
      </c>
      <c r="L872" t="n">
        <v>0</v>
      </c>
      <c r="M872" t="n">
        <v>0</v>
      </c>
      <c r="N872" t="n">
        <v>0</v>
      </c>
      <c r="O872" t="n">
        <v>0</v>
      </c>
      <c r="P872" t="n">
        <v>0</v>
      </c>
      <c r="Q872" t="n">
        <v>0</v>
      </c>
      <c r="R872" s="2" t="inlineStr"/>
    </row>
    <row r="873" ht="15" customHeight="1">
      <c r="A873" t="inlineStr">
        <is>
          <t>A 23656-2024</t>
        </is>
      </c>
      <c r="B873" s="1" t="n">
        <v>45454</v>
      </c>
      <c r="C873" s="1" t="n">
        <v>45812</v>
      </c>
      <c r="D873" t="inlineStr">
        <is>
          <t>DALARNAS LÄN</t>
        </is>
      </c>
      <c r="E873" t="inlineStr">
        <is>
          <t>ÄLVDALEN</t>
        </is>
      </c>
      <c r="F873" t="inlineStr">
        <is>
          <t>Allmännings- och besparingsskogar</t>
        </is>
      </c>
      <c r="G873" t="n">
        <v>35.2</v>
      </c>
      <c r="H873" t="n">
        <v>0</v>
      </c>
      <c r="I873" t="n">
        <v>0</v>
      </c>
      <c r="J873" t="n">
        <v>0</v>
      </c>
      <c r="K873" t="n">
        <v>0</v>
      </c>
      <c r="L873" t="n">
        <v>0</v>
      </c>
      <c r="M873" t="n">
        <v>0</v>
      </c>
      <c r="N873" t="n">
        <v>0</v>
      </c>
      <c r="O873" t="n">
        <v>0</v>
      </c>
      <c r="P873" t="n">
        <v>0</v>
      </c>
      <c r="Q873" t="n">
        <v>0</v>
      </c>
      <c r="R873" s="2" t="inlineStr"/>
    </row>
    <row r="874" ht="15" customHeight="1">
      <c r="A874" t="inlineStr">
        <is>
          <t>A 23756-2024</t>
        </is>
      </c>
      <c r="B874" s="1" t="n">
        <v>45455</v>
      </c>
      <c r="C874" s="1" t="n">
        <v>45812</v>
      </c>
      <c r="D874" t="inlineStr">
        <is>
          <t>DALARNAS LÄN</t>
        </is>
      </c>
      <c r="E874" t="inlineStr">
        <is>
          <t>ÄLVDALEN</t>
        </is>
      </c>
      <c r="F874" t="inlineStr">
        <is>
          <t>Allmännings- och besparingsskogar</t>
        </is>
      </c>
      <c r="G874" t="n">
        <v>2.9</v>
      </c>
      <c r="H874" t="n">
        <v>0</v>
      </c>
      <c r="I874" t="n">
        <v>0</v>
      </c>
      <c r="J874" t="n">
        <v>0</v>
      </c>
      <c r="K874" t="n">
        <v>0</v>
      </c>
      <c r="L874" t="n">
        <v>0</v>
      </c>
      <c r="M874" t="n">
        <v>0</v>
      </c>
      <c r="N874" t="n">
        <v>0</v>
      </c>
      <c r="O874" t="n">
        <v>0</v>
      </c>
      <c r="P874" t="n">
        <v>0</v>
      </c>
      <c r="Q874" t="n">
        <v>0</v>
      </c>
      <c r="R874" s="2" t="inlineStr"/>
    </row>
    <row r="875" ht="15" customHeight="1">
      <c r="A875" t="inlineStr">
        <is>
          <t>A 24002-2024</t>
        </is>
      </c>
      <c r="B875" s="1" t="n">
        <v>45456</v>
      </c>
      <c r="C875" s="1" t="n">
        <v>45812</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23999-2024</t>
        </is>
      </c>
      <c r="B876" s="1" t="n">
        <v>45456</v>
      </c>
      <c r="C876" s="1" t="n">
        <v>45812</v>
      </c>
      <c r="D876" t="inlineStr">
        <is>
          <t>DALARNAS LÄN</t>
        </is>
      </c>
      <c r="E876" t="inlineStr">
        <is>
          <t>ÄLVDALEN</t>
        </is>
      </c>
      <c r="G876" t="n">
        <v>1</v>
      </c>
      <c r="H876" t="n">
        <v>0</v>
      </c>
      <c r="I876" t="n">
        <v>0</v>
      </c>
      <c r="J876" t="n">
        <v>0</v>
      </c>
      <c r="K876" t="n">
        <v>0</v>
      </c>
      <c r="L876" t="n">
        <v>0</v>
      </c>
      <c r="M876" t="n">
        <v>0</v>
      </c>
      <c r="N876" t="n">
        <v>0</v>
      </c>
      <c r="O876" t="n">
        <v>0</v>
      </c>
      <c r="P876" t="n">
        <v>0</v>
      </c>
      <c r="Q876" t="n">
        <v>0</v>
      </c>
      <c r="R876" s="2" t="inlineStr"/>
    </row>
    <row r="877" ht="15" customHeight="1">
      <c r="A877" t="inlineStr">
        <is>
          <t>A 24009-2024</t>
        </is>
      </c>
      <c r="B877" s="1" t="n">
        <v>45456</v>
      </c>
      <c r="C877" s="1" t="n">
        <v>45812</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24597-2024</t>
        </is>
      </c>
      <c r="B878" s="1" t="n">
        <v>45460</v>
      </c>
      <c r="C878" s="1" t="n">
        <v>45812</v>
      </c>
      <c r="D878" t="inlineStr">
        <is>
          <t>DALARNAS LÄN</t>
        </is>
      </c>
      <c r="E878" t="inlineStr">
        <is>
          <t>ÄLVDALEN</t>
        </is>
      </c>
      <c r="F878" t="inlineStr">
        <is>
          <t>Allmännings- och besparingsskogar</t>
        </is>
      </c>
      <c r="G878" t="n">
        <v>21.8</v>
      </c>
      <c r="H878" t="n">
        <v>0</v>
      </c>
      <c r="I878" t="n">
        <v>0</v>
      </c>
      <c r="J878" t="n">
        <v>0</v>
      </c>
      <c r="K878" t="n">
        <v>0</v>
      </c>
      <c r="L878" t="n">
        <v>0</v>
      </c>
      <c r="M878" t="n">
        <v>0</v>
      </c>
      <c r="N878" t="n">
        <v>0</v>
      </c>
      <c r="O878" t="n">
        <v>0</v>
      </c>
      <c r="P878" t="n">
        <v>0</v>
      </c>
      <c r="Q878" t="n">
        <v>0</v>
      </c>
      <c r="R878" s="2" t="inlineStr"/>
    </row>
    <row r="879" ht="15" customHeight="1">
      <c r="A879" t="inlineStr">
        <is>
          <t>A 25257-2024</t>
        </is>
      </c>
      <c r="B879" s="1" t="n">
        <v>45462</v>
      </c>
      <c r="C879" s="1" t="n">
        <v>45812</v>
      </c>
      <c r="D879" t="inlineStr">
        <is>
          <t>DALARNAS LÄN</t>
        </is>
      </c>
      <c r="E879" t="inlineStr">
        <is>
          <t>ÄLVDALEN</t>
        </is>
      </c>
      <c r="G879" t="n">
        <v>3.5</v>
      </c>
      <c r="H879" t="n">
        <v>0</v>
      </c>
      <c r="I879" t="n">
        <v>0</v>
      </c>
      <c r="J879" t="n">
        <v>0</v>
      </c>
      <c r="K879" t="n">
        <v>0</v>
      </c>
      <c r="L879" t="n">
        <v>0</v>
      </c>
      <c r="M879" t="n">
        <v>0</v>
      </c>
      <c r="N879" t="n">
        <v>0</v>
      </c>
      <c r="O879" t="n">
        <v>0</v>
      </c>
      <c r="P879" t="n">
        <v>0</v>
      </c>
      <c r="Q879" t="n">
        <v>0</v>
      </c>
      <c r="R879" s="2" t="inlineStr"/>
    </row>
    <row r="880" ht="15" customHeight="1">
      <c r="A880" t="inlineStr">
        <is>
          <t>A 25272-2024</t>
        </is>
      </c>
      <c r="B880" s="1" t="n">
        <v>45462</v>
      </c>
      <c r="C880" s="1" t="n">
        <v>45812</v>
      </c>
      <c r="D880" t="inlineStr">
        <is>
          <t>DALARNAS LÄN</t>
        </is>
      </c>
      <c r="E880" t="inlineStr">
        <is>
          <t>ÄLVDALEN</t>
        </is>
      </c>
      <c r="G880" t="n">
        <v>23.5</v>
      </c>
      <c r="H880" t="n">
        <v>0</v>
      </c>
      <c r="I880" t="n">
        <v>0</v>
      </c>
      <c r="J880" t="n">
        <v>0</v>
      </c>
      <c r="K880" t="n">
        <v>0</v>
      </c>
      <c r="L880" t="n">
        <v>0</v>
      </c>
      <c r="M880" t="n">
        <v>0</v>
      </c>
      <c r="N880" t="n">
        <v>0</v>
      </c>
      <c r="O880" t="n">
        <v>0</v>
      </c>
      <c r="P880" t="n">
        <v>0</v>
      </c>
      <c r="Q880" t="n">
        <v>0</v>
      </c>
      <c r="R880" s="2" t="inlineStr"/>
    </row>
    <row r="881" ht="15" customHeight="1">
      <c r="A881" t="inlineStr">
        <is>
          <t>A 25505-2024</t>
        </is>
      </c>
      <c r="B881" s="1" t="n">
        <v>45463</v>
      </c>
      <c r="C881" s="1" t="n">
        <v>45812</v>
      </c>
      <c r="D881" t="inlineStr">
        <is>
          <t>DALARNAS LÄN</t>
        </is>
      </c>
      <c r="E881" t="inlineStr">
        <is>
          <t>ÄLVDALEN</t>
        </is>
      </c>
      <c r="G881" t="n">
        <v>15.2</v>
      </c>
      <c r="H881" t="n">
        <v>0</v>
      </c>
      <c r="I881" t="n">
        <v>0</v>
      </c>
      <c r="J881" t="n">
        <v>0</v>
      </c>
      <c r="K881" t="n">
        <v>0</v>
      </c>
      <c r="L881" t="n">
        <v>0</v>
      </c>
      <c r="M881" t="n">
        <v>0</v>
      </c>
      <c r="N881" t="n">
        <v>0</v>
      </c>
      <c r="O881" t="n">
        <v>0</v>
      </c>
      <c r="P881" t="n">
        <v>0</v>
      </c>
      <c r="Q881" t="n">
        <v>0</v>
      </c>
      <c r="R881" s="2" t="inlineStr"/>
    </row>
    <row r="882" ht="15" customHeight="1">
      <c r="A882" t="inlineStr">
        <is>
          <t>A 25512-2024</t>
        </is>
      </c>
      <c r="B882" s="1" t="n">
        <v>45463</v>
      </c>
      <c r="C882" s="1" t="n">
        <v>45812</v>
      </c>
      <c r="D882" t="inlineStr">
        <is>
          <t>DALARNAS LÄN</t>
        </is>
      </c>
      <c r="E882" t="inlineStr">
        <is>
          <t>ÄLVDALEN</t>
        </is>
      </c>
      <c r="F882" t="inlineStr">
        <is>
          <t>Övriga Aktiebolag</t>
        </is>
      </c>
      <c r="G882" t="n">
        <v>5.6</v>
      </c>
      <c r="H882" t="n">
        <v>0</v>
      </c>
      <c r="I882" t="n">
        <v>0</v>
      </c>
      <c r="J882" t="n">
        <v>0</v>
      </c>
      <c r="K882" t="n">
        <v>0</v>
      </c>
      <c r="L882" t="n">
        <v>0</v>
      </c>
      <c r="M882" t="n">
        <v>0</v>
      </c>
      <c r="N882" t="n">
        <v>0</v>
      </c>
      <c r="O882" t="n">
        <v>0</v>
      </c>
      <c r="P882" t="n">
        <v>0</v>
      </c>
      <c r="Q882" t="n">
        <v>0</v>
      </c>
      <c r="R882" s="2" t="inlineStr"/>
    </row>
    <row r="883" ht="15" customHeight="1">
      <c r="A883" t="inlineStr">
        <is>
          <t>A 25516-2024</t>
        </is>
      </c>
      <c r="B883" s="1" t="n">
        <v>45463</v>
      </c>
      <c r="C883" s="1" t="n">
        <v>45812</v>
      </c>
      <c r="D883" t="inlineStr">
        <is>
          <t>DALARNAS LÄN</t>
        </is>
      </c>
      <c r="E883" t="inlineStr">
        <is>
          <t>ÄLVDALEN</t>
        </is>
      </c>
      <c r="F883" t="inlineStr">
        <is>
          <t>Övriga Aktiebolag</t>
        </is>
      </c>
      <c r="G883" t="n">
        <v>9.1</v>
      </c>
      <c r="H883" t="n">
        <v>0</v>
      </c>
      <c r="I883" t="n">
        <v>0</v>
      </c>
      <c r="J883" t="n">
        <v>0</v>
      </c>
      <c r="K883" t="n">
        <v>0</v>
      </c>
      <c r="L883" t="n">
        <v>0</v>
      </c>
      <c r="M883" t="n">
        <v>0</v>
      </c>
      <c r="N883" t="n">
        <v>0</v>
      </c>
      <c r="O883" t="n">
        <v>0</v>
      </c>
      <c r="P883" t="n">
        <v>0</v>
      </c>
      <c r="Q883" t="n">
        <v>0</v>
      </c>
      <c r="R883" s="2" t="inlineStr"/>
    </row>
    <row r="884" ht="15" customHeight="1">
      <c r="A884" t="inlineStr">
        <is>
          <t>A 25511-2024</t>
        </is>
      </c>
      <c r="B884" s="1" t="n">
        <v>45463</v>
      </c>
      <c r="C884" s="1" t="n">
        <v>45812</v>
      </c>
      <c r="D884" t="inlineStr">
        <is>
          <t>DALARNAS LÄN</t>
        </is>
      </c>
      <c r="E884" t="inlineStr">
        <is>
          <t>ÄLVDALEN</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25507-2024</t>
        </is>
      </c>
      <c r="B885" s="1" t="n">
        <v>45463</v>
      </c>
      <c r="C885" s="1" t="n">
        <v>45812</v>
      </c>
      <c r="D885" t="inlineStr">
        <is>
          <t>DALARNAS LÄN</t>
        </is>
      </c>
      <c r="E885" t="inlineStr">
        <is>
          <t>ÄLVDALEN</t>
        </is>
      </c>
      <c r="F885" t="inlineStr">
        <is>
          <t>Övriga Aktiebolag</t>
        </is>
      </c>
      <c r="G885" t="n">
        <v>6.5</v>
      </c>
      <c r="H885" t="n">
        <v>0</v>
      </c>
      <c r="I885" t="n">
        <v>0</v>
      </c>
      <c r="J885" t="n">
        <v>0</v>
      </c>
      <c r="K885" t="n">
        <v>0</v>
      </c>
      <c r="L885" t="n">
        <v>0</v>
      </c>
      <c r="M885" t="n">
        <v>0</v>
      </c>
      <c r="N885" t="n">
        <v>0</v>
      </c>
      <c r="O885" t="n">
        <v>0</v>
      </c>
      <c r="P885" t="n">
        <v>0</v>
      </c>
      <c r="Q885" t="n">
        <v>0</v>
      </c>
      <c r="R885" s="2" t="inlineStr"/>
    </row>
    <row r="886" ht="15" customHeight="1">
      <c r="A886" t="inlineStr">
        <is>
          <t>A 25931-2024</t>
        </is>
      </c>
      <c r="B886" s="1" t="n">
        <v>45467</v>
      </c>
      <c r="C886" s="1" t="n">
        <v>45812</v>
      </c>
      <c r="D886" t="inlineStr">
        <is>
          <t>DALARNAS LÄN</t>
        </is>
      </c>
      <c r="E886" t="inlineStr">
        <is>
          <t>ÄLVDALEN</t>
        </is>
      </c>
      <c r="G886" t="n">
        <v>15.4</v>
      </c>
      <c r="H886" t="n">
        <v>0</v>
      </c>
      <c r="I886" t="n">
        <v>0</v>
      </c>
      <c r="J886" t="n">
        <v>0</v>
      </c>
      <c r="K886" t="n">
        <v>0</v>
      </c>
      <c r="L886" t="n">
        <v>0</v>
      </c>
      <c r="M886" t="n">
        <v>0</v>
      </c>
      <c r="N886" t="n">
        <v>0</v>
      </c>
      <c r="O886" t="n">
        <v>0</v>
      </c>
      <c r="P886" t="n">
        <v>0</v>
      </c>
      <c r="Q886" t="n">
        <v>0</v>
      </c>
      <c r="R886" s="2" t="inlineStr"/>
    </row>
    <row r="887" ht="15" customHeight="1">
      <c r="A887" t="inlineStr">
        <is>
          <t>A 28239-2024</t>
        </is>
      </c>
      <c r="B887" s="1" t="n">
        <v>45468</v>
      </c>
      <c r="C887" s="1" t="n">
        <v>45812</v>
      </c>
      <c r="D887" t="inlineStr">
        <is>
          <t>DALARNAS LÄN</t>
        </is>
      </c>
      <c r="E887" t="inlineStr">
        <is>
          <t>ÄLVDALEN</t>
        </is>
      </c>
      <c r="G887" t="n">
        <v>4</v>
      </c>
      <c r="H887" t="n">
        <v>0</v>
      </c>
      <c r="I887" t="n">
        <v>0</v>
      </c>
      <c r="J887" t="n">
        <v>0</v>
      </c>
      <c r="K887" t="n">
        <v>0</v>
      </c>
      <c r="L887" t="n">
        <v>0</v>
      </c>
      <c r="M887" t="n">
        <v>0</v>
      </c>
      <c r="N887" t="n">
        <v>0</v>
      </c>
      <c r="O887" t="n">
        <v>0</v>
      </c>
      <c r="P887" t="n">
        <v>0</v>
      </c>
      <c r="Q887" t="n">
        <v>0</v>
      </c>
      <c r="R887" s="2" t="inlineStr"/>
    </row>
    <row r="888" ht="15" customHeight="1">
      <c r="A888" t="inlineStr">
        <is>
          <t>A 26094-2024</t>
        </is>
      </c>
      <c r="B888" s="1" t="n">
        <v>45468</v>
      </c>
      <c r="C888" s="1" t="n">
        <v>45812</v>
      </c>
      <c r="D888" t="inlineStr">
        <is>
          <t>DALARNAS LÄN</t>
        </is>
      </c>
      <c r="E888" t="inlineStr">
        <is>
          <t>ÄLVDALEN</t>
        </is>
      </c>
      <c r="F888" t="inlineStr">
        <is>
          <t>Allmännings- och besparingsskogar</t>
        </is>
      </c>
      <c r="G888" t="n">
        <v>33.5</v>
      </c>
      <c r="H888" t="n">
        <v>0</v>
      </c>
      <c r="I888" t="n">
        <v>0</v>
      </c>
      <c r="J888" t="n">
        <v>0</v>
      </c>
      <c r="K888" t="n">
        <v>0</v>
      </c>
      <c r="L888" t="n">
        <v>0</v>
      </c>
      <c r="M888" t="n">
        <v>0</v>
      </c>
      <c r="N888" t="n">
        <v>0</v>
      </c>
      <c r="O888" t="n">
        <v>0</v>
      </c>
      <c r="P888" t="n">
        <v>0</v>
      </c>
      <c r="Q888" t="n">
        <v>0</v>
      </c>
      <c r="R888" s="2" t="inlineStr"/>
    </row>
    <row r="889" ht="15" customHeight="1">
      <c r="A889" t="inlineStr">
        <is>
          <t>A 26862-2024</t>
        </is>
      </c>
      <c r="B889" s="1" t="n">
        <v>45470</v>
      </c>
      <c r="C889" s="1" t="n">
        <v>45812</v>
      </c>
      <c r="D889" t="inlineStr">
        <is>
          <t>DALARNAS LÄN</t>
        </is>
      </c>
      <c r="E889" t="inlineStr">
        <is>
          <t>ÄLVDALEN</t>
        </is>
      </c>
      <c r="F889" t="inlineStr">
        <is>
          <t>Allmännings- och besparingsskogar</t>
        </is>
      </c>
      <c r="G889" t="n">
        <v>4.3</v>
      </c>
      <c r="H889" t="n">
        <v>0</v>
      </c>
      <c r="I889" t="n">
        <v>0</v>
      </c>
      <c r="J889" t="n">
        <v>0</v>
      </c>
      <c r="K889" t="n">
        <v>0</v>
      </c>
      <c r="L889" t="n">
        <v>0</v>
      </c>
      <c r="M889" t="n">
        <v>0</v>
      </c>
      <c r="N889" t="n">
        <v>0</v>
      </c>
      <c r="O889" t="n">
        <v>0</v>
      </c>
      <c r="P889" t="n">
        <v>0</v>
      </c>
      <c r="Q889" t="n">
        <v>0</v>
      </c>
      <c r="R889" s="2" t="inlineStr"/>
    </row>
    <row r="890" ht="15" customHeight="1">
      <c r="A890" t="inlineStr">
        <is>
          <t>A 27036-2024</t>
        </is>
      </c>
      <c r="B890" s="1" t="n">
        <v>45471</v>
      </c>
      <c r="C890" s="1" t="n">
        <v>45812</v>
      </c>
      <c r="D890" t="inlineStr">
        <is>
          <t>DALARNAS LÄN</t>
        </is>
      </c>
      <c r="E890" t="inlineStr">
        <is>
          <t>ÄLVDALEN</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27858-2024</t>
        </is>
      </c>
      <c r="B891" s="1" t="n">
        <v>45475</v>
      </c>
      <c r="C891" s="1" t="n">
        <v>45812</v>
      </c>
      <c r="D891" t="inlineStr">
        <is>
          <t>DALARNAS LÄN</t>
        </is>
      </c>
      <c r="E891" t="inlineStr">
        <is>
          <t>ÄLVDALEN</t>
        </is>
      </c>
      <c r="F891" t="inlineStr">
        <is>
          <t>Allmännings- och besparingsskogar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28473-2024</t>
        </is>
      </c>
      <c r="B892" s="1" t="n">
        <v>45477</v>
      </c>
      <c r="C892" s="1" t="n">
        <v>45812</v>
      </c>
      <c r="D892" t="inlineStr">
        <is>
          <t>DALARNAS LÄN</t>
        </is>
      </c>
      <c r="E892" t="inlineStr">
        <is>
          <t>ÄLVDALEN</t>
        </is>
      </c>
      <c r="G892" t="n">
        <v>5</v>
      </c>
      <c r="H892" t="n">
        <v>0</v>
      </c>
      <c r="I892" t="n">
        <v>0</v>
      </c>
      <c r="J892" t="n">
        <v>0</v>
      </c>
      <c r="K892" t="n">
        <v>0</v>
      </c>
      <c r="L892" t="n">
        <v>0</v>
      </c>
      <c r="M892" t="n">
        <v>0</v>
      </c>
      <c r="N892" t="n">
        <v>0</v>
      </c>
      <c r="O892" t="n">
        <v>0</v>
      </c>
      <c r="P892" t="n">
        <v>0</v>
      </c>
      <c r="Q892" t="n">
        <v>0</v>
      </c>
      <c r="R892" s="2" t="inlineStr"/>
    </row>
    <row r="893" ht="15" customHeight="1">
      <c r="A893" t="inlineStr">
        <is>
          <t>A 28479-2024</t>
        </is>
      </c>
      <c r="B893" s="1" t="n">
        <v>45477</v>
      </c>
      <c r="C893" s="1" t="n">
        <v>45812</v>
      </c>
      <c r="D893" t="inlineStr">
        <is>
          <t>DALARNAS LÄN</t>
        </is>
      </c>
      <c r="E893" t="inlineStr">
        <is>
          <t>ÄLVDALEN</t>
        </is>
      </c>
      <c r="G893" t="n">
        <v>4.1</v>
      </c>
      <c r="H893" t="n">
        <v>0</v>
      </c>
      <c r="I893" t="n">
        <v>0</v>
      </c>
      <c r="J893" t="n">
        <v>0</v>
      </c>
      <c r="K893" t="n">
        <v>0</v>
      </c>
      <c r="L893" t="n">
        <v>0</v>
      </c>
      <c r="M893" t="n">
        <v>0</v>
      </c>
      <c r="N893" t="n">
        <v>0</v>
      </c>
      <c r="O893" t="n">
        <v>0</v>
      </c>
      <c r="P893" t="n">
        <v>0</v>
      </c>
      <c r="Q893" t="n">
        <v>0</v>
      </c>
      <c r="R893" s="2" t="inlineStr"/>
    </row>
    <row r="894" ht="15" customHeight="1">
      <c r="A894" t="inlineStr">
        <is>
          <t>A 28467-2024</t>
        </is>
      </c>
      <c r="B894" s="1" t="n">
        <v>45477</v>
      </c>
      <c r="C894" s="1" t="n">
        <v>45812</v>
      </c>
      <c r="D894" t="inlineStr">
        <is>
          <t>DALARNAS LÄN</t>
        </is>
      </c>
      <c r="E894" t="inlineStr">
        <is>
          <t>ÄLVDALEN</t>
        </is>
      </c>
      <c r="G894" t="n">
        <v>4</v>
      </c>
      <c r="H894" t="n">
        <v>0</v>
      </c>
      <c r="I894" t="n">
        <v>0</v>
      </c>
      <c r="J894" t="n">
        <v>0</v>
      </c>
      <c r="K894" t="n">
        <v>0</v>
      </c>
      <c r="L894" t="n">
        <v>0</v>
      </c>
      <c r="M894" t="n">
        <v>0</v>
      </c>
      <c r="N894" t="n">
        <v>0</v>
      </c>
      <c r="O894" t="n">
        <v>0</v>
      </c>
      <c r="P894" t="n">
        <v>0</v>
      </c>
      <c r="Q894" t="n">
        <v>0</v>
      </c>
      <c r="R894" s="2" t="inlineStr"/>
    </row>
    <row r="895" ht="15" customHeight="1">
      <c r="A895" t="inlineStr">
        <is>
          <t>A 28643-2024</t>
        </is>
      </c>
      <c r="B895" s="1" t="n">
        <v>45478</v>
      </c>
      <c r="C895" s="1" t="n">
        <v>45812</v>
      </c>
      <c r="D895" t="inlineStr">
        <is>
          <t>DALARNAS LÄN</t>
        </is>
      </c>
      <c r="E895" t="inlineStr">
        <is>
          <t>ÄLVDALEN</t>
        </is>
      </c>
      <c r="G895" t="n">
        <v>3.4</v>
      </c>
      <c r="H895" t="n">
        <v>0</v>
      </c>
      <c r="I895" t="n">
        <v>0</v>
      </c>
      <c r="J895" t="n">
        <v>0</v>
      </c>
      <c r="K895" t="n">
        <v>0</v>
      </c>
      <c r="L895" t="n">
        <v>0</v>
      </c>
      <c r="M895" t="n">
        <v>0</v>
      </c>
      <c r="N895" t="n">
        <v>0</v>
      </c>
      <c r="O895" t="n">
        <v>0</v>
      </c>
      <c r="P895" t="n">
        <v>0</v>
      </c>
      <c r="Q895" t="n">
        <v>0</v>
      </c>
      <c r="R895" s="2" t="inlineStr"/>
    </row>
    <row r="896" ht="15" customHeight="1">
      <c r="A896" t="inlineStr">
        <is>
          <t>A 29129-2024</t>
        </is>
      </c>
      <c r="B896" s="1" t="n">
        <v>45482</v>
      </c>
      <c r="C896" s="1" t="n">
        <v>45812</v>
      </c>
      <c r="D896" t="inlineStr">
        <is>
          <t>DALARNAS LÄN</t>
        </is>
      </c>
      <c r="E896" t="inlineStr">
        <is>
          <t>ÄLVDALEN</t>
        </is>
      </c>
      <c r="F896" t="inlineStr">
        <is>
          <t>Allmännings- och besparingsskogar</t>
        </is>
      </c>
      <c r="G896" t="n">
        <v>19.8</v>
      </c>
      <c r="H896" t="n">
        <v>0</v>
      </c>
      <c r="I896" t="n">
        <v>0</v>
      </c>
      <c r="J896" t="n">
        <v>0</v>
      </c>
      <c r="K896" t="n">
        <v>0</v>
      </c>
      <c r="L896" t="n">
        <v>0</v>
      </c>
      <c r="M896" t="n">
        <v>0</v>
      </c>
      <c r="N896" t="n">
        <v>0</v>
      </c>
      <c r="O896" t="n">
        <v>0</v>
      </c>
      <c r="P896" t="n">
        <v>0</v>
      </c>
      <c r="Q896" t="n">
        <v>0</v>
      </c>
      <c r="R896" s="2" t="inlineStr"/>
    </row>
    <row r="897" ht="15" customHeight="1">
      <c r="A897" t="inlineStr">
        <is>
          <t>A 29645-2024</t>
        </is>
      </c>
      <c r="B897" s="1" t="n">
        <v>45484</v>
      </c>
      <c r="C897" s="1" t="n">
        <v>45812</v>
      </c>
      <c r="D897" t="inlineStr">
        <is>
          <t>DALARNAS LÄN</t>
        </is>
      </c>
      <c r="E897" t="inlineStr">
        <is>
          <t>ÄLVDALEN</t>
        </is>
      </c>
      <c r="G897" t="n">
        <v>3</v>
      </c>
      <c r="H897" t="n">
        <v>0</v>
      </c>
      <c r="I897" t="n">
        <v>0</v>
      </c>
      <c r="J897" t="n">
        <v>0</v>
      </c>
      <c r="K897" t="n">
        <v>0</v>
      </c>
      <c r="L897" t="n">
        <v>0</v>
      </c>
      <c r="M897" t="n">
        <v>0</v>
      </c>
      <c r="N897" t="n">
        <v>0</v>
      </c>
      <c r="O897" t="n">
        <v>0</v>
      </c>
      <c r="P897" t="n">
        <v>0</v>
      </c>
      <c r="Q897" t="n">
        <v>0</v>
      </c>
      <c r="R897" s="2" t="inlineStr"/>
    </row>
    <row r="898" ht="15" customHeight="1">
      <c r="A898" t="inlineStr">
        <is>
          <t>A 29646-2024</t>
        </is>
      </c>
      <c r="B898" s="1" t="n">
        <v>45484</v>
      </c>
      <c r="C898" s="1" t="n">
        <v>45812</v>
      </c>
      <c r="D898" t="inlineStr">
        <is>
          <t>DALARNAS LÄN</t>
        </is>
      </c>
      <c r="E898" t="inlineStr">
        <is>
          <t>ÄLVDALEN</t>
        </is>
      </c>
      <c r="G898" t="n">
        <v>2.5</v>
      </c>
      <c r="H898" t="n">
        <v>0</v>
      </c>
      <c r="I898" t="n">
        <v>0</v>
      </c>
      <c r="J898" t="n">
        <v>0</v>
      </c>
      <c r="K898" t="n">
        <v>0</v>
      </c>
      <c r="L898" t="n">
        <v>0</v>
      </c>
      <c r="M898" t="n">
        <v>0</v>
      </c>
      <c r="N898" t="n">
        <v>0</v>
      </c>
      <c r="O898" t="n">
        <v>0</v>
      </c>
      <c r="P898" t="n">
        <v>0</v>
      </c>
      <c r="Q898" t="n">
        <v>0</v>
      </c>
      <c r="R898" s="2" t="inlineStr"/>
    </row>
    <row r="899" ht="15" customHeight="1">
      <c r="A899" t="inlineStr">
        <is>
          <t>A 29614-2024</t>
        </is>
      </c>
      <c r="B899" s="1" t="n">
        <v>45484</v>
      </c>
      <c r="C899" s="1" t="n">
        <v>45812</v>
      </c>
      <c r="D899" t="inlineStr">
        <is>
          <t>DALARNAS LÄN</t>
        </is>
      </c>
      <c r="E899" t="inlineStr">
        <is>
          <t>ÄLVDALEN</t>
        </is>
      </c>
      <c r="G899" t="n">
        <v>2.4</v>
      </c>
      <c r="H899" t="n">
        <v>0</v>
      </c>
      <c r="I899" t="n">
        <v>0</v>
      </c>
      <c r="J899" t="n">
        <v>0</v>
      </c>
      <c r="K899" t="n">
        <v>0</v>
      </c>
      <c r="L899" t="n">
        <v>0</v>
      </c>
      <c r="M899" t="n">
        <v>0</v>
      </c>
      <c r="N899" t="n">
        <v>0</v>
      </c>
      <c r="O899" t="n">
        <v>0</v>
      </c>
      <c r="P899" t="n">
        <v>0</v>
      </c>
      <c r="Q899" t="n">
        <v>0</v>
      </c>
      <c r="R899" s="2" t="inlineStr"/>
    </row>
    <row r="900" ht="15" customHeight="1">
      <c r="A900" t="inlineStr">
        <is>
          <t>A 29610-2024</t>
        </is>
      </c>
      <c r="B900" s="1" t="n">
        <v>45484</v>
      </c>
      <c r="C900" s="1" t="n">
        <v>45812</v>
      </c>
      <c r="D900" t="inlineStr">
        <is>
          <t>DALARNAS LÄN</t>
        </is>
      </c>
      <c r="E900" t="inlineStr">
        <is>
          <t>ÄLVDALEN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29819-2024</t>
        </is>
      </c>
      <c r="B901" s="1" t="n">
        <v>45485</v>
      </c>
      <c r="C901" s="1" t="n">
        <v>45812</v>
      </c>
      <c r="D901" t="inlineStr">
        <is>
          <t>DALARNAS LÄN</t>
        </is>
      </c>
      <c r="E901" t="inlineStr">
        <is>
          <t>ÄLVDALEN</t>
        </is>
      </c>
      <c r="G901" t="n">
        <v>1.4</v>
      </c>
      <c r="H901" t="n">
        <v>0</v>
      </c>
      <c r="I901" t="n">
        <v>0</v>
      </c>
      <c r="J901" t="n">
        <v>0</v>
      </c>
      <c r="K901" t="n">
        <v>0</v>
      </c>
      <c r="L901" t="n">
        <v>0</v>
      </c>
      <c r="M901" t="n">
        <v>0</v>
      </c>
      <c r="N901" t="n">
        <v>0</v>
      </c>
      <c r="O901" t="n">
        <v>0</v>
      </c>
      <c r="P901" t="n">
        <v>0</v>
      </c>
      <c r="Q901" t="n">
        <v>0</v>
      </c>
      <c r="R901" s="2" t="inlineStr"/>
    </row>
    <row r="902" ht="15" customHeight="1">
      <c r="A902" t="inlineStr">
        <is>
          <t>A 30139-2024</t>
        </is>
      </c>
      <c r="B902" s="1" t="n">
        <v>45488</v>
      </c>
      <c r="C902" s="1" t="n">
        <v>45812</v>
      </c>
      <c r="D902" t="inlineStr">
        <is>
          <t>DALARNAS LÄN</t>
        </is>
      </c>
      <c r="E902" t="inlineStr">
        <is>
          <t>ÄLVDALEN</t>
        </is>
      </c>
      <c r="G902" t="n">
        <v>7.9</v>
      </c>
      <c r="H902" t="n">
        <v>0</v>
      </c>
      <c r="I902" t="n">
        <v>0</v>
      </c>
      <c r="J902" t="n">
        <v>0</v>
      </c>
      <c r="K902" t="n">
        <v>0</v>
      </c>
      <c r="L902" t="n">
        <v>0</v>
      </c>
      <c r="M902" t="n">
        <v>0</v>
      </c>
      <c r="N902" t="n">
        <v>0</v>
      </c>
      <c r="O902" t="n">
        <v>0</v>
      </c>
      <c r="P902" t="n">
        <v>0</v>
      </c>
      <c r="Q902" t="n">
        <v>0</v>
      </c>
      <c r="R902" s="2" t="inlineStr"/>
    </row>
    <row r="903" ht="15" customHeight="1">
      <c r="A903" t="inlineStr">
        <is>
          <t>A 30147-2024</t>
        </is>
      </c>
      <c r="B903" s="1" t="n">
        <v>45488</v>
      </c>
      <c r="C903" s="1" t="n">
        <v>45812</v>
      </c>
      <c r="D903" t="inlineStr">
        <is>
          <t>DALARNAS LÄN</t>
        </is>
      </c>
      <c r="E903" t="inlineStr">
        <is>
          <t>ÄLVDALEN</t>
        </is>
      </c>
      <c r="G903" t="n">
        <v>2.1</v>
      </c>
      <c r="H903" t="n">
        <v>0</v>
      </c>
      <c r="I903" t="n">
        <v>0</v>
      </c>
      <c r="J903" t="n">
        <v>0</v>
      </c>
      <c r="K903" t="n">
        <v>0</v>
      </c>
      <c r="L903" t="n">
        <v>0</v>
      </c>
      <c r="M903" t="n">
        <v>0</v>
      </c>
      <c r="N903" t="n">
        <v>0</v>
      </c>
      <c r="O903" t="n">
        <v>0</v>
      </c>
      <c r="P903" t="n">
        <v>0</v>
      </c>
      <c r="Q903" t="n">
        <v>0</v>
      </c>
      <c r="R903" s="2" t="inlineStr"/>
    </row>
    <row r="904" ht="15" customHeight="1">
      <c r="A904" t="inlineStr">
        <is>
          <t>A 30146-2024</t>
        </is>
      </c>
      <c r="B904" s="1" t="n">
        <v>45488</v>
      </c>
      <c r="C904" s="1" t="n">
        <v>45812</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30141-2024</t>
        </is>
      </c>
      <c r="B905" s="1" t="n">
        <v>45488</v>
      </c>
      <c r="C905" s="1" t="n">
        <v>45812</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30143-2024</t>
        </is>
      </c>
      <c r="B906" s="1" t="n">
        <v>45488</v>
      </c>
      <c r="C906" s="1" t="n">
        <v>45812</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30411-2024</t>
        </is>
      </c>
      <c r="B907" s="1" t="n">
        <v>45491</v>
      </c>
      <c r="C907" s="1" t="n">
        <v>45812</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30412-2024</t>
        </is>
      </c>
      <c r="B908" s="1" t="n">
        <v>45491</v>
      </c>
      <c r="C908" s="1" t="n">
        <v>45812</v>
      </c>
      <c r="D908" t="inlineStr">
        <is>
          <t>DALARNAS LÄN</t>
        </is>
      </c>
      <c r="E908" t="inlineStr">
        <is>
          <t>ÄLVDALEN</t>
        </is>
      </c>
      <c r="G908" t="n">
        <v>1.3</v>
      </c>
      <c r="H908" t="n">
        <v>0</v>
      </c>
      <c r="I908" t="n">
        <v>0</v>
      </c>
      <c r="J908" t="n">
        <v>0</v>
      </c>
      <c r="K908" t="n">
        <v>0</v>
      </c>
      <c r="L908" t="n">
        <v>0</v>
      </c>
      <c r="M908" t="n">
        <v>0</v>
      </c>
      <c r="N908" t="n">
        <v>0</v>
      </c>
      <c r="O908" t="n">
        <v>0</v>
      </c>
      <c r="P908" t="n">
        <v>0</v>
      </c>
      <c r="Q908" t="n">
        <v>0</v>
      </c>
      <c r="R908" s="2" t="inlineStr"/>
    </row>
    <row r="909" ht="15" customHeight="1">
      <c r="A909" t="inlineStr">
        <is>
          <t>A 30414-2024</t>
        </is>
      </c>
      <c r="B909" s="1" t="n">
        <v>45491</v>
      </c>
      <c r="C909" s="1" t="n">
        <v>45812</v>
      </c>
      <c r="D909" t="inlineStr">
        <is>
          <t>DALARNAS LÄN</t>
        </is>
      </c>
      <c r="E909" t="inlineStr">
        <is>
          <t>ÄLVDALEN</t>
        </is>
      </c>
      <c r="G909" t="n">
        <v>0.7</v>
      </c>
      <c r="H909" t="n">
        <v>0</v>
      </c>
      <c r="I909" t="n">
        <v>0</v>
      </c>
      <c r="J909" t="n">
        <v>0</v>
      </c>
      <c r="K909" t="n">
        <v>0</v>
      </c>
      <c r="L909" t="n">
        <v>0</v>
      </c>
      <c r="M909" t="n">
        <v>0</v>
      </c>
      <c r="N909" t="n">
        <v>0</v>
      </c>
      <c r="O909" t="n">
        <v>0</v>
      </c>
      <c r="P909" t="n">
        <v>0</v>
      </c>
      <c r="Q909" t="n">
        <v>0</v>
      </c>
      <c r="R909" s="2" t="inlineStr"/>
    </row>
    <row r="910" ht="15" customHeight="1">
      <c r="A910" t="inlineStr">
        <is>
          <t>A 30727-2024</t>
        </is>
      </c>
      <c r="B910" s="1" t="n">
        <v>45496</v>
      </c>
      <c r="C910" s="1" t="n">
        <v>45812</v>
      </c>
      <c r="D910" t="inlineStr">
        <is>
          <t>DALARNAS LÄN</t>
        </is>
      </c>
      <c r="E910" t="inlineStr">
        <is>
          <t>ÄLVDALEN</t>
        </is>
      </c>
      <c r="F910" t="inlineStr">
        <is>
          <t>Allmännings- och besparingsskogar</t>
        </is>
      </c>
      <c r="G910" t="n">
        <v>35.7</v>
      </c>
      <c r="H910" t="n">
        <v>0</v>
      </c>
      <c r="I910" t="n">
        <v>0</v>
      </c>
      <c r="J910" t="n">
        <v>0</v>
      </c>
      <c r="K910" t="n">
        <v>0</v>
      </c>
      <c r="L910" t="n">
        <v>0</v>
      </c>
      <c r="M910" t="n">
        <v>0</v>
      </c>
      <c r="N910" t="n">
        <v>0</v>
      </c>
      <c r="O910" t="n">
        <v>0</v>
      </c>
      <c r="P910" t="n">
        <v>0</v>
      </c>
      <c r="Q910" t="n">
        <v>0</v>
      </c>
      <c r="R910" s="2" t="inlineStr"/>
    </row>
    <row r="911" ht="15" customHeight="1">
      <c r="A911" t="inlineStr">
        <is>
          <t>A 30816-2024</t>
        </is>
      </c>
      <c r="B911" s="1" t="n">
        <v>45497</v>
      </c>
      <c r="C911" s="1" t="n">
        <v>45812</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30927-2024</t>
        </is>
      </c>
      <c r="B912" s="1" t="n">
        <v>45498</v>
      </c>
      <c r="C912" s="1" t="n">
        <v>45812</v>
      </c>
      <c r="D912" t="inlineStr">
        <is>
          <t>DALARNAS LÄN</t>
        </is>
      </c>
      <c r="E912" t="inlineStr">
        <is>
          <t>ÄLVDALEN</t>
        </is>
      </c>
      <c r="G912" t="n">
        <v>1.7</v>
      </c>
      <c r="H912" t="n">
        <v>0</v>
      </c>
      <c r="I912" t="n">
        <v>0</v>
      </c>
      <c r="J912" t="n">
        <v>0</v>
      </c>
      <c r="K912" t="n">
        <v>0</v>
      </c>
      <c r="L912" t="n">
        <v>0</v>
      </c>
      <c r="M912" t="n">
        <v>0</v>
      </c>
      <c r="N912" t="n">
        <v>0</v>
      </c>
      <c r="O912" t="n">
        <v>0</v>
      </c>
      <c r="P912" t="n">
        <v>0</v>
      </c>
      <c r="Q912" t="n">
        <v>0</v>
      </c>
      <c r="R912" s="2" t="inlineStr"/>
    </row>
    <row r="913" ht="15" customHeight="1">
      <c r="A913" t="inlineStr">
        <is>
          <t>A 30926-2024</t>
        </is>
      </c>
      <c r="B913" s="1" t="n">
        <v>45498</v>
      </c>
      <c r="C913" s="1" t="n">
        <v>45812</v>
      </c>
      <c r="D913" t="inlineStr">
        <is>
          <t>DALARNAS LÄN</t>
        </is>
      </c>
      <c r="E913" t="inlineStr">
        <is>
          <t>ÄLVDALEN</t>
        </is>
      </c>
      <c r="G913" t="n">
        <v>6.5</v>
      </c>
      <c r="H913" t="n">
        <v>0</v>
      </c>
      <c r="I913" t="n">
        <v>0</v>
      </c>
      <c r="J913" t="n">
        <v>0</v>
      </c>
      <c r="K913" t="n">
        <v>0</v>
      </c>
      <c r="L913" t="n">
        <v>0</v>
      </c>
      <c r="M913" t="n">
        <v>0</v>
      </c>
      <c r="N913" t="n">
        <v>0</v>
      </c>
      <c r="O913" t="n">
        <v>0</v>
      </c>
      <c r="P913" t="n">
        <v>0</v>
      </c>
      <c r="Q913" t="n">
        <v>0</v>
      </c>
      <c r="R913" s="2" t="inlineStr"/>
    </row>
    <row r="914" ht="15" customHeight="1">
      <c r="A914" t="inlineStr">
        <is>
          <t>A 31047-2024</t>
        </is>
      </c>
      <c r="B914" s="1" t="n">
        <v>45502</v>
      </c>
      <c r="C914" s="1" t="n">
        <v>45812</v>
      </c>
      <c r="D914" t="inlineStr">
        <is>
          <t>DALARNAS LÄN</t>
        </is>
      </c>
      <c r="E914" t="inlineStr">
        <is>
          <t>ÄLVDALEN</t>
        </is>
      </c>
      <c r="F914" t="inlineStr">
        <is>
          <t>Sveaskog</t>
        </is>
      </c>
      <c r="G914" t="n">
        <v>8</v>
      </c>
      <c r="H914" t="n">
        <v>0</v>
      </c>
      <c r="I914" t="n">
        <v>0</v>
      </c>
      <c r="J914" t="n">
        <v>0</v>
      </c>
      <c r="K914" t="n">
        <v>0</v>
      </c>
      <c r="L914" t="n">
        <v>0</v>
      </c>
      <c r="M914" t="n">
        <v>0</v>
      </c>
      <c r="N914" t="n">
        <v>0</v>
      </c>
      <c r="O914" t="n">
        <v>0</v>
      </c>
      <c r="P914" t="n">
        <v>0</v>
      </c>
      <c r="Q914" t="n">
        <v>0</v>
      </c>
      <c r="R914" s="2" t="inlineStr"/>
    </row>
    <row r="915" ht="15" customHeight="1">
      <c r="A915" t="inlineStr">
        <is>
          <t>A 31260-2024</t>
        </is>
      </c>
      <c r="B915" s="1" t="n">
        <v>45503</v>
      </c>
      <c r="C915" s="1" t="n">
        <v>45812</v>
      </c>
      <c r="D915" t="inlineStr">
        <is>
          <t>DALARNAS LÄN</t>
        </is>
      </c>
      <c r="E915" t="inlineStr">
        <is>
          <t>ÄLVDALEN</t>
        </is>
      </c>
      <c r="G915" t="n">
        <v>4.7</v>
      </c>
      <c r="H915" t="n">
        <v>0</v>
      </c>
      <c r="I915" t="n">
        <v>0</v>
      </c>
      <c r="J915" t="n">
        <v>0</v>
      </c>
      <c r="K915" t="n">
        <v>0</v>
      </c>
      <c r="L915" t="n">
        <v>0</v>
      </c>
      <c r="M915" t="n">
        <v>0</v>
      </c>
      <c r="N915" t="n">
        <v>0</v>
      </c>
      <c r="O915" t="n">
        <v>0</v>
      </c>
      <c r="P915" t="n">
        <v>0</v>
      </c>
      <c r="Q915" t="n">
        <v>0</v>
      </c>
      <c r="R915" s="2" t="inlineStr"/>
    </row>
    <row r="916" ht="15" customHeight="1">
      <c r="A916" t="inlineStr">
        <is>
          <t>A 31690-2024</t>
        </is>
      </c>
      <c r="B916" s="1" t="n">
        <v>45507</v>
      </c>
      <c r="C916" s="1" t="n">
        <v>45812</v>
      </c>
      <c r="D916" t="inlineStr">
        <is>
          <t>DALARNAS LÄN</t>
        </is>
      </c>
      <c r="E916" t="inlineStr">
        <is>
          <t>ÄLVDALEN</t>
        </is>
      </c>
      <c r="G916" t="n">
        <v>2.3</v>
      </c>
      <c r="H916" t="n">
        <v>0</v>
      </c>
      <c r="I916" t="n">
        <v>0</v>
      </c>
      <c r="J916" t="n">
        <v>0</v>
      </c>
      <c r="K916" t="n">
        <v>0</v>
      </c>
      <c r="L916" t="n">
        <v>0</v>
      </c>
      <c r="M916" t="n">
        <v>0</v>
      </c>
      <c r="N916" t="n">
        <v>0</v>
      </c>
      <c r="O916" t="n">
        <v>0</v>
      </c>
      <c r="P916" t="n">
        <v>0</v>
      </c>
      <c r="Q916" t="n">
        <v>0</v>
      </c>
      <c r="R916" s="2" t="inlineStr"/>
    </row>
    <row r="917" ht="15" customHeight="1">
      <c r="A917" t="inlineStr">
        <is>
          <t>A 31763-2024</t>
        </is>
      </c>
      <c r="B917" s="1" t="n">
        <v>45509</v>
      </c>
      <c r="C917" s="1" t="n">
        <v>45812</v>
      </c>
      <c r="D917" t="inlineStr">
        <is>
          <t>DALARNAS LÄN</t>
        </is>
      </c>
      <c r="E917" t="inlineStr">
        <is>
          <t>ÄLVDALEN</t>
        </is>
      </c>
      <c r="F917" t="inlineStr">
        <is>
          <t>Allmännings- och besparingsskogar</t>
        </is>
      </c>
      <c r="G917" t="n">
        <v>25</v>
      </c>
      <c r="H917" t="n">
        <v>0</v>
      </c>
      <c r="I917" t="n">
        <v>0</v>
      </c>
      <c r="J917" t="n">
        <v>0</v>
      </c>
      <c r="K917" t="n">
        <v>0</v>
      </c>
      <c r="L917" t="n">
        <v>0</v>
      </c>
      <c r="M917" t="n">
        <v>0</v>
      </c>
      <c r="N917" t="n">
        <v>0</v>
      </c>
      <c r="O917" t="n">
        <v>0</v>
      </c>
      <c r="P917" t="n">
        <v>0</v>
      </c>
      <c r="Q917" t="n">
        <v>0</v>
      </c>
      <c r="R917" s="2" t="inlineStr"/>
    </row>
    <row r="918" ht="15" customHeight="1">
      <c r="A918" t="inlineStr">
        <is>
          <t>A 31748-2024</t>
        </is>
      </c>
      <c r="B918" s="1" t="n">
        <v>45509</v>
      </c>
      <c r="C918" s="1" t="n">
        <v>45812</v>
      </c>
      <c r="D918" t="inlineStr">
        <is>
          <t>DALARNAS LÄN</t>
        </is>
      </c>
      <c r="E918" t="inlineStr">
        <is>
          <t>ÄLVDALEN</t>
        </is>
      </c>
      <c r="F918" t="inlineStr">
        <is>
          <t>Allmännings- och besparingsskogar</t>
        </is>
      </c>
      <c r="G918" t="n">
        <v>18.6</v>
      </c>
      <c r="H918" t="n">
        <v>0</v>
      </c>
      <c r="I918" t="n">
        <v>0</v>
      </c>
      <c r="J918" t="n">
        <v>0</v>
      </c>
      <c r="K918" t="n">
        <v>0</v>
      </c>
      <c r="L918" t="n">
        <v>0</v>
      </c>
      <c r="M918" t="n">
        <v>0</v>
      </c>
      <c r="N918" t="n">
        <v>0</v>
      </c>
      <c r="O918" t="n">
        <v>0</v>
      </c>
      <c r="P918" t="n">
        <v>0</v>
      </c>
      <c r="Q918" t="n">
        <v>0</v>
      </c>
      <c r="R918" s="2" t="inlineStr"/>
    </row>
    <row r="919" ht="15" customHeight="1">
      <c r="A919" t="inlineStr">
        <is>
          <t>A 32187-2024</t>
        </is>
      </c>
      <c r="B919" s="1" t="n">
        <v>45511</v>
      </c>
      <c r="C919" s="1" t="n">
        <v>45812</v>
      </c>
      <c r="D919" t="inlineStr">
        <is>
          <t>DALARNAS LÄN</t>
        </is>
      </c>
      <c r="E919" t="inlineStr">
        <is>
          <t>ÄLVDALEN</t>
        </is>
      </c>
      <c r="F919" t="inlineStr">
        <is>
          <t>Allmännings- och besparingsskogar</t>
        </is>
      </c>
      <c r="G919" t="n">
        <v>20</v>
      </c>
      <c r="H919" t="n">
        <v>0</v>
      </c>
      <c r="I919" t="n">
        <v>0</v>
      </c>
      <c r="J919" t="n">
        <v>0</v>
      </c>
      <c r="K919" t="n">
        <v>0</v>
      </c>
      <c r="L919" t="n">
        <v>0</v>
      </c>
      <c r="M919" t="n">
        <v>0</v>
      </c>
      <c r="N919" t="n">
        <v>0</v>
      </c>
      <c r="O919" t="n">
        <v>0</v>
      </c>
      <c r="P919" t="n">
        <v>0</v>
      </c>
      <c r="Q919" t="n">
        <v>0</v>
      </c>
      <c r="R919" s="2" t="inlineStr"/>
    </row>
    <row r="920" ht="15" customHeight="1">
      <c r="A920" t="inlineStr">
        <is>
          <t>A 32361-2024</t>
        </is>
      </c>
      <c r="B920" s="1" t="n">
        <v>45512</v>
      </c>
      <c r="C920" s="1" t="n">
        <v>45812</v>
      </c>
      <c r="D920" t="inlineStr">
        <is>
          <t>DALARNAS LÄN</t>
        </is>
      </c>
      <c r="E920" t="inlineStr">
        <is>
          <t>ÄLVDALEN</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32363-2024</t>
        </is>
      </c>
      <c r="B921" s="1" t="n">
        <v>45512</v>
      </c>
      <c r="C921" s="1" t="n">
        <v>45812</v>
      </c>
      <c r="D921" t="inlineStr">
        <is>
          <t>DALARNAS LÄN</t>
        </is>
      </c>
      <c r="E921" t="inlineStr">
        <is>
          <t>ÄLVDALEN</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32359-2024</t>
        </is>
      </c>
      <c r="B922" s="1" t="n">
        <v>45512</v>
      </c>
      <c r="C922" s="1" t="n">
        <v>45812</v>
      </c>
      <c r="D922" t="inlineStr">
        <is>
          <t>DALARNAS LÄN</t>
        </is>
      </c>
      <c r="E922" t="inlineStr">
        <is>
          <t>ÄLVDALEN</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32740-2024</t>
        </is>
      </c>
      <c r="B923" s="1" t="n">
        <v>45516</v>
      </c>
      <c r="C923" s="1" t="n">
        <v>45812</v>
      </c>
      <c r="D923" t="inlineStr">
        <is>
          <t>DALARNAS LÄN</t>
        </is>
      </c>
      <c r="E923" t="inlineStr">
        <is>
          <t>ÄLVDALEN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33905-2024</t>
        </is>
      </c>
      <c r="B924" s="1" t="n">
        <v>45523</v>
      </c>
      <c r="C924" s="1" t="n">
        <v>45812</v>
      </c>
      <c r="D924" t="inlineStr">
        <is>
          <t>DALARNAS LÄN</t>
        </is>
      </c>
      <c r="E924" t="inlineStr">
        <is>
          <t>ÄLVDALEN</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34026-2024</t>
        </is>
      </c>
      <c r="B925" s="1" t="n">
        <v>45523</v>
      </c>
      <c r="C925" s="1" t="n">
        <v>45812</v>
      </c>
      <c r="D925" t="inlineStr">
        <is>
          <t>DALARNAS LÄN</t>
        </is>
      </c>
      <c r="E925" t="inlineStr">
        <is>
          <t>ÄLVDALEN</t>
        </is>
      </c>
      <c r="F925" t="inlineStr">
        <is>
          <t>Övriga Aktiebolag</t>
        </is>
      </c>
      <c r="G925" t="n">
        <v>18.3</v>
      </c>
      <c r="H925" t="n">
        <v>0</v>
      </c>
      <c r="I925" t="n">
        <v>0</v>
      </c>
      <c r="J925" t="n">
        <v>0</v>
      </c>
      <c r="K925" t="n">
        <v>0</v>
      </c>
      <c r="L925" t="n">
        <v>0</v>
      </c>
      <c r="M925" t="n">
        <v>0</v>
      </c>
      <c r="N925" t="n">
        <v>0</v>
      </c>
      <c r="O925" t="n">
        <v>0</v>
      </c>
      <c r="P925" t="n">
        <v>0</v>
      </c>
      <c r="Q925" t="n">
        <v>0</v>
      </c>
      <c r="R925" s="2" t="inlineStr"/>
    </row>
    <row r="926" ht="15" customHeight="1">
      <c r="A926" t="inlineStr">
        <is>
          <t>A 34151-2024</t>
        </is>
      </c>
      <c r="B926" s="1" t="n">
        <v>45524</v>
      </c>
      <c r="C926" s="1" t="n">
        <v>45812</v>
      </c>
      <c r="D926" t="inlineStr">
        <is>
          <t>DALARNAS LÄN</t>
        </is>
      </c>
      <c r="E926" t="inlineStr">
        <is>
          <t>ÄLVDALEN</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34211-2024</t>
        </is>
      </c>
      <c r="B927" s="1" t="n">
        <v>45524</v>
      </c>
      <c r="C927" s="1" t="n">
        <v>45812</v>
      </c>
      <c r="D927" t="inlineStr">
        <is>
          <t>DALARNAS LÄN</t>
        </is>
      </c>
      <c r="E927" t="inlineStr">
        <is>
          <t>ÄLVDALEN</t>
        </is>
      </c>
      <c r="F927" t="inlineStr">
        <is>
          <t>Sveaskog</t>
        </is>
      </c>
      <c r="G927" t="n">
        <v>30.4</v>
      </c>
      <c r="H927" t="n">
        <v>0</v>
      </c>
      <c r="I927" t="n">
        <v>0</v>
      </c>
      <c r="J927" t="n">
        <v>0</v>
      </c>
      <c r="K927" t="n">
        <v>0</v>
      </c>
      <c r="L927" t="n">
        <v>0</v>
      </c>
      <c r="M927" t="n">
        <v>0</v>
      </c>
      <c r="N927" t="n">
        <v>0</v>
      </c>
      <c r="O927" t="n">
        <v>0</v>
      </c>
      <c r="P927" t="n">
        <v>0</v>
      </c>
      <c r="Q927" t="n">
        <v>0</v>
      </c>
      <c r="R927" s="2" t="inlineStr"/>
    </row>
    <row r="928" ht="15" customHeight="1">
      <c r="A928" t="inlineStr">
        <is>
          <t>A 34562-2024</t>
        </is>
      </c>
      <c r="B928" s="1" t="n">
        <v>45526</v>
      </c>
      <c r="C928" s="1" t="n">
        <v>45812</v>
      </c>
      <c r="D928" t="inlineStr">
        <is>
          <t>DALARNAS LÄN</t>
        </is>
      </c>
      <c r="E928" t="inlineStr">
        <is>
          <t>ÄLVDALEN</t>
        </is>
      </c>
      <c r="F928" t="inlineStr">
        <is>
          <t>Allmännings- och besparingsskogar</t>
        </is>
      </c>
      <c r="G928" t="n">
        <v>29.5</v>
      </c>
      <c r="H928" t="n">
        <v>0</v>
      </c>
      <c r="I928" t="n">
        <v>0</v>
      </c>
      <c r="J928" t="n">
        <v>0</v>
      </c>
      <c r="K928" t="n">
        <v>0</v>
      </c>
      <c r="L928" t="n">
        <v>0</v>
      </c>
      <c r="M928" t="n">
        <v>0</v>
      </c>
      <c r="N928" t="n">
        <v>0</v>
      </c>
      <c r="O928" t="n">
        <v>0</v>
      </c>
      <c r="P928" t="n">
        <v>0</v>
      </c>
      <c r="Q928" t="n">
        <v>0</v>
      </c>
      <c r="R928" s="2" t="inlineStr"/>
    </row>
    <row r="929" ht="15" customHeight="1">
      <c r="A929" t="inlineStr">
        <is>
          <t>A 35109-2024</t>
        </is>
      </c>
      <c r="B929" s="1" t="n">
        <v>45529</v>
      </c>
      <c r="C929" s="1" t="n">
        <v>45812</v>
      </c>
      <c r="D929" t="inlineStr">
        <is>
          <t>DALARNAS LÄN</t>
        </is>
      </c>
      <c r="E929" t="inlineStr">
        <is>
          <t>ÄLVDALEN</t>
        </is>
      </c>
      <c r="G929" t="n">
        <v>1.8</v>
      </c>
      <c r="H929" t="n">
        <v>0</v>
      </c>
      <c r="I929" t="n">
        <v>0</v>
      </c>
      <c r="J929" t="n">
        <v>0</v>
      </c>
      <c r="K929" t="n">
        <v>0</v>
      </c>
      <c r="L929" t="n">
        <v>0</v>
      </c>
      <c r="M929" t="n">
        <v>0</v>
      </c>
      <c r="N929" t="n">
        <v>0</v>
      </c>
      <c r="O929" t="n">
        <v>0</v>
      </c>
      <c r="P929" t="n">
        <v>0</v>
      </c>
      <c r="Q929" t="n">
        <v>0</v>
      </c>
      <c r="R929" s="2" t="inlineStr"/>
    </row>
    <row r="930" ht="15" customHeight="1">
      <c r="A930" t="inlineStr">
        <is>
          <t>A 35659-2024</t>
        </is>
      </c>
      <c r="B930" s="1" t="n">
        <v>45532</v>
      </c>
      <c r="C930" s="1" t="n">
        <v>45812</v>
      </c>
      <c r="D930" t="inlineStr">
        <is>
          <t>DALARNAS LÄN</t>
        </is>
      </c>
      <c r="E930" t="inlineStr">
        <is>
          <t>ÄLVDALEN</t>
        </is>
      </c>
      <c r="F930" t="inlineStr">
        <is>
          <t>Allmännings- och besparingsskogar</t>
        </is>
      </c>
      <c r="G930" t="n">
        <v>26.9</v>
      </c>
      <c r="H930" t="n">
        <v>0</v>
      </c>
      <c r="I930" t="n">
        <v>0</v>
      </c>
      <c r="J930" t="n">
        <v>0</v>
      </c>
      <c r="K930" t="n">
        <v>0</v>
      </c>
      <c r="L930" t="n">
        <v>0</v>
      </c>
      <c r="M930" t="n">
        <v>0</v>
      </c>
      <c r="N930" t="n">
        <v>0</v>
      </c>
      <c r="O930" t="n">
        <v>0</v>
      </c>
      <c r="P930" t="n">
        <v>0</v>
      </c>
      <c r="Q930" t="n">
        <v>0</v>
      </c>
      <c r="R930" s="2" t="inlineStr"/>
    </row>
    <row r="931" ht="15" customHeight="1">
      <c r="A931" t="inlineStr">
        <is>
          <t>A 36179-2024</t>
        </is>
      </c>
      <c r="B931" s="1" t="n">
        <v>45534</v>
      </c>
      <c r="C931" s="1" t="n">
        <v>45812</v>
      </c>
      <c r="D931" t="inlineStr">
        <is>
          <t>DALARNAS LÄN</t>
        </is>
      </c>
      <c r="E931" t="inlineStr">
        <is>
          <t>ÄLVDALEN</t>
        </is>
      </c>
      <c r="F931" t="inlineStr">
        <is>
          <t>Allmännings- och besparingsskogar</t>
        </is>
      </c>
      <c r="G931" t="n">
        <v>1</v>
      </c>
      <c r="H931" t="n">
        <v>0</v>
      </c>
      <c r="I931" t="n">
        <v>0</v>
      </c>
      <c r="J931" t="n">
        <v>0</v>
      </c>
      <c r="K931" t="n">
        <v>0</v>
      </c>
      <c r="L931" t="n">
        <v>0</v>
      </c>
      <c r="M931" t="n">
        <v>0</v>
      </c>
      <c r="N931" t="n">
        <v>0</v>
      </c>
      <c r="O931" t="n">
        <v>0</v>
      </c>
      <c r="P931" t="n">
        <v>0</v>
      </c>
      <c r="Q931" t="n">
        <v>0</v>
      </c>
      <c r="R931" s="2" t="inlineStr"/>
    </row>
    <row r="932" ht="15" customHeight="1">
      <c r="A932" t="inlineStr">
        <is>
          <t>A 36284-2024</t>
        </is>
      </c>
      <c r="B932" s="1" t="n">
        <v>45534</v>
      </c>
      <c r="C932" s="1" t="n">
        <v>45812</v>
      </c>
      <c r="D932" t="inlineStr">
        <is>
          <t>DALARNAS LÄN</t>
        </is>
      </c>
      <c r="E932" t="inlineStr">
        <is>
          <t>ÄLVDALEN</t>
        </is>
      </c>
      <c r="G932" t="n">
        <v>3.4</v>
      </c>
      <c r="H932" t="n">
        <v>0</v>
      </c>
      <c r="I932" t="n">
        <v>0</v>
      </c>
      <c r="J932" t="n">
        <v>0</v>
      </c>
      <c r="K932" t="n">
        <v>0</v>
      </c>
      <c r="L932" t="n">
        <v>0</v>
      </c>
      <c r="M932" t="n">
        <v>0</v>
      </c>
      <c r="N932" t="n">
        <v>0</v>
      </c>
      <c r="O932" t="n">
        <v>0</v>
      </c>
      <c r="P932" t="n">
        <v>0</v>
      </c>
      <c r="Q932" t="n">
        <v>0</v>
      </c>
      <c r="R932" s="2" t="inlineStr"/>
    </row>
    <row r="933" ht="15" customHeight="1">
      <c r="A933" t="inlineStr">
        <is>
          <t>A 36285-2024</t>
        </is>
      </c>
      <c r="B933" s="1" t="n">
        <v>45534</v>
      </c>
      <c r="C933" s="1" t="n">
        <v>45812</v>
      </c>
      <c r="D933" t="inlineStr">
        <is>
          <t>DALARNAS LÄN</t>
        </is>
      </c>
      <c r="E933" t="inlineStr">
        <is>
          <t>ÄLVDALEN</t>
        </is>
      </c>
      <c r="G933" t="n">
        <v>4.9</v>
      </c>
      <c r="H933" t="n">
        <v>0</v>
      </c>
      <c r="I933" t="n">
        <v>0</v>
      </c>
      <c r="J933" t="n">
        <v>0</v>
      </c>
      <c r="K933" t="n">
        <v>0</v>
      </c>
      <c r="L933" t="n">
        <v>0</v>
      </c>
      <c r="M933" t="n">
        <v>0</v>
      </c>
      <c r="N933" t="n">
        <v>0</v>
      </c>
      <c r="O933" t="n">
        <v>0</v>
      </c>
      <c r="P933" t="n">
        <v>0</v>
      </c>
      <c r="Q933" t="n">
        <v>0</v>
      </c>
      <c r="R933" s="2" t="inlineStr"/>
    </row>
    <row r="934" ht="15" customHeight="1">
      <c r="A934" t="inlineStr">
        <is>
          <t>A 36385-2024</t>
        </is>
      </c>
      <c r="B934" s="1" t="n">
        <v>45534</v>
      </c>
      <c r="C934" s="1" t="n">
        <v>45812</v>
      </c>
      <c r="D934" t="inlineStr">
        <is>
          <t>DALARNAS LÄN</t>
        </is>
      </c>
      <c r="E934" t="inlineStr">
        <is>
          <t>ÄLVDALEN</t>
        </is>
      </c>
      <c r="G934" t="n">
        <v>3.2</v>
      </c>
      <c r="H934" t="n">
        <v>0</v>
      </c>
      <c r="I934" t="n">
        <v>0</v>
      </c>
      <c r="J934" t="n">
        <v>0</v>
      </c>
      <c r="K934" t="n">
        <v>0</v>
      </c>
      <c r="L934" t="n">
        <v>0</v>
      </c>
      <c r="M934" t="n">
        <v>0</v>
      </c>
      <c r="N934" t="n">
        <v>0</v>
      </c>
      <c r="O934" t="n">
        <v>0</v>
      </c>
      <c r="P934" t="n">
        <v>0</v>
      </c>
      <c r="Q934" t="n">
        <v>0</v>
      </c>
      <c r="R934" s="2" t="inlineStr"/>
    </row>
    <row r="935" ht="15" customHeight="1">
      <c r="A935" t="inlineStr">
        <is>
          <t>A 36376-2024</t>
        </is>
      </c>
      <c r="B935" s="1" t="n">
        <v>45534</v>
      </c>
      <c r="C935" s="1" t="n">
        <v>45812</v>
      </c>
      <c r="D935" t="inlineStr">
        <is>
          <t>DALARNAS LÄN</t>
        </is>
      </c>
      <c r="E935" t="inlineStr">
        <is>
          <t>ÄLVDALEN</t>
        </is>
      </c>
      <c r="F935" t="inlineStr">
        <is>
          <t>Allmännings- och besparingsskogar</t>
        </is>
      </c>
      <c r="G935" t="n">
        <v>3.3</v>
      </c>
      <c r="H935" t="n">
        <v>0</v>
      </c>
      <c r="I935" t="n">
        <v>0</v>
      </c>
      <c r="J935" t="n">
        <v>0</v>
      </c>
      <c r="K935" t="n">
        <v>0</v>
      </c>
      <c r="L935" t="n">
        <v>0</v>
      </c>
      <c r="M935" t="n">
        <v>0</v>
      </c>
      <c r="N935" t="n">
        <v>0</v>
      </c>
      <c r="O935" t="n">
        <v>0</v>
      </c>
      <c r="P935" t="n">
        <v>0</v>
      </c>
      <c r="Q935" t="n">
        <v>0</v>
      </c>
      <c r="R935" s="2" t="inlineStr"/>
    </row>
    <row r="936" ht="15" customHeight="1">
      <c r="A936" t="inlineStr">
        <is>
          <t>A 36380-2024</t>
        </is>
      </c>
      <c r="B936" s="1" t="n">
        <v>45534</v>
      </c>
      <c r="C936" s="1" t="n">
        <v>45812</v>
      </c>
      <c r="D936" t="inlineStr">
        <is>
          <t>DALARNAS LÄN</t>
        </is>
      </c>
      <c r="E936" t="inlineStr">
        <is>
          <t>ÄLVDALEN</t>
        </is>
      </c>
      <c r="F936" t="inlineStr">
        <is>
          <t>Allmännings- och besparingsskogar</t>
        </is>
      </c>
      <c r="G936" t="n">
        <v>23.8</v>
      </c>
      <c r="H936" t="n">
        <v>0</v>
      </c>
      <c r="I936" t="n">
        <v>0</v>
      </c>
      <c r="J936" t="n">
        <v>0</v>
      </c>
      <c r="K936" t="n">
        <v>0</v>
      </c>
      <c r="L936" t="n">
        <v>0</v>
      </c>
      <c r="M936" t="n">
        <v>0</v>
      </c>
      <c r="N936" t="n">
        <v>0</v>
      </c>
      <c r="O936" t="n">
        <v>0</v>
      </c>
      <c r="P936" t="n">
        <v>0</v>
      </c>
      <c r="Q936" t="n">
        <v>0</v>
      </c>
      <c r="R936" s="2" t="inlineStr"/>
    </row>
    <row r="937" ht="15" customHeight="1">
      <c r="A937" t="inlineStr">
        <is>
          <t>A 36462-2024</t>
        </is>
      </c>
      <c r="B937" s="1" t="n">
        <v>45537</v>
      </c>
      <c r="C937" s="1" t="n">
        <v>45812</v>
      </c>
      <c r="D937" t="inlineStr">
        <is>
          <t>DALARNAS LÄN</t>
        </is>
      </c>
      <c r="E937" t="inlineStr">
        <is>
          <t>ÄLVDALEN</t>
        </is>
      </c>
      <c r="G937" t="n">
        <v>5</v>
      </c>
      <c r="H937" t="n">
        <v>0</v>
      </c>
      <c r="I937" t="n">
        <v>0</v>
      </c>
      <c r="J937" t="n">
        <v>0</v>
      </c>
      <c r="K937" t="n">
        <v>0</v>
      </c>
      <c r="L937" t="n">
        <v>0</v>
      </c>
      <c r="M937" t="n">
        <v>0</v>
      </c>
      <c r="N937" t="n">
        <v>0</v>
      </c>
      <c r="O937" t="n">
        <v>0</v>
      </c>
      <c r="P937" t="n">
        <v>0</v>
      </c>
      <c r="Q937" t="n">
        <v>0</v>
      </c>
      <c r="R937" s="2" t="inlineStr"/>
    </row>
    <row r="938" ht="15" customHeight="1">
      <c r="A938" t="inlineStr">
        <is>
          <t>A 36580-2024</t>
        </is>
      </c>
      <c r="B938" s="1" t="n">
        <v>45537</v>
      </c>
      <c r="C938" s="1" t="n">
        <v>45812</v>
      </c>
      <c r="D938" t="inlineStr">
        <is>
          <t>DALARNAS LÄN</t>
        </is>
      </c>
      <c r="E938" t="inlineStr">
        <is>
          <t>ÄLVDALEN</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36609-2024</t>
        </is>
      </c>
      <c r="B939" s="1" t="n">
        <v>45537</v>
      </c>
      <c r="C939" s="1" t="n">
        <v>45812</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36828-2024</t>
        </is>
      </c>
      <c r="B940" s="1" t="n">
        <v>45538</v>
      </c>
      <c r="C940" s="1" t="n">
        <v>45812</v>
      </c>
      <c r="D940" t="inlineStr">
        <is>
          <t>DALARNAS LÄN</t>
        </is>
      </c>
      <c r="E940" t="inlineStr">
        <is>
          <t>ÄLVDALEN</t>
        </is>
      </c>
      <c r="F940" t="inlineStr">
        <is>
          <t>Allmännings- och besparingsskogar</t>
        </is>
      </c>
      <c r="G940" t="n">
        <v>23</v>
      </c>
      <c r="H940" t="n">
        <v>0</v>
      </c>
      <c r="I940" t="n">
        <v>0</v>
      </c>
      <c r="J940" t="n">
        <v>0</v>
      </c>
      <c r="K940" t="n">
        <v>0</v>
      </c>
      <c r="L940" t="n">
        <v>0</v>
      </c>
      <c r="M940" t="n">
        <v>0</v>
      </c>
      <c r="N940" t="n">
        <v>0</v>
      </c>
      <c r="O940" t="n">
        <v>0</v>
      </c>
      <c r="P940" t="n">
        <v>0</v>
      </c>
      <c r="Q940" t="n">
        <v>0</v>
      </c>
      <c r="R940" s="2" t="inlineStr"/>
    </row>
    <row r="941" ht="15" customHeight="1">
      <c r="A941" t="inlineStr">
        <is>
          <t>A 37066-2024</t>
        </is>
      </c>
      <c r="B941" s="1" t="n">
        <v>45539</v>
      </c>
      <c r="C941" s="1" t="n">
        <v>45812</v>
      </c>
      <c r="D941" t="inlineStr">
        <is>
          <t>DALARNAS LÄN</t>
        </is>
      </c>
      <c r="E941" t="inlineStr">
        <is>
          <t>ÄLVDALEN</t>
        </is>
      </c>
      <c r="G941" t="n">
        <v>1</v>
      </c>
      <c r="H941" t="n">
        <v>0</v>
      </c>
      <c r="I941" t="n">
        <v>0</v>
      </c>
      <c r="J941" t="n">
        <v>0</v>
      </c>
      <c r="K941" t="n">
        <v>0</v>
      </c>
      <c r="L941" t="n">
        <v>0</v>
      </c>
      <c r="M941" t="n">
        <v>0</v>
      </c>
      <c r="N941" t="n">
        <v>0</v>
      </c>
      <c r="O941" t="n">
        <v>0</v>
      </c>
      <c r="P941" t="n">
        <v>0</v>
      </c>
      <c r="Q941" t="n">
        <v>0</v>
      </c>
      <c r="R941" s="2" t="inlineStr"/>
    </row>
    <row r="942" ht="15" customHeight="1">
      <c r="A942" t="inlineStr">
        <is>
          <t>A 37061-2024</t>
        </is>
      </c>
      <c r="B942" s="1" t="n">
        <v>45539</v>
      </c>
      <c r="C942" s="1" t="n">
        <v>45812</v>
      </c>
      <c r="D942" t="inlineStr">
        <is>
          <t>DALARNAS LÄN</t>
        </is>
      </c>
      <c r="E942" t="inlineStr">
        <is>
          <t>ÄLVDALEN</t>
        </is>
      </c>
      <c r="G942" t="n">
        <v>0.8</v>
      </c>
      <c r="H942" t="n">
        <v>0</v>
      </c>
      <c r="I942" t="n">
        <v>0</v>
      </c>
      <c r="J942" t="n">
        <v>0</v>
      </c>
      <c r="K942" t="n">
        <v>0</v>
      </c>
      <c r="L942" t="n">
        <v>0</v>
      </c>
      <c r="M942" t="n">
        <v>0</v>
      </c>
      <c r="N942" t="n">
        <v>0</v>
      </c>
      <c r="O942" t="n">
        <v>0</v>
      </c>
      <c r="P942" t="n">
        <v>0</v>
      </c>
      <c r="Q942" t="n">
        <v>0</v>
      </c>
      <c r="R942" s="2" t="inlineStr"/>
    </row>
    <row r="943" ht="15" customHeight="1">
      <c r="A943" t="inlineStr">
        <is>
          <t>A 37448-2024</t>
        </is>
      </c>
      <c r="B943" s="1" t="n">
        <v>45540</v>
      </c>
      <c r="C943" s="1" t="n">
        <v>45812</v>
      </c>
      <c r="D943" t="inlineStr">
        <is>
          <t>DALARNAS LÄN</t>
        </is>
      </c>
      <c r="E943" t="inlineStr">
        <is>
          <t>ÄLVDALEN</t>
        </is>
      </c>
      <c r="G943" t="n">
        <v>3.1</v>
      </c>
      <c r="H943" t="n">
        <v>0</v>
      </c>
      <c r="I943" t="n">
        <v>0</v>
      </c>
      <c r="J943" t="n">
        <v>0</v>
      </c>
      <c r="K943" t="n">
        <v>0</v>
      </c>
      <c r="L943" t="n">
        <v>0</v>
      </c>
      <c r="M943" t="n">
        <v>0</v>
      </c>
      <c r="N943" t="n">
        <v>0</v>
      </c>
      <c r="O943" t="n">
        <v>0</v>
      </c>
      <c r="P943" t="n">
        <v>0</v>
      </c>
      <c r="Q943" t="n">
        <v>0</v>
      </c>
      <c r="R943" s="2" t="inlineStr"/>
    </row>
    <row r="944" ht="15" customHeight="1">
      <c r="A944" t="inlineStr">
        <is>
          <t>A 37869-2024</t>
        </is>
      </c>
      <c r="B944" s="1" t="n">
        <v>45544</v>
      </c>
      <c r="C944" s="1" t="n">
        <v>45812</v>
      </c>
      <c r="D944" t="inlineStr">
        <is>
          <t>DALARNAS LÄN</t>
        </is>
      </c>
      <c r="E944" t="inlineStr">
        <is>
          <t>ÄLVDALEN</t>
        </is>
      </c>
      <c r="F944" t="inlineStr">
        <is>
          <t>Övriga Aktiebolag</t>
        </is>
      </c>
      <c r="G944" t="n">
        <v>15.6</v>
      </c>
      <c r="H944" t="n">
        <v>0</v>
      </c>
      <c r="I944" t="n">
        <v>0</v>
      </c>
      <c r="J944" t="n">
        <v>0</v>
      </c>
      <c r="K944" t="n">
        <v>0</v>
      </c>
      <c r="L944" t="n">
        <v>0</v>
      </c>
      <c r="M944" t="n">
        <v>0</v>
      </c>
      <c r="N944" t="n">
        <v>0</v>
      </c>
      <c r="O944" t="n">
        <v>0</v>
      </c>
      <c r="P944" t="n">
        <v>0</v>
      </c>
      <c r="Q944" t="n">
        <v>0</v>
      </c>
      <c r="R944" s="2" t="inlineStr"/>
    </row>
    <row r="945" ht="15" customHeight="1">
      <c r="A945" t="inlineStr">
        <is>
          <t>A 38277-2024</t>
        </is>
      </c>
      <c r="B945" s="1" t="n">
        <v>45545</v>
      </c>
      <c r="C945" s="1" t="n">
        <v>45812</v>
      </c>
      <c r="D945" t="inlineStr">
        <is>
          <t>DALARNAS LÄN</t>
        </is>
      </c>
      <c r="E945" t="inlineStr">
        <is>
          <t>ÄLVDALEN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39006-2024</t>
        </is>
      </c>
      <c r="B946" s="1" t="n">
        <v>45548</v>
      </c>
      <c r="C946" s="1" t="n">
        <v>45812</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39010-2024</t>
        </is>
      </c>
      <c r="B947" s="1" t="n">
        <v>45548</v>
      </c>
      <c r="C947" s="1" t="n">
        <v>45812</v>
      </c>
      <c r="D947" t="inlineStr">
        <is>
          <t>DALARNAS LÄN</t>
        </is>
      </c>
      <c r="E947" t="inlineStr">
        <is>
          <t>ÄLVDALEN</t>
        </is>
      </c>
      <c r="G947" t="n">
        <v>1.7</v>
      </c>
      <c r="H947" t="n">
        <v>0</v>
      </c>
      <c r="I947" t="n">
        <v>0</v>
      </c>
      <c r="J947" t="n">
        <v>0</v>
      </c>
      <c r="K947" t="n">
        <v>0</v>
      </c>
      <c r="L947" t="n">
        <v>0</v>
      </c>
      <c r="M947" t="n">
        <v>0</v>
      </c>
      <c r="N947" t="n">
        <v>0</v>
      </c>
      <c r="O947" t="n">
        <v>0</v>
      </c>
      <c r="P947" t="n">
        <v>0</v>
      </c>
      <c r="Q947" t="n">
        <v>0</v>
      </c>
      <c r="R947" s="2" t="inlineStr"/>
    </row>
    <row r="948" ht="15" customHeight="1">
      <c r="A948" t="inlineStr">
        <is>
          <t>A 39227-2024</t>
        </is>
      </c>
      <c r="B948" s="1" t="n">
        <v>45550</v>
      </c>
      <c r="C948" s="1" t="n">
        <v>45812</v>
      </c>
      <c r="D948" t="inlineStr">
        <is>
          <t>DALARNAS LÄN</t>
        </is>
      </c>
      <c r="E948" t="inlineStr">
        <is>
          <t>ÄLVDALEN</t>
        </is>
      </c>
      <c r="G948" t="n">
        <v>0.2</v>
      </c>
      <c r="H948" t="n">
        <v>0</v>
      </c>
      <c r="I948" t="n">
        <v>0</v>
      </c>
      <c r="J948" t="n">
        <v>0</v>
      </c>
      <c r="K948" t="n">
        <v>0</v>
      </c>
      <c r="L948" t="n">
        <v>0</v>
      </c>
      <c r="M948" t="n">
        <v>0</v>
      </c>
      <c r="N948" t="n">
        <v>0</v>
      </c>
      <c r="O948" t="n">
        <v>0</v>
      </c>
      <c r="P948" t="n">
        <v>0</v>
      </c>
      <c r="Q948" t="n">
        <v>0</v>
      </c>
      <c r="R948" s="2" t="inlineStr"/>
    </row>
    <row r="949" ht="15" customHeight="1">
      <c r="A949" t="inlineStr">
        <is>
          <t>A 39283-2024</t>
        </is>
      </c>
      <c r="B949" s="1" t="n">
        <v>45551</v>
      </c>
      <c r="C949" s="1" t="n">
        <v>45812</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40120-2024</t>
        </is>
      </c>
      <c r="B950" s="1" t="n">
        <v>45554</v>
      </c>
      <c r="C950" s="1" t="n">
        <v>45812</v>
      </c>
      <c r="D950" t="inlineStr">
        <is>
          <t>DALARNAS LÄN</t>
        </is>
      </c>
      <c r="E950" t="inlineStr">
        <is>
          <t>ÄLVDALEN</t>
        </is>
      </c>
      <c r="G950" t="n">
        <v>5.1</v>
      </c>
      <c r="H950" t="n">
        <v>0</v>
      </c>
      <c r="I950" t="n">
        <v>0</v>
      </c>
      <c r="J950" t="n">
        <v>0</v>
      </c>
      <c r="K950" t="n">
        <v>0</v>
      </c>
      <c r="L950" t="n">
        <v>0</v>
      </c>
      <c r="M950" t="n">
        <v>0</v>
      </c>
      <c r="N950" t="n">
        <v>0</v>
      </c>
      <c r="O950" t="n">
        <v>0</v>
      </c>
      <c r="P950" t="n">
        <v>0</v>
      </c>
      <c r="Q950" t="n">
        <v>0</v>
      </c>
      <c r="R950" s="2" t="inlineStr"/>
    </row>
    <row r="951" ht="15" customHeight="1">
      <c r="A951" t="inlineStr">
        <is>
          <t>A 41003-2024</t>
        </is>
      </c>
      <c r="B951" s="1" t="n">
        <v>45558</v>
      </c>
      <c r="C951" s="1" t="n">
        <v>45812</v>
      </c>
      <c r="D951" t="inlineStr">
        <is>
          <t>DALARNAS LÄN</t>
        </is>
      </c>
      <c r="E951" t="inlineStr">
        <is>
          <t>ÄLVDALEN</t>
        </is>
      </c>
      <c r="G951" t="n">
        <v>3.1</v>
      </c>
      <c r="H951" t="n">
        <v>0</v>
      </c>
      <c r="I951" t="n">
        <v>0</v>
      </c>
      <c r="J951" t="n">
        <v>0</v>
      </c>
      <c r="K951" t="n">
        <v>0</v>
      </c>
      <c r="L951" t="n">
        <v>0</v>
      </c>
      <c r="M951" t="n">
        <v>0</v>
      </c>
      <c r="N951" t="n">
        <v>0</v>
      </c>
      <c r="O951" t="n">
        <v>0</v>
      </c>
      <c r="P951" t="n">
        <v>0</v>
      </c>
      <c r="Q951" t="n">
        <v>0</v>
      </c>
      <c r="R951" s="2" t="inlineStr"/>
    </row>
    <row r="952" ht="15" customHeight="1">
      <c r="A952" t="inlineStr">
        <is>
          <t>A 41137-2024</t>
        </is>
      </c>
      <c r="B952" s="1" t="n">
        <v>45559</v>
      </c>
      <c r="C952" s="1" t="n">
        <v>45812</v>
      </c>
      <c r="D952" t="inlineStr">
        <is>
          <t>DALARNAS LÄN</t>
        </is>
      </c>
      <c r="E952" t="inlineStr">
        <is>
          <t>ÄLVDALEN</t>
        </is>
      </c>
      <c r="G952" t="n">
        <v>4.8</v>
      </c>
      <c r="H952" t="n">
        <v>0</v>
      </c>
      <c r="I952" t="n">
        <v>0</v>
      </c>
      <c r="J952" t="n">
        <v>0</v>
      </c>
      <c r="K952" t="n">
        <v>0</v>
      </c>
      <c r="L952" t="n">
        <v>0</v>
      </c>
      <c r="M952" t="n">
        <v>0</v>
      </c>
      <c r="N952" t="n">
        <v>0</v>
      </c>
      <c r="O952" t="n">
        <v>0</v>
      </c>
      <c r="P952" t="n">
        <v>0</v>
      </c>
      <c r="Q952" t="n">
        <v>0</v>
      </c>
      <c r="R952" s="2" t="inlineStr"/>
    </row>
    <row r="953" ht="15" customHeight="1">
      <c r="A953" t="inlineStr">
        <is>
          <t>A 41158-2024</t>
        </is>
      </c>
      <c r="B953" s="1" t="n">
        <v>45559</v>
      </c>
      <c r="C953" s="1" t="n">
        <v>45812</v>
      </c>
      <c r="D953" t="inlineStr">
        <is>
          <t>DALARNAS LÄN</t>
        </is>
      </c>
      <c r="E953" t="inlineStr">
        <is>
          <t>ÄLVDALEN</t>
        </is>
      </c>
      <c r="G953" t="n">
        <v>5.6</v>
      </c>
      <c r="H953" t="n">
        <v>0</v>
      </c>
      <c r="I953" t="n">
        <v>0</v>
      </c>
      <c r="J953" t="n">
        <v>0</v>
      </c>
      <c r="K953" t="n">
        <v>0</v>
      </c>
      <c r="L953" t="n">
        <v>0</v>
      </c>
      <c r="M953" t="n">
        <v>0</v>
      </c>
      <c r="N953" t="n">
        <v>0</v>
      </c>
      <c r="O953" t="n">
        <v>0</v>
      </c>
      <c r="P953" t="n">
        <v>0</v>
      </c>
      <c r="Q953" t="n">
        <v>0</v>
      </c>
      <c r="R953" s="2" t="inlineStr"/>
    </row>
    <row r="954" ht="15" customHeight="1">
      <c r="A954" t="inlineStr">
        <is>
          <t>A 41446-2024</t>
        </is>
      </c>
      <c r="B954" s="1" t="n">
        <v>45560</v>
      </c>
      <c r="C954" s="1" t="n">
        <v>45812</v>
      </c>
      <c r="D954" t="inlineStr">
        <is>
          <t>DALARNAS LÄN</t>
        </is>
      </c>
      <c r="E954" t="inlineStr">
        <is>
          <t>ÄLVDALEN</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42679-2024</t>
        </is>
      </c>
      <c r="B955" s="1" t="n">
        <v>45566</v>
      </c>
      <c r="C955" s="1" t="n">
        <v>45812</v>
      </c>
      <c r="D955" t="inlineStr">
        <is>
          <t>DALARNAS LÄN</t>
        </is>
      </c>
      <c r="E955" t="inlineStr">
        <is>
          <t>ÄLVDALEN</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43351-2024</t>
        </is>
      </c>
      <c r="B956" s="1" t="n">
        <v>45568</v>
      </c>
      <c r="C956" s="1" t="n">
        <v>45812</v>
      </c>
      <c r="D956" t="inlineStr">
        <is>
          <t>DALARNAS LÄN</t>
        </is>
      </c>
      <c r="E956" t="inlineStr">
        <is>
          <t>ÄLVDALEN</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43752-2024</t>
        </is>
      </c>
      <c r="B957" s="1" t="n">
        <v>45569</v>
      </c>
      <c r="C957" s="1" t="n">
        <v>45812</v>
      </c>
      <c r="D957" t="inlineStr">
        <is>
          <t>DALARNAS LÄN</t>
        </is>
      </c>
      <c r="E957" t="inlineStr">
        <is>
          <t>ÄLVDALEN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43900-2024</t>
        </is>
      </c>
      <c r="B958" s="1" t="n">
        <v>45572</v>
      </c>
      <c r="C958" s="1" t="n">
        <v>45812</v>
      </c>
      <c r="D958" t="inlineStr">
        <is>
          <t>DALARNAS LÄN</t>
        </is>
      </c>
      <c r="E958" t="inlineStr">
        <is>
          <t>ÄLVDALEN</t>
        </is>
      </c>
      <c r="F958" t="inlineStr">
        <is>
          <t>Bergvik skog väst AB</t>
        </is>
      </c>
      <c r="G958" t="n">
        <v>7.3</v>
      </c>
      <c r="H958" t="n">
        <v>0</v>
      </c>
      <c r="I958" t="n">
        <v>0</v>
      </c>
      <c r="J958" t="n">
        <v>0</v>
      </c>
      <c r="K958" t="n">
        <v>0</v>
      </c>
      <c r="L958" t="n">
        <v>0</v>
      </c>
      <c r="M958" t="n">
        <v>0</v>
      </c>
      <c r="N958" t="n">
        <v>0</v>
      </c>
      <c r="O958" t="n">
        <v>0</v>
      </c>
      <c r="P958" t="n">
        <v>0</v>
      </c>
      <c r="Q958" t="n">
        <v>0</v>
      </c>
      <c r="R958" s="2" t="inlineStr"/>
    </row>
    <row r="959" ht="15" customHeight="1">
      <c r="A959" t="inlineStr">
        <is>
          <t>A 43990-2024</t>
        </is>
      </c>
      <c r="B959" s="1" t="n">
        <v>45572</v>
      </c>
      <c r="C959" s="1" t="n">
        <v>45812</v>
      </c>
      <c r="D959" t="inlineStr">
        <is>
          <t>DALARNAS LÄN</t>
        </is>
      </c>
      <c r="E959" t="inlineStr">
        <is>
          <t>ÄLVDALEN</t>
        </is>
      </c>
      <c r="F959" t="inlineStr">
        <is>
          <t>Kommuner</t>
        </is>
      </c>
      <c r="G959" t="n">
        <v>0</v>
      </c>
      <c r="H959" t="n">
        <v>0</v>
      </c>
      <c r="I959" t="n">
        <v>0</v>
      </c>
      <c r="J959" t="n">
        <v>0</v>
      </c>
      <c r="K959" t="n">
        <v>0</v>
      </c>
      <c r="L959" t="n">
        <v>0</v>
      </c>
      <c r="M959" t="n">
        <v>0</v>
      </c>
      <c r="N959" t="n">
        <v>0</v>
      </c>
      <c r="O959" t="n">
        <v>0</v>
      </c>
      <c r="P959" t="n">
        <v>0</v>
      </c>
      <c r="Q959" t="n">
        <v>0</v>
      </c>
      <c r="R959" s="2" t="inlineStr"/>
    </row>
    <row r="960" ht="15" customHeight="1">
      <c r="A960" t="inlineStr">
        <is>
          <t>A 45203-2024</t>
        </is>
      </c>
      <c r="B960" s="1" t="n">
        <v>45575</v>
      </c>
      <c r="C960" s="1" t="n">
        <v>45812</v>
      </c>
      <c r="D960" t="inlineStr">
        <is>
          <t>DALARNAS LÄN</t>
        </is>
      </c>
      <c r="E960" t="inlineStr">
        <is>
          <t>ÄLVDALEN</t>
        </is>
      </c>
      <c r="G960" t="n">
        <v>7.3</v>
      </c>
      <c r="H960" t="n">
        <v>0</v>
      </c>
      <c r="I960" t="n">
        <v>0</v>
      </c>
      <c r="J960" t="n">
        <v>0</v>
      </c>
      <c r="K960" t="n">
        <v>0</v>
      </c>
      <c r="L960" t="n">
        <v>0</v>
      </c>
      <c r="M960" t="n">
        <v>0</v>
      </c>
      <c r="N960" t="n">
        <v>0</v>
      </c>
      <c r="O960" t="n">
        <v>0</v>
      </c>
      <c r="P960" t="n">
        <v>0</v>
      </c>
      <c r="Q960" t="n">
        <v>0</v>
      </c>
      <c r="R960" s="2" t="inlineStr"/>
    </row>
    <row r="961" ht="15" customHeight="1">
      <c r="A961" t="inlineStr">
        <is>
          <t>A 45716-2024</t>
        </is>
      </c>
      <c r="B961" s="1" t="n">
        <v>45579</v>
      </c>
      <c r="C961" s="1" t="n">
        <v>45812</v>
      </c>
      <c r="D961" t="inlineStr">
        <is>
          <t>DALARNAS LÄN</t>
        </is>
      </c>
      <c r="E961" t="inlineStr">
        <is>
          <t>ÄLVDALEN</t>
        </is>
      </c>
      <c r="G961" t="n">
        <v>0.8</v>
      </c>
      <c r="H961" t="n">
        <v>0</v>
      </c>
      <c r="I961" t="n">
        <v>0</v>
      </c>
      <c r="J961" t="n">
        <v>0</v>
      </c>
      <c r="K961" t="n">
        <v>0</v>
      </c>
      <c r="L961" t="n">
        <v>0</v>
      </c>
      <c r="M961" t="n">
        <v>0</v>
      </c>
      <c r="N961" t="n">
        <v>0</v>
      </c>
      <c r="O961" t="n">
        <v>0</v>
      </c>
      <c r="P961" t="n">
        <v>0</v>
      </c>
      <c r="Q961" t="n">
        <v>0</v>
      </c>
      <c r="R961" s="2" t="inlineStr"/>
    </row>
    <row r="962" ht="15" customHeight="1">
      <c r="A962" t="inlineStr">
        <is>
          <t>A 46926-2024</t>
        </is>
      </c>
      <c r="B962" s="1" t="n">
        <v>45584</v>
      </c>
      <c r="C962" s="1" t="n">
        <v>45812</v>
      </c>
      <c r="D962" t="inlineStr">
        <is>
          <t>DALARNAS LÄN</t>
        </is>
      </c>
      <c r="E962" t="inlineStr">
        <is>
          <t>ÄLVDALEN</t>
        </is>
      </c>
      <c r="G962" t="n">
        <v>4.4</v>
      </c>
      <c r="H962" t="n">
        <v>0</v>
      </c>
      <c r="I962" t="n">
        <v>0</v>
      </c>
      <c r="J962" t="n">
        <v>0</v>
      </c>
      <c r="K962" t="n">
        <v>0</v>
      </c>
      <c r="L962" t="n">
        <v>0</v>
      </c>
      <c r="M962" t="n">
        <v>0</v>
      </c>
      <c r="N962" t="n">
        <v>0</v>
      </c>
      <c r="O962" t="n">
        <v>0</v>
      </c>
      <c r="P962" t="n">
        <v>0</v>
      </c>
      <c r="Q962" t="n">
        <v>0</v>
      </c>
      <c r="R962" s="2" t="inlineStr"/>
    </row>
    <row r="963" ht="15" customHeight="1">
      <c r="A963" t="inlineStr">
        <is>
          <t>A 46927-2024</t>
        </is>
      </c>
      <c r="B963" s="1" t="n">
        <v>45584</v>
      </c>
      <c r="C963" s="1" t="n">
        <v>45812</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47080-2024</t>
        </is>
      </c>
      <c r="B964" s="1" t="n">
        <v>45586</v>
      </c>
      <c r="C964" s="1" t="n">
        <v>45812</v>
      </c>
      <c r="D964" t="inlineStr">
        <is>
          <t>DALARNAS LÄN</t>
        </is>
      </c>
      <c r="E964" t="inlineStr">
        <is>
          <t>ÄLVDALEN</t>
        </is>
      </c>
      <c r="G964" t="n">
        <v>0.9</v>
      </c>
      <c r="H964" t="n">
        <v>0</v>
      </c>
      <c r="I964" t="n">
        <v>0</v>
      </c>
      <c r="J964" t="n">
        <v>0</v>
      </c>
      <c r="K964" t="n">
        <v>0</v>
      </c>
      <c r="L964" t="n">
        <v>0</v>
      </c>
      <c r="M964" t="n">
        <v>0</v>
      </c>
      <c r="N964" t="n">
        <v>0</v>
      </c>
      <c r="O964" t="n">
        <v>0</v>
      </c>
      <c r="P964" t="n">
        <v>0</v>
      </c>
      <c r="Q964" t="n">
        <v>0</v>
      </c>
      <c r="R964" s="2" t="inlineStr"/>
    </row>
    <row r="965" ht="15" customHeight="1">
      <c r="A965" t="inlineStr">
        <is>
          <t>A 47087-2024</t>
        </is>
      </c>
      <c r="B965" s="1" t="n">
        <v>45586</v>
      </c>
      <c r="C965" s="1" t="n">
        <v>45812</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47525-2024</t>
        </is>
      </c>
      <c r="B966" s="1" t="n">
        <v>45587</v>
      </c>
      <c r="C966" s="1" t="n">
        <v>45812</v>
      </c>
      <c r="D966" t="inlineStr">
        <is>
          <t>DALARNAS LÄN</t>
        </is>
      </c>
      <c r="E966" t="inlineStr">
        <is>
          <t>ÄLVDALEN</t>
        </is>
      </c>
      <c r="F966" t="inlineStr">
        <is>
          <t>Bergvik skog väst AB</t>
        </is>
      </c>
      <c r="G966" t="n">
        <v>4.6</v>
      </c>
      <c r="H966" t="n">
        <v>0</v>
      </c>
      <c r="I966" t="n">
        <v>0</v>
      </c>
      <c r="J966" t="n">
        <v>0</v>
      </c>
      <c r="K966" t="n">
        <v>0</v>
      </c>
      <c r="L966" t="n">
        <v>0</v>
      </c>
      <c r="M966" t="n">
        <v>0</v>
      </c>
      <c r="N966" t="n">
        <v>0</v>
      </c>
      <c r="O966" t="n">
        <v>0</v>
      </c>
      <c r="P966" t="n">
        <v>0</v>
      </c>
      <c r="Q966" t="n">
        <v>0</v>
      </c>
      <c r="R966" s="2" t="inlineStr"/>
    </row>
    <row r="967" ht="15" customHeight="1">
      <c r="A967" t="inlineStr">
        <is>
          <t>A 47743-2024</t>
        </is>
      </c>
      <c r="B967" s="1" t="n">
        <v>45588</v>
      </c>
      <c r="C967" s="1" t="n">
        <v>45812</v>
      </c>
      <c r="D967" t="inlineStr">
        <is>
          <t>DALARNAS LÄN</t>
        </is>
      </c>
      <c r="E967" t="inlineStr">
        <is>
          <t>ÄLVDALEN</t>
        </is>
      </c>
      <c r="G967" t="n">
        <v>4.4</v>
      </c>
      <c r="H967" t="n">
        <v>0</v>
      </c>
      <c r="I967" t="n">
        <v>0</v>
      </c>
      <c r="J967" t="n">
        <v>0</v>
      </c>
      <c r="K967" t="n">
        <v>0</v>
      </c>
      <c r="L967" t="n">
        <v>0</v>
      </c>
      <c r="M967" t="n">
        <v>0</v>
      </c>
      <c r="N967" t="n">
        <v>0</v>
      </c>
      <c r="O967" t="n">
        <v>0</v>
      </c>
      <c r="P967" t="n">
        <v>0</v>
      </c>
      <c r="Q967" t="n">
        <v>0</v>
      </c>
      <c r="R967" s="2" t="inlineStr"/>
    </row>
    <row r="968" ht="15" customHeight="1">
      <c r="A968" t="inlineStr">
        <is>
          <t>A 47666-2024</t>
        </is>
      </c>
      <c r="B968" s="1" t="n">
        <v>45588</v>
      </c>
      <c r="C968" s="1" t="n">
        <v>45812</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47646-2024</t>
        </is>
      </c>
      <c r="B969" s="1" t="n">
        <v>45588</v>
      </c>
      <c r="C969" s="1" t="n">
        <v>45812</v>
      </c>
      <c r="D969" t="inlineStr">
        <is>
          <t>DALARNAS LÄN</t>
        </is>
      </c>
      <c r="E969" t="inlineStr">
        <is>
          <t>ÄLVDALEN</t>
        </is>
      </c>
      <c r="G969" t="n">
        <v>5.6</v>
      </c>
      <c r="H969" t="n">
        <v>0</v>
      </c>
      <c r="I969" t="n">
        <v>0</v>
      </c>
      <c r="J969" t="n">
        <v>0</v>
      </c>
      <c r="K969" t="n">
        <v>0</v>
      </c>
      <c r="L969" t="n">
        <v>0</v>
      </c>
      <c r="M969" t="n">
        <v>0</v>
      </c>
      <c r="N969" t="n">
        <v>0</v>
      </c>
      <c r="O969" t="n">
        <v>0</v>
      </c>
      <c r="P969" t="n">
        <v>0</v>
      </c>
      <c r="Q969" t="n">
        <v>0</v>
      </c>
      <c r="R969" s="2" t="inlineStr"/>
    </row>
    <row r="970" ht="15" customHeight="1">
      <c r="A970" t="inlineStr">
        <is>
          <t>A 47636-2024</t>
        </is>
      </c>
      <c r="B970" s="1" t="n">
        <v>45588</v>
      </c>
      <c r="C970" s="1" t="n">
        <v>45812</v>
      </c>
      <c r="D970" t="inlineStr">
        <is>
          <t>DALARNAS LÄN</t>
        </is>
      </c>
      <c r="E970" t="inlineStr">
        <is>
          <t>ÄLVDALEN</t>
        </is>
      </c>
      <c r="G970" t="n">
        <v>5.1</v>
      </c>
      <c r="H970" t="n">
        <v>0</v>
      </c>
      <c r="I970" t="n">
        <v>0</v>
      </c>
      <c r="J970" t="n">
        <v>0</v>
      </c>
      <c r="K970" t="n">
        <v>0</v>
      </c>
      <c r="L970" t="n">
        <v>0</v>
      </c>
      <c r="M970" t="n">
        <v>0</v>
      </c>
      <c r="N970" t="n">
        <v>0</v>
      </c>
      <c r="O970" t="n">
        <v>0</v>
      </c>
      <c r="P970" t="n">
        <v>0</v>
      </c>
      <c r="Q970" t="n">
        <v>0</v>
      </c>
      <c r="R970" s="2" t="inlineStr"/>
    </row>
    <row r="971" ht="15" customHeight="1">
      <c r="A971" t="inlineStr">
        <is>
          <t>A 47645-2024</t>
        </is>
      </c>
      <c r="B971" s="1" t="n">
        <v>45588</v>
      </c>
      <c r="C971" s="1" t="n">
        <v>45812</v>
      </c>
      <c r="D971" t="inlineStr">
        <is>
          <t>DALARNAS LÄN</t>
        </is>
      </c>
      <c r="E971" t="inlineStr">
        <is>
          <t>ÄLVDALEN</t>
        </is>
      </c>
      <c r="G971" t="n">
        <v>4.6</v>
      </c>
      <c r="H971" t="n">
        <v>0</v>
      </c>
      <c r="I971" t="n">
        <v>0</v>
      </c>
      <c r="J971" t="n">
        <v>0</v>
      </c>
      <c r="K971" t="n">
        <v>0</v>
      </c>
      <c r="L971" t="n">
        <v>0</v>
      </c>
      <c r="M971" t="n">
        <v>0</v>
      </c>
      <c r="N971" t="n">
        <v>0</v>
      </c>
      <c r="O971" t="n">
        <v>0</v>
      </c>
      <c r="P971" t="n">
        <v>0</v>
      </c>
      <c r="Q971" t="n">
        <v>0</v>
      </c>
      <c r="R971" s="2" t="inlineStr"/>
    </row>
    <row r="972" ht="15" customHeight="1">
      <c r="A972" t="inlineStr">
        <is>
          <t>A 47751-2024</t>
        </is>
      </c>
      <c r="B972" s="1" t="n">
        <v>45588</v>
      </c>
      <c r="C972" s="1" t="n">
        <v>45812</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47776-2024</t>
        </is>
      </c>
      <c r="B973" s="1" t="n">
        <v>45588</v>
      </c>
      <c r="C973" s="1" t="n">
        <v>45812</v>
      </c>
      <c r="D973" t="inlineStr">
        <is>
          <t>DALARNAS LÄN</t>
        </is>
      </c>
      <c r="E973" t="inlineStr">
        <is>
          <t>ÄLVDALEN</t>
        </is>
      </c>
      <c r="F973" t="inlineStr">
        <is>
          <t>Allmännings- och besparingsskogar</t>
        </is>
      </c>
      <c r="G973" t="n">
        <v>33</v>
      </c>
      <c r="H973" t="n">
        <v>0</v>
      </c>
      <c r="I973" t="n">
        <v>0</v>
      </c>
      <c r="J973" t="n">
        <v>0</v>
      </c>
      <c r="K973" t="n">
        <v>0</v>
      </c>
      <c r="L973" t="n">
        <v>0</v>
      </c>
      <c r="M973" t="n">
        <v>0</v>
      </c>
      <c r="N973" t="n">
        <v>0</v>
      </c>
      <c r="O973" t="n">
        <v>0</v>
      </c>
      <c r="P973" t="n">
        <v>0</v>
      </c>
      <c r="Q973" t="n">
        <v>0</v>
      </c>
      <c r="R973" s="2" t="inlineStr"/>
    </row>
    <row r="974" ht="15" customHeight="1">
      <c r="A974" t="inlineStr">
        <is>
          <t>A 47936-2024</t>
        </is>
      </c>
      <c r="B974" s="1" t="n">
        <v>45589</v>
      </c>
      <c r="C974" s="1" t="n">
        <v>45812</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48600-2024</t>
        </is>
      </c>
      <c r="B975" s="1" t="n">
        <v>45593</v>
      </c>
      <c r="C975" s="1" t="n">
        <v>45812</v>
      </c>
      <c r="D975" t="inlineStr">
        <is>
          <t>DALARNAS LÄN</t>
        </is>
      </c>
      <c r="E975" t="inlineStr">
        <is>
          <t>ÄLVDALEN</t>
        </is>
      </c>
      <c r="G975" t="n">
        <v>4.8</v>
      </c>
      <c r="H975" t="n">
        <v>0</v>
      </c>
      <c r="I975" t="n">
        <v>0</v>
      </c>
      <c r="J975" t="n">
        <v>0</v>
      </c>
      <c r="K975" t="n">
        <v>0</v>
      </c>
      <c r="L975" t="n">
        <v>0</v>
      </c>
      <c r="M975" t="n">
        <v>0</v>
      </c>
      <c r="N975" t="n">
        <v>0</v>
      </c>
      <c r="O975" t="n">
        <v>0</v>
      </c>
      <c r="P975" t="n">
        <v>0</v>
      </c>
      <c r="Q975" t="n">
        <v>0</v>
      </c>
      <c r="R975" s="2" t="inlineStr"/>
    </row>
    <row r="976" ht="15" customHeight="1">
      <c r="A976" t="inlineStr">
        <is>
          <t>A 48613-2024</t>
        </is>
      </c>
      <c r="B976" s="1" t="n">
        <v>45593</v>
      </c>
      <c r="C976" s="1" t="n">
        <v>45812</v>
      </c>
      <c r="D976" t="inlineStr">
        <is>
          <t>DALARNAS LÄN</t>
        </is>
      </c>
      <c r="E976" t="inlineStr">
        <is>
          <t>ÄLVDALEN</t>
        </is>
      </c>
      <c r="G976" t="n">
        <v>2.9</v>
      </c>
      <c r="H976" t="n">
        <v>0</v>
      </c>
      <c r="I976" t="n">
        <v>0</v>
      </c>
      <c r="J976" t="n">
        <v>0</v>
      </c>
      <c r="K976" t="n">
        <v>0</v>
      </c>
      <c r="L976" t="n">
        <v>0</v>
      </c>
      <c r="M976" t="n">
        <v>0</v>
      </c>
      <c r="N976" t="n">
        <v>0</v>
      </c>
      <c r="O976" t="n">
        <v>0</v>
      </c>
      <c r="P976" t="n">
        <v>0</v>
      </c>
      <c r="Q976" t="n">
        <v>0</v>
      </c>
      <c r="R976" s="2" t="inlineStr"/>
    </row>
    <row r="977" ht="15" customHeight="1">
      <c r="A977" t="inlineStr">
        <is>
          <t>A 48653-2024</t>
        </is>
      </c>
      <c r="B977" s="1" t="n">
        <v>45593</v>
      </c>
      <c r="C977" s="1" t="n">
        <v>45812</v>
      </c>
      <c r="D977" t="inlineStr">
        <is>
          <t>DALARNAS LÄN</t>
        </is>
      </c>
      <c r="E977" t="inlineStr">
        <is>
          <t>ÄLVDALEN</t>
        </is>
      </c>
      <c r="G977" t="n">
        <v>3.2</v>
      </c>
      <c r="H977" t="n">
        <v>0</v>
      </c>
      <c r="I977" t="n">
        <v>0</v>
      </c>
      <c r="J977" t="n">
        <v>0</v>
      </c>
      <c r="K977" t="n">
        <v>0</v>
      </c>
      <c r="L977" t="n">
        <v>0</v>
      </c>
      <c r="M977" t="n">
        <v>0</v>
      </c>
      <c r="N977" t="n">
        <v>0</v>
      </c>
      <c r="O977" t="n">
        <v>0</v>
      </c>
      <c r="P977" t="n">
        <v>0</v>
      </c>
      <c r="Q977" t="n">
        <v>0</v>
      </c>
      <c r="R977" s="2" t="inlineStr"/>
    </row>
    <row r="978" ht="15" customHeight="1">
      <c r="A978" t="inlineStr">
        <is>
          <t>A 48552-2024</t>
        </is>
      </c>
      <c r="B978" s="1" t="n">
        <v>45593</v>
      </c>
      <c r="C978" s="1" t="n">
        <v>45812</v>
      </c>
      <c r="D978" t="inlineStr">
        <is>
          <t>DALARNAS LÄN</t>
        </is>
      </c>
      <c r="E978" t="inlineStr">
        <is>
          <t>ÄLVDALEN</t>
        </is>
      </c>
      <c r="G978" t="n">
        <v>4.1</v>
      </c>
      <c r="H978" t="n">
        <v>0</v>
      </c>
      <c r="I978" t="n">
        <v>0</v>
      </c>
      <c r="J978" t="n">
        <v>0</v>
      </c>
      <c r="K978" t="n">
        <v>0</v>
      </c>
      <c r="L978" t="n">
        <v>0</v>
      </c>
      <c r="M978" t="n">
        <v>0</v>
      </c>
      <c r="N978" t="n">
        <v>0</v>
      </c>
      <c r="O978" t="n">
        <v>0</v>
      </c>
      <c r="P978" t="n">
        <v>0</v>
      </c>
      <c r="Q978" t="n">
        <v>0</v>
      </c>
      <c r="R978" s="2" t="inlineStr"/>
    </row>
    <row r="979" ht="15" customHeight="1">
      <c r="A979" t="inlineStr">
        <is>
          <t>A 48678-2024</t>
        </is>
      </c>
      <c r="B979" s="1" t="n">
        <v>45593</v>
      </c>
      <c r="C979" s="1" t="n">
        <v>45812</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49906-2024</t>
        </is>
      </c>
      <c r="B980" s="1" t="n">
        <v>45597</v>
      </c>
      <c r="C980" s="1" t="n">
        <v>45812</v>
      </c>
      <c r="D980" t="inlineStr">
        <is>
          <t>DALARNAS LÄN</t>
        </is>
      </c>
      <c r="E980" t="inlineStr">
        <is>
          <t>ÄLVDALEN</t>
        </is>
      </c>
      <c r="G980" t="n">
        <v>4.2</v>
      </c>
      <c r="H980" t="n">
        <v>0</v>
      </c>
      <c r="I980" t="n">
        <v>0</v>
      </c>
      <c r="J980" t="n">
        <v>0</v>
      </c>
      <c r="K980" t="n">
        <v>0</v>
      </c>
      <c r="L980" t="n">
        <v>0</v>
      </c>
      <c r="M980" t="n">
        <v>0</v>
      </c>
      <c r="N980" t="n">
        <v>0</v>
      </c>
      <c r="O980" t="n">
        <v>0</v>
      </c>
      <c r="P980" t="n">
        <v>0</v>
      </c>
      <c r="Q980" t="n">
        <v>0</v>
      </c>
      <c r="R980" s="2" t="inlineStr"/>
    </row>
    <row r="981" ht="15" customHeight="1">
      <c r="A981" t="inlineStr">
        <is>
          <t>A 50057-2024</t>
        </is>
      </c>
      <c r="B981" s="1" t="n">
        <v>45600</v>
      </c>
      <c r="C981" s="1" t="n">
        <v>45812</v>
      </c>
      <c r="D981" t="inlineStr">
        <is>
          <t>DALARNAS LÄN</t>
        </is>
      </c>
      <c r="E981" t="inlineStr">
        <is>
          <t>ÄLVDALEN</t>
        </is>
      </c>
      <c r="G981" t="n">
        <v>3.9</v>
      </c>
      <c r="H981" t="n">
        <v>0</v>
      </c>
      <c r="I981" t="n">
        <v>0</v>
      </c>
      <c r="J981" t="n">
        <v>0</v>
      </c>
      <c r="K981" t="n">
        <v>0</v>
      </c>
      <c r="L981" t="n">
        <v>0</v>
      </c>
      <c r="M981" t="n">
        <v>0</v>
      </c>
      <c r="N981" t="n">
        <v>0</v>
      </c>
      <c r="O981" t="n">
        <v>0</v>
      </c>
      <c r="P981" t="n">
        <v>0</v>
      </c>
      <c r="Q981" t="n">
        <v>0</v>
      </c>
      <c r="R981" s="2" t="inlineStr"/>
    </row>
    <row r="982" ht="15" customHeight="1">
      <c r="A982" t="inlineStr">
        <is>
          <t>A 50056-2024</t>
        </is>
      </c>
      <c r="B982" s="1" t="n">
        <v>45600</v>
      </c>
      <c r="C982" s="1" t="n">
        <v>45812</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52166-2024</t>
        </is>
      </c>
      <c r="B983" s="1" t="n">
        <v>45608</v>
      </c>
      <c r="C983" s="1" t="n">
        <v>45812</v>
      </c>
      <c r="D983" t="inlineStr">
        <is>
          <t>DALARNAS LÄN</t>
        </is>
      </c>
      <c r="E983" t="inlineStr">
        <is>
          <t>ÄLVDALEN</t>
        </is>
      </c>
      <c r="G983" t="n">
        <v>1.1</v>
      </c>
      <c r="H983" t="n">
        <v>0</v>
      </c>
      <c r="I983" t="n">
        <v>0</v>
      </c>
      <c r="J983" t="n">
        <v>0</v>
      </c>
      <c r="K983" t="n">
        <v>0</v>
      </c>
      <c r="L983" t="n">
        <v>0</v>
      </c>
      <c r="M983" t="n">
        <v>0</v>
      </c>
      <c r="N983" t="n">
        <v>0</v>
      </c>
      <c r="O983" t="n">
        <v>0</v>
      </c>
      <c r="P983" t="n">
        <v>0</v>
      </c>
      <c r="Q983" t="n">
        <v>0</v>
      </c>
      <c r="R983" s="2" t="inlineStr"/>
    </row>
    <row r="984" ht="15" customHeight="1">
      <c r="A984" t="inlineStr">
        <is>
          <t>A 52167-2024</t>
        </is>
      </c>
      <c r="B984" s="1" t="n">
        <v>45608</v>
      </c>
      <c r="C984" s="1" t="n">
        <v>45812</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52163-2024</t>
        </is>
      </c>
      <c r="B985" s="1" t="n">
        <v>45608</v>
      </c>
      <c r="C985" s="1" t="n">
        <v>45812</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52077-2024</t>
        </is>
      </c>
      <c r="B986" s="1" t="n">
        <v>45608</v>
      </c>
      <c r="C986" s="1" t="n">
        <v>45812</v>
      </c>
      <c r="D986" t="inlineStr">
        <is>
          <t>DALARNAS LÄN</t>
        </is>
      </c>
      <c r="E986" t="inlineStr">
        <is>
          <t>ÄLVDALEN</t>
        </is>
      </c>
      <c r="F986" t="inlineStr">
        <is>
          <t>Sveaskog</t>
        </is>
      </c>
      <c r="G986" t="n">
        <v>19.5</v>
      </c>
      <c r="H986" t="n">
        <v>0</v>
      </c>
      <c r="I986" t="n">
        <v>0</v>
      </c>
      <c r="J986" t="n">
        <v>0</v>
      </c>
      <c r="K986" t="n">
        <v>0</v>
      </c>
      <c r="L986" t="n">
        <v>0</v>
      </c>
      <c r="M986" t="n">
        <v>0</v>
      </c>
      <c r="N986" t="n">
        <v>0</v>
      </c>
      <c r="O986" t="n">
        <v>0</v>
      </c>
      <c r="P986" t="n">
        <v>0</v>
      </c>
      <c r="Q986" t="n">
        <v>0</v>
      </c>
      <c r="R986" s="2" t="inlineStr"/>
    </row>
    <row r="987" ht="15" customHeight="1">
      <c r="A987" t="inlineStr">
        <is>
          <t>A 53168-2024</t>
        </is>
      </c>
      <c r="B987" s="1" t="n">
        <v>45611</v>
      </c>
      <c r="C987" s="1" t="n">
        <v>45812</v>
      </c>
      <c r="D987" t="inlineStr">
        <is>
          <t>DALARNAS LÄN</t>
        </is>
      </c>
      <c r="E987" t="inlineStr">
        <is>
          <t>ÄLVDALEN</t>
        </is>
      </c>
      <c r="G987" t="n">
        <v>3.4</v>
      </c>
      <c r="H987" t="n">
        <v>0</v>
      </c>
      <c r="I987" t="n">
        <v>0</v>
      </c>
      <c r="J987" t="n">
        <v>0</v>
      </c>
      <c r="K987" t="n">
        <v>0</v>
      </c>
      <c r="L987" t="n">
        <v>0</v>
      </c>
      <c r="M987" t="n">
        <v>0</v>
      </c>
      <c r="N987" t="n">
        <v>0</v>
      </c>
      <c r="O987" t="n">
        <v>0</v>
      </c>
      <c r="P987" t="n">
        <v>0</v>
      </c>
      <c r="Q987" t="n">
        <v>0</v>
      </c>
      <c r="R987" s="2" t="inlineStr"/>
    </row>
    <row r="988" ht="15" customHeight="1">
      <c r="A988" t="inlineStr">
        <is>
          <t>A 53355-2024</t>
        </is>
      </c>
      <c r="B988" s="1" t="n">
        <v>45614</v>
      </c>
      <c r="C988" s="1" t="n">
        <v>45812</v>
      </c>
      <c r="D988" t="inlineStr">
        <is>
          <t>DALARNAS LÄN</t>
        </is>
      </c>
      <c r="E988" t="inlineStr">
        <is>
          <t>ÄLVDALEN</t>
        </is>
      </c>
      <c r="G988" t="n">
        <v>14</v>
      </c>
      <c r="H988" t="n">
        <v>0</v>
      </c>
      <c r="I988" t="n">
        <v>0</v>
      </c>
      <c r="J988" t="n">
        <v>0</v>
      </c>
      <c r="K988" t="n">
        <v>0</v>
      </c>
      <c r="L988" t="n">
        <v>0</v>
      </c>
      <c r="M988" t="n">
        <v>0</v>
      </c>
      <c r="N988" t="n">
        <v>0</v>
      </c>
      <c r="O988" t="n">
        <v>0</v>
      </c>
      <c r="P988" t="n">
        <v>0</v>
      </c>
      <c r="Q988" t="n">
        <v>0</v>
      </c>
      <c r="R988" s="2" t="inlineStr"/>
    </row>
    <row r="989" ht="15" customHeight="1">
      <c r="A989" t="inlineStr">
        <is>
          <t>A 53778-2024</t>
        </is>
      </c>
      <c r="B989" s="1" t="n">
        <v>45615</v>
      </c>
      <c r="C989" s="1" t="n">
        <v>45812</v>
      </c>
      <c r="D989" t="inlineStr">
        <is>
          <t>DALARNAS LÄN</t>
        </is>
      </c>
      <c r="E989" t="inlineStr">
        <is>
          <t>ÄLVDALEN</t>
        </is>
      </c>
      <c r="G989" t="n">
        <v>1.9</v>
      </c>
      <c r="H989" t="n">
        <v>0</v>
      </c>
      <c r="I989" t="n">
        <v>0</v>
      </c>
      <c r="J989" t="n">
        <v>0</v>
      </c>
      <c r="K989" t="n">
        <v>0</v>
      </c>
      <c r="L989" t="n">
        <v>0</v>
      </c>
      <c r="M989" t="n">
        <v>0</v>
      </c>
      <c r="N989" t="n">
        <v>0</v>
      </c>
      <c r="O989" t="n">
        <v>0</v>
      </c>
      <c r="P989" t="n">
        <v>0</v>
      </c>
      <c r="Q989" t="n">
        <v>0</v>
      </c>
      <c r="R989" s="2" t="inlineStr"/>
    </row>
    <row r="990" ht="15" customHeight="1">
      <c r="A990" t="inlineStr">
        <is>
          <t>A 54076-2024</t>
        </is>
      </c>
      <c r="B990" s="1" t="n">
        <v>45616</v>
      </c>
      <c r="C990" s="1" t="n">
        <v>45812</v>
      </c>
      <c r="D990" t="inlineStr">
        <is>
          <t>DALARNAS LÄN</t>
        </is>
      </c>
      <c r="E990" t="inlineStr">
        <is>
          <t>ÄLVDALEN</t>
        </is>
      </c>
      <c r="G990" t="n">
        <v>1.7</v>
      </c>
      <c r="H990" t="n">
        <v>0</v>
      </c>
      <c r="I990" t="n">
        <v>0</v>
      </c>
      <c r="J990" t="n">
        <v>0</v>
      </c>
      <c r="K990" t="n">
        <v>0</v>
      </c>
      <c r="L990" t="n">
        <v>0</v>
      </c>
      <c r="M990" t="n">
        <v>0</v>
      </c>
      <c r="N990" t="n">
        <v>0</v>
      </c>
      <c r="O990" t="n">
        <v>0</v>
      </c>
      <c r="P990" t="n">
        <v>0</v>
      </c>
      <c r="Q990" t="n">
        <v>0</v>
      </c>
      <c r="R990" s="2" t="inlineStr"/>
    </row>
    <row r="991" ht="15" customHeight="1">
      <c r="A991" t="inlineStr">
        <is>
          <t>A 54839-2024</t>
        </is>
      </c>
      <c r="B991" s="1" t="n">
        <v>45618</v>
      </c>
      <c r="C991" s="1" t="n">
        <v>45812</v>
      </c>
      <c r="D991" t="inlineStr">
        <is>
          <t>DALARNAS LÄN</t>
        </is>
      </c>
      <c r="E991" t="inlineStr">
        <is>
          <t>ÄLVDALEN</t>
        </is>
      </c>
      <c r="G991" t="n">
        <v>2.5</v>
      </c>
      <c r="H991" t="n">
        <v>0</v>
      </c>
      <c r="I991" t="n">
        <v>0</v>
      </c>
      <c r="J991" t="n">
        <v>0</v>
      </c>
      <c r="K991" t="n">
        <v>0</v>
      </c>
      <c r="L991" t="n">
        <v>0</v>
      </c>
      <c r="M991" t="n">
        <v>0</v>
      </c>
      <c r="N991" t="n">
        <v>0</v>
      </c>
      <c r="O991" t="n">
        <v>0</v>
      </c>
      <c r="P991" t="n">
        <v>0</v>
      </c>
      <c r="Q991" t="n">
        <v>0</v>
      </c>
      <c r="R991" s="2" t="inlineStr"/>
    </row>
    <row r="992" ht="15" customHeight="1">
      <c r="A992" t="inlineStr">
        <is>
          <t>A 55879-2024</t>
        </is>
      </c>
      <c r="B992" s="1" t="n">
        <v>45623</v>
      </c>
      <c r="C992" s="1" t="n">
        <v>45812</v>
      </c>
      <c r="D992" t="inlineStr">
        <is>
          <t>DALARNAS LÄN</t>
        </is>
      </c>
      <c r="E992" t="inlineStr">
        <is>
          <t>ÄLVDALEN</t>
        </is>
      </c>
      <c r="G992" t="n">
        <v>15.3</v>
      </c>
      <c r="H992" t="n">
        <v>0</v>
      </c>
      <c r="I992" t="n">
        <v>0</v>
      </c>
      <c r="J992" t="n">
        <v>0</v>
      </c>
      <c r="K992" t="n">
        <v>0</v>
      </c>
      <c r="L992" t="n">
        <v>0</v>
      </c>
      <c r="M992" t="n">
        <v>0</v>
      </c>
      <c r="N992" t="n">
        <v>0</v>
      </c>
      <c r="O992" t="n">
        <v>0</v>
      </c>
      <c r="P992" t="n">
        <v>0</v>
      </c>
      <c r="Q992" t="n">
        <v>0</v>
      </c>
      <c r="R992" s="2" t="inlineStr"/>
    </row>
    <row r="993" ht="15" customHeight="1">
      <c r="A993" t="inlineStr">
        <is>
          <t>A 56405-2024</t>
        </is>
      </c>
      <c r="B993" s="1" t="n">
        <v>45625</v>
      </c>
      <c r="C993" s="1" t="n">
        <v>45812</v>
      </c>
      <c r="D993" t="inlineStr">
        <is>
          <t>DALARNAS LÄN</t>
        </is>
      </c>
      <c r="E993" t="inlineStr">
        <is>
          <t>ÄLVDALEN</t>
        </is>
      </c>
      <c r="F993" t="inlineStr">
        <is>
          <t>Allmännings- och besparingsskogar</t>
        </is>
      </c>
      <c r="G993" t="n">
        <v>29.8</v>
      </c>
      <c r="H993" t="n">
        <v>0</v>
      </c>
      <c r="I993" t="n">
        <v>0</v>
      </c>
      <c r="J993" t="n">
        <v>0</v>
      </c>
      <c r="K993" t="n">
        <v>0</v>
      </c>
      <c r="L993" t="n">
        <v>0</v>
      </c>
      <c r="M993" t="n">
        <v>0</v>
      </c>
      <c r="N993" t="n">
        <v>0</v>
      </c>
      <c r="O993" t="n">
        <v>0</v>
      </c>
      <c r="P993" t="n">
        <v>0</v>
      </c>
      <c r="Q993" t="n">
        <v>0</v>
      </c>
      <c r="R993" s="2" t="inlineStr"/>
    </row>
    <row r="994" ht="15" customHeight="1">
      <c r="A994" t="inlineStr">
        <is>
          <t>A 56487-2024</t>
        </is>
      </c>
      <c r="B994" s="1" t="n">
        <v>45625</v>
      </c>
      <c r="C994" s="1" t="n">
        <v>45812</v>
      </c>
      <c r="D994" t="inlineStr">
        <is>
          <t>DALARNAS LÄN</t>
        </is>
      </c>
      <c r="E994" t="inlineStr">
        <is>
          <t>ÄLVDALEN</t>
        </is>
      </c>
      <c r="F994" t="inlineStr">
        <is>
          <t>Allmännings- och besparingsskogar</t>
        </is>
      </c>
      <c r="G994" t="n">
        <v>5.6</v>
      </c>
      <c r="H994" t="n">
        <v>0</v>
      </c>
      <c r="I994" t="n">
        <v>0</v>
      </c>
      <c r="J994" t="n">
        <v>0</v>
      </c>
      <c r="K994" t="n">
        <v>0</v>
      </c>
      <c r="L994" t="n">
        <v>0</v>
      </c>
      <c r="M994" t="n">
        <v>0</v>
      </c>
      <c r="N994" t="n">
        <v>0</v>
      </c>
      <c r="O994" t="n">
        <v>0</v>
      </c>
      <c r="P994" t="n">
        <v>0</v>
      </c>
      <c r="Q994" t="n">
        <v>0</v>
      </c>
      <c r="R994" s="2" t="inlineStr"/>
    </row>
    <row r="995" ht="15" customHeight="1">
      <c r="A995" t="inlineStr">
        <is>
          <t>A 56930-2024</t>
        </is>
      </c>
      <c r="B995" s="1" t="n">
        <v>45628</v>
      </c>
      <c r="C995" s="1" t="n">
        <v>45812</v>
      </c>
      <c r="D995" t="inlineStr">
        <is>
          <t>DALARNAS LÄN</t>
        </is>
      </c>
      <c r="E995" t="inlineStr">
        <is>
          <t>ÄLVDALEN</t>
        </is>
      </c>
      <c r="G995" t="n">
        <v>0.8</v>
      </c>
      <c r="H995" t="n">
        <v>0</v>
      </c>
      <c r="I995" t="n">
        <v>0</v>
      </c>
      <c r="J995" t="n">
        <v>0</v>
      </c>
      <c r="K995" t="n">
        <v>0</v>
      </c>
      <c r="L995" t="n">
        <v>0</v>
      </c>
      <c r="M995" t="n">
        <v>0</v>
      </c>
      <c r="N995" t="n">
        <v>0</v>
      </c>
      <c r="O995" t="n">
        <v>0</v>
      </c>
      <c r="P995" t="n">
        <v>0</v>
      </c>
      <c r="Q995" t="n">
        <v>0</v>
      </c>
      <c r="R995" s="2" t="inlineStr"/>
    </row>
    <row r="996" ht="15" customHeight="1">
      <c r="A996" t="inlineStr">
        <is>
          <t>A 57171-2024</t>
        </is>
      </c>
      <c r="B996" s="1" t="n">
        <v>45629</v>
      </c>
      <c r="C996" s="1" t="n">
        <v>45812</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57539-2024</t>
        </is>
      </c>
      <c r="B997" s="1" t="n">
        <v>45630</v>
      </c>
      <c r="C997" s="1" t="n">
        <v>45812</v>
      </c>
      <c r="D997" t="inlineStr">
        <is>
          <t>DALARNAS LÄN</t>
        </is>
      </c>
      <c r="E997" t="inlineStr">
        <is>
          <t>ÄLVDALEN</t>
        </is>
      </c>
      <c r="G997" t="n">
        <v>6.7</v>
      </c>
      <c r="H997" t="n">
        <v>0</v>
      </c>
      <c r="I997" t="n">
        <v>0</v>
      </c>
      <c r="J997" t="n">
        <v>0</v>
      </c>
      <c r="K997" t="n">
        <v>0</v>
      </c>
      <c r="L997" t="n">
        <v>0</v>
      </c>
      <c r="M997" t="n">
        <v>0</v>
      </c>
      <c r="N997" t="n">
        <v>0</v>
      </c>
      <c r="O997" t="n">
        <v>0</v>
      </c>
      <c r="P997" t="n">
        <v>0</v>
      </c>
      <c r="Q997" t="n">
        <v>0</v>
      </c>
      <c r="R997" s="2" t="inlineStr"/>
    </row>
    <row r="998" ht="15" customHeight="1">
      <c r="A998" t="inlineStr">
        <is>
          <t>A 57560-2024</t>
        </is>
      </c>
      <c r="B998" s="1" t="n">
        <v>45630</v>
      </c>
      <c r="C998" s="1" t="n">
        <v>45812</v>
      </c>
      <c r="D998" t="inlineStr">
        <is>
          <t>DALARNAS LÄN</t>
        </is>
      </c>
      <c r="E998" t="inlineStr">
        <is>
          <t>ÄLVDALEN</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57533-2024</t>
        </is>
      </c>
      <c r="B999" s="1" t="n">
        <v>45630</v>
      </c>
      <c r="C999" s="1" t="n">
        <v>45812</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57665-2024</t>
        </is>
      </c>
      <c r="B1000" s="1" t="n">
        <v>45630</v>
      </c>
      <c r="C1000" s="1" t="n">
        <v>45812</v>
      </c>
      <c r="D1000" t="inlineStr">
        <is>
          <t>DALARNAS LÄN</t>
        </is>
      </c>
      <c r="E1000" t="inlineStr">
        <is>
          <t>ÄLVDALEN</t>
        </is>
      </c>
      <c r="F1000" t="inlineStr">
        <is>
          <t>Allmännings- och besparingsskogar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59483-2024</t>
        </is>
      </c>
      <c r="B1001" s="1" t="n">
        <v>45638</v>
      </c>
      <c r="C1001" s="1" t="n">
        <v>45812</v>
      </c>
      <c r="D1001" t="inlineStr">
        <is>
          <t>DALARNAS LÄN</t>
        </is>
      </c>
      <c r="E1001" t="inlineStr">
        <is>
          <t>ÄLVDALEN</t>
        </is>
      </c>
      <c r="F1001" t="inlineStr">
        <is>
          <t>Allmännings- och besparingsskogar</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59450-2024</t>
        </is>
      </c>
      <c r="B1002" s="1" t="n">
        <v>45638</v>
      </c>
      <c r="C1002" s="1" t="n">
        <v>45812</v>
      </c>
      <c r="D1002" t="inlineStr">
        <is>
          <t>DALARNAS LÄN</t>
        </is>
      </c>
      <c r="E1002" t="inlineStr">
        <is>
          <t>ÄLVDALEN</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59447-2024</t>
        </is>
      </c>
      <c r="B1003" s="1" t="n">
        <v>45638</v>
      </c>
      <c r="C1003" s="1" t="n">
        <v>45812</v>
      </c>
      <c r="D1003" t="inlineStr">
        <is>
          <t>DALARNAS LÄN</t>
        </is>
      </c>
      <c r="E1003" t="inlineStr">
        <is>
          <t>ÄLVDALEN</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59545-2024</t>
        </is>
      </c>
      <c r="B1004" s="1" t="n">
        <v>45638</v>
      </c>
      <c r="C1004" s="1" t="n">
        <v>45812</v>
      </c>
      <c r="D1004" t="inlineStr">
        <is>
          <t>DALARNAS LÄN</t>
        </is>
      </c>
      <c r="E1004" t="inlineStr">
        <is>
          <t>ÄLVDALEN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59444-2024</t>
        </is>
      </c>
      <c r="B1005" s="1" t="n">
        <v>45638</v>
      </c>
      <c r="C1005" s="1" t="n">
        <v>45812</v>
      </c>
      <c r="D1005" t="inlineStr">
        <is>
          <t>DALARNAS LÄN</t>
        </is>
      </c>
      <c r="E1005" t="inlineStr">
        <is>
          <t>ÄLVDALEN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59478-2024</t>
        </is>
      </c>
      <c r="B1006" s="1" t="n">
        <v>45638</v>
      </c>
      <c r="C1006" s="1" t="n">
        <v>45812</v>
      </c>
      <c r="D1006" t="inlineStr">
        <is>
          <t>DALARNAS LÄN</t>
        </is>
      </c>
      <c r="E1006" t="inlineStr">
        <is>
          <t>ÄLVDALEN</t>
        </is>
      </c>
      <c r="F1006" t="inlineStr">
        <is>
          <t>Allmännings- och besparingsskogar</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59676-2024</t>
        </is>
      </c>
      <c r="B1007" s="1" t="n">
        <v>45639</v>
      </c>
      <c r="C1007" s="1" t="n">
        <v>45812</v>
      </c>
      <c r="D1007" t="inlineStr">
        <is>
          <t>DALARNAS LÄN</t>
        </is>
      </c>
      <c r="E1007" t="inlineStr">
        <is>
          <t>ÄLVDALEN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59668-2024</t>
        </is>
      </c>
      <c r="B1008" s="1" t="n">
        <v>45639</v>
      </c>
      <c r="C1008" s="1" t="n">
        <v>45812</v>
      </c>
      <c r="D1008" t="inlineStr">
        <is>
          <t>DALARNAS LÄN</t>
        </is>
      </c>
      <c r="E1008" t="inlineStr">
        <is>
          <t>ÄLVDALEN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59671-2024</t>
        </is>
      </c>
      <c r="B1009" s="1" t="n">
        <v>45639</v>
      </c>
      <c r="C1009" s="1" t="n">
        <v>45812</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59692-2024</t>
        </is>
      </c>
      <c r="B1010" s="1" t="n">
        <v>45639</v>
      </c>
      <c r="C1010" s="1" t="n">
        <v>45812</v>
      </c>
      <c r="D1010" t="inlineStr">
        <is>
          <t>DALARNAS LÄN</t>
        </is>
      </c>
      <c r="E1010" t="inlineStr">
        <is>
          <t>ÄLVDALEN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60248-2024</t>
        </is>
      </c>
      <c r="B1011" s="1" t="n">
        <v>45642</v>
      </c>
      <c r="C1011" s="1" t="n">
        <v>45812</v>
      </c>
      <c r="D1011" t="inlineStr">
        <is>
          <t>DALARNAS LÄN</t>
        </is>
      </c>
      <c r="E1011" t="inlineStr">
        <is>
          <t>ÄLVDALEN</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60870-2024</t>
        </is>
      </c>
      <c r="B1012" s="1" t="n">
        <v>45644</v>
      </c>
      <c r="C1012" s="1" t="n">
        <v>45812</v>
      </c>
      <c r="D1012" t="inlineStr">
        <is>
          <t>DALARNAS LÄN</t>
        </is>
      </c>
      <c r="E1012" t="inlineStr">
        <is>
          <t>ÄLVDALEN</t>
        </is>
      </c>
      <c r="F1012" t="inlineStr">
        <is>
          <t>Allmännings- och besparingsskogar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61072-2024</t>
        </is>
      </c>
      <c r="B1013" s="1" t="n">
        <v>45645</v>
      </c>
      <c r="C1013" s="1" t="n">
        <v>45812</v>
      </c>
      <c r="D1013" t="inlineStr">
        <is>
          <t>DALARNAS LÄN</t>
        </is>
      </c>
      <c r="E1013" t="inlineStr">
        <is>
          <t>ÄLVDALEN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61070-2024</t>
        </is>
      </c>
      <c r="B1014" s="1" t="n">
        <v>45645</v>
      </c>
      <c r="C1014" s="1" t="n">
        <v>45812</v>
      </c>
      <c r="D1014" t="inlineStr">
        <is>
          <t>DALARNAS LÄN</t>
        </is>
      </c>
      <c r="E1014" t="inlineStr">
        <is>
          <t>ÄLVDALEN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61575-2024</t>
        </is>
      </c>
      <c r="B1015" s="1" t="n">
        <v>45646</v>
      </c>
      <c r="C1015" s="1" t="n">
        <v>45812</v>
      </c>
      <c r="D1015" t="inlineStr">
        <is>
          <t>DALARNAS LÄN</t>
        </is>
      </c>
      <c r="E1015" t="inlineStr">
        <is>
          <t>ÄLVDALEN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61695-2024</t>
        </is>
      </c>
      <c r="B1016" s="1" t="n">
        <v>45647</v>
      </c>
      <c r="C1016" s="1" t="n">
        <v>45812</v>
      </c>
      <c r="D1016" t="inlineStr">
        <is>
          <t>DALARNAS LÄN</t>
        </is>
      </c>
      <c r="E1016" t="inlineStr">
        <is>
          <t>ÄLVDALEN</t>
        </is>
      </c>
      <c r="F1016" t="inlineStr">
        <is>
          <t>Allmännings- och besparingsskogar</t>
        </is>
      </c>
      <c r="G1016" t="n">
        <v>32.3</v>
      </c>
      <c r="H1016" t="n">
        <v>0</v>
      </c>
      <c r="I1016" t="n">
        <v>0</v>
      </c>
      <c r="J1016" t="n">
        <v>0</v>
      </c>
      <c r="K1016" t="n">
        <v>0</v>
      </c>
      <c r="L1016" t="n">
        <v>0</v>
      </c>
      <c r="M1016" t="n">
        <v>0</v>
      </c>
      <c r="N1016" t="n">
        <v>0</v>
      </c>
      <c r="O1016" t="n">
        <v>0</v>
      </c>
      <c r="P1016" t="n">
        <v>0</v>
      </c>
      <c r="Q1016" t="n">
        <v>0</v>
      </c>
      <c r="R1016" s="2" t="inlineStr"/>
    </row>
    <row r="1017" ht="15" customHeight="1">
      <c r="A1017" t="inlineStr">
        <is>
          <t>A 629-2025</t>
        </is>
      </c>
      <c r="B1017" s="1" t="n">
        <v>45660</v>
      </c>
      <c r="C1017" s="1" t="n">
        <v>45812</v>
      </c>
      <c r="D1017" t="inlineStr">
        <is>
          <t>DALARNAS LÄN</t>
        </is>
      </c>
      <c r="E1017" t="inlineStr">
        <is>
          <t>ÄLVDALEN</t>
        </is>
      </c>
      <c r="F1017" t="inlineStr">
        <is>
          <t>Allmännings- och besparingsskogar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443-2025</t>
        </is>
      </c>
      <c r="B1018" s="1" t="n">
        <v>45664</v>
      </c>
      <c r="C1018" s="1" t="n">
        <v>45812</v>
      </c>
      <c r="D1018" t="inlineStr">
        <is>
          <t>DALARNAS LÄN</t>
        </is>
      </c>
      <c r="E1018" t="inlineStr">
        <is>
          <t>ÄLVDALEN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760-2025</t>
        </is>
      </c>
      <c r="B1019" s="1" t="n">
        <v>45665</v>
      </c>
      <c r="C1019" s="1" t="n">
        <v>45812</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777-2025</t>
        </is>
      </c>
      <c r="B1020" s="1" t="n">
        <v>45665</v>
      </c>
      <c r="C1020" s="1" t="n">
        <v>45812</v>
      </c>
      <c r="D1020" t="inlineStr">
        <is>
          <t>DALARNAS LÄN</t>
        </is>
      </c>
      <c r="E1020" t="inlineStr">
        <is>
          <t>ÄLVDALEN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771-2025</t>
        </is>
      </c>
      <c r="B1021" s="1" t="n">
        <v>45665</v>
      </c>
      <c r="C1021" s="1" t="n">
        <v>45812</v>
      </c>
      <c r="D1021" t="inlineStr">
        <is>
          <t>DALARNAS LÄN</t>
        </is>
      </c>
      <c r="E1021" t="inlineStr">
        <is>
          <t>ÄLVDALEN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747-2025</t>
        </is>
      </c>
      <c r="B1022" s="1" t="n">
        <v>45665</v>
      </c>
      <c r="C1022" s="1" t="n">
        <v>45812</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1088-2025</t>
        </is>
      </c>
      <c r="B1023" s="1" t="n">
        <v>45666</v>
      </c>
      <c r="C1023" s="1" t="n">
        <v>45812</v>
      </c>
      <c r="D1023" t="inlineStr">
        <is>
          <t>DALARNAS LÄN</t>
        </is>
      </c>
      <c r="E1023" t="inlineStr">
        <is>
          <t>ÄLVDALEN</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1081-2025</t>
        </is>
      </c>
      <c r="B1024" s="1" t="n">
        <v>45666</v>
      </c>
      <c r="C1024" s="1" t="n">
        <v>45812</v>
      </c>
      <c r="D1024" t="inlineStr">
        <is>
          <t>DALARNAS LÄN</t>
        </is>
      </c>
      <c r="E1024" t="inlineStr">
        <is>
          <t>ÄLVDALEN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1333-2025</t>
        </is>
      </c>
      <c r="B1025" s="1" t="n">
        <v>45667</v>
      </c>
      <c r="C1025" s="1" t="n">
        <v>45812</v>
      </c>
      <c r="D1025" t="inlineStr">
        <is>
          <t>DALARNAS LÄN</t>
        </is>
      </c>
      <c r="E1025" t="inlineStr">
        <is>
          <t>ÄLVDALEN</t>
        </is>
      </c>
      <c r="G1025" t="n">
        <v>16.5</v>
      </c>
      <c r="H1025" t="n">
        <v>0</v>
      </c>
      <c r="I1025" t="n">
        <v>0</v>
      </c>
      <c r="J1025" t="n">
        <v>0</v>
      </c>
      <c r="K1025" t="n">
        <v>0</v>
      </c>
      <c r="L1025" t="n">
        <v>0</v>
      </c>
      <c r="M1025" t="n">
        <v>0</v>
      </c>
      <c r="N1025" t="n">
        <v>0</v>
      </c>
      <c r="O1025" t="n">
        <v>0</v>
      </c>
      <c r="P1025" t="n">
        <v>0</v>
      </c>
      <c r="Q1025" t="n">
        <v>0</v>
      </c>
      <c r="R1025" s="2" t="inlineStr"/>
    </row>
    <row r="1026" ht="15" customHeight="1">
      <c r="A1026" t="inlineStr">
        <is>
          <t>A 1725-2025</t>
        </is>
      </c>
      <c r="B1026" s="1" t="n">
        <v>45671</v>
      </c>
      <c r="C1026" s="1" t="n">
        <v>45812</v>
      </c>
      <c r="D1026" t="inlineStr">
        <is>
          <t>DALARNAS LÄN</t>
        </is>
      </c>
      <c r="E1026" t="inlineStr">
        <is>
          <t>ÄLVDALEN</t>
        </is>
      </c>
      <c r="F1026" t="inlineStr">
        <is>
          <t>Allmännings- och besparingsskogar</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2546-2025</t>
        </is>
      </c>
      <c r="B1027" s="1" t="n">
        <v>45674</v>
      </c>
      <c r="C1027" s="1" t="n">
        <v>45812</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3128-2025</t>
        </is>
      </c>
      <c r="B1028" s="1" t="n">
        <v>45678</v>
      </c>
      <c r="C1028" s="1" t="n">
        <v>45812</v>
      </c>
      <c r="D1028" t="inlineStr">
        <is>
          <t>DALARNAS LÄN</t>
        </is>
      </c>
      <c r="E1028" t="inlineStr">
        <is>
          <t>ÄLVDALEN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3196-2025</t>
        </is>
      </c>
      <c r="B1029" s="1" t="n">
        <v>45679</v>
      </c>
      <c r="C1029" s="1" t="n">
        <v>45812</v>
      </c>
      <c r="D1029" t="inlineStr">
        <is>
          <t>DALARNAS LÄN</t>
        </is>
      </c>
      <c r="E1029" t="inlineStr">
        <is>
          <t>ÄLVDALEN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5063-2025</t>
        </is>
      </c>
      <c r="B1030" s="1" t="n">
        <v>45691</v>
      </c>
      <c r="C1030" s="1" t="n">
        <v>45812</v>
      </c>
      <c r="D1030" t="inlineStr">
        <is>
          <t>DALARNAS LÄN</t>
        </is>
      </c>
      <c r="E1030" t="inlineStr">
        <is>
          <t>ÄLVDALEN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5583-2025</t>
        </is>
      </c>
      <c r="B1031" s="1" t="n">
        <v>45693</v>
      </c>
      <c r="C1031" s="1" t="n">
        <v>45812</v>
      </c>
      <c r="D1031" t="inlineStr">
        <is>
          <t>DALARNAS LÄN</t>
        </is>
      </c>
      <c r="E1031" t="inlineStr">
        <is>
          <t>ÄLVDALEN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6675-2025</t>
        </is>
      </c>
      <c r="B1032" s="1" t="n">
        <v>45700</v>
      </c>
      <c r="C1032" s="1" t="n">
        <v>45812</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6791-2025</t>
        </is>
      </c>
      <c r="B1033" s="1" t="n">
        <v>45700</v>
      </c>
      <c r="C1033" s="1" t="n">
        <v>45812</v>
      </c>
      <c r="D1033" t="inlineStr">
        <is>
          <t>DALARNAS LÄN</t>
        </is>
      </c>
      <c r="E1033" t="inlineStr">
        <is>
          <t>ÄLVDALEN</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7078-2025</t>
        </is>
      </c>
      <c r="B1034" s="1" t="n">
        <v>45701</v>
      </c>
      <c r="C1034" s="1" t="n">
        <v>45812</v>
      </c>
      <c r="D1034" t="inlineStr">
        <is>
          <t>DALARNAS LÄN</t>
        </is>
      </c>
      <c r="E1034" t="inlineStr">
        <is>
          <t>ÄLVDALEN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7232-2025</t>
        </is>
      </c>
      <c r="B1035" s="1" t="n">
        <v>45702</v>
      </c>
      <c r="C1035" s="1" t="n">
        <v>45812</v>
      </c>
      <c r="D1035" t="inlineStr">
        <is>
          <t>DALARNAS LÄN</t>
        </is>
      </c>
      <c r="E1035" t="inlineStr">
        <is>
          <t>ÄLVDALEN</t>
        </is>
      </c>
      <c r="F1035" t="inlineStr">
        <is>
          <t>Allmännings- och besparingsskogar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7217-2025</t>
        </is>
      </c>
      <c r="B1036" s="1" t="n">
        <v>45702</v>
      </c>
      <c r="C1036" s="1" t="n">
        <v>45812</v>
      </c>
      <c r="D1036" t="inlineStr">
        <is>
          <t>DALARNAS LÄN</t>
        </is>
      </c>
      <c r="E1036" t="inlineStr">
        <is>
          <t>ÄLVDALEN</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7219-2025</t>
        </is>
      </c>
      <c r="B1037" s="1" t="n">
        <v>45702</v>
      </c>
      <c r="C1037" s="1" t="n">
        <v>45812</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7511-2025</t>
        </is>
      </c>
      <c r="B1038" s="1" t="n">
        <v>45705</v>
      </c>
      <c r="C1038" s="1" t="n">
        <v>45812</v>
      </c>
      <c r="D1038" t="inlineStr">
        <is>
          <t>DALARNAS LÄN</t>
        </is>
      </c>
      <c r="E1038" t="inlineStr">
        <is>
          <t>ÄLVDALEN</t>
        </is>
      </c>
      <c r="F1038" t="inlineStr">
        <is>
          <t>Allmännings- och besparingsskogar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8069-2025</t>
        </is>
      </c>
      <c r="B1039" s="1" t="n">
        <v>45707</v>
      </c>
      <c r="C1039" s="1" t="n">
        <v>45812</v>
      </c>
      <c r="D1039" t="inlineStr">
        <is>
          <t>DALARNAS LÄN</t>
        </is>
      </c>
      <c r="E1039" t="inlineStr">
        <is>
          <t>ÄLVDALEN</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7937-2025</t>
        </is>
      </c>
      <c r="B1040" s="1" t="n">
        <v>45707</v>
      </c>
      <c r="C1040" s="1" t="n">
        <v>45812</v>
      </c>
      <c r="D1040" t="inlineStr">
        <is>
          <t>DALARNAS LÄN</t>
        </is>
      </c>
      <c r="E1040" t="inlineStr">
        <is>
          <t>ÄLVDALEN</t>
        </is>
      </c>
      <c r="F1040" t="inlineStr">
        <is>
          <t>Allmännings- och besparingsskogar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7917-2025</t>
        </is>
      </c>
      <c r="B1041" s="1" t="n">
        <v>45707</v>
      </c>
      <c r="C1041" s="1" t="n">
        <v>45812</v>
      </c>
      <c r="D1041" t="inlineStr">
        <is>
          <t>DALARNAS LÄN</t>
        </is>
      </c>
      <c r="E1041" t="inlineStr">
        <is>
          <t>ÄLVDALEN</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7913-2025</t>
        </is>
      </c>
      <c r="B1042" s="1" t="n">
        <v>45707</v>
      </c>
      <c r="C1042" s="1" t="n">
        <v>45812</v>
      </c>
      <c r="D1042" t="inlineStr">
        <is>
          <t>DALARNAS LÄN</t>
        </is>
      </c>
      <c r="E1042" t="inlineStr">
        <is>
          <t>ÄLVDALEN</t>
        </is>
      </c>
      <c r="F1042" t="inlineStr">
        <is>
          <t>Allmännings- och besparingsskogar</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8192-2025</t>
        </is>
      </c>
      <c r="B1043" s="1" t="n">
        <v>45708</v>
      </c>
      <c r="C1043" s="1" t="n">
        <v>45812</v>
      </c>
      <c r="D1043" t="inlineStr">
        <is>
          <t>DALARNAS LÄN</t>
        </is>
      </c>
      <c r="E1043" t="inlineStr">
        <is>
          <t>ÄLVDALEN</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8146-2025</t>
        </is>
      </c>
      <c r="B1044" s="1" t="n">
        <v>45708</v>
      </c>
      <c r="C1044" s="1" t="n">
        <v>45812</v>
      </c>
      <c r="D1044" t="inlineStr">
        <is>
          <t>DALARNAS LÄN</t>
        </is>
      </c>
      <c r="E1044" t="inlineStr">
        <is>
          <t>ÄLVDALEN</t>
        </is>
      </c>
      <c r="F1044" t="inlineStr">
        <is>
          <t>Allmännings- och besparingsskogar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8538-2025</t>
        </is>
      </c>
      <c r="B1045" s="1" t="n">
        <v>45709</v>
      </c>
      <c r="C1045" s="1" t="n">
        <v>45812</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8496-2025</t>
        </is>
      </c>
      <c r="B1046" s="1" t="n">
        <v>45709</v>
      </c>
      <c r="C1046" s="1" t="n">
        <v>45812</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8492-2025</t>
        </is>
      </c>
      <c r="B1047" s="1" t="n">
        <v>45709</v>
      </c>
      <c r="C1047" s="1" t="n">
        <v>45812</v>
      </c>
      <c r="D1047" t="inlineStr">
        <is>
          <t>DALARNAS LÄN</t>
        </is>
      </c>
      <c r="E1047" t="inlineStr">
        <is>
          <t>ÄLVDALEN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9045-2025</t>
        </is>
      </c>
      <c r="B1048" s="1" t="n">
        <v>45713</v>
      </c>
      <c r="C1048" s="1" t="n">
        <v>45812</v>
      </c>
      <c r="D1048" t="inlineStr">
        <is>
          <t>DALARNAS LÄN</t>
        </is>
      </c>
      <c r="E1048" t="inlineStr">
        <is>
          <t>ÄLVDALEN</t>
        </is>
      </c>
      <c r="F1048" t="inlineStr">
        <is>
          <t>Allmännings- och besparingsskogar</t>
        </is>
      </c>
      <c r="G1048" t="n">
        <v>39.1</v>
      </c>
      <c r="H1048" t="n">
        <v>0</v>
      </c>
      <c r="I1048" t="n">
        <v>0</v>
      </c>
      <c r="J1048" t="n">
        <v>0</v>
      </c>
      <c r="K1048" t="n">
        <v>0</v>
      </c>
      <c r="L1048" t="n">
        <v>0</v>
      </c>
      <c r="M1048" t="n">
        <v>0</v>
      </c>
      <c r="N1048" t="n">
        <v>0</v>
      </c>
      <c r="O1048" t="n">
        <v>0</v>
      </c>
      <c r="P1048" t="n">
        <v>0</v>
      </c>
      <c r="Q1048" t="n">
        <v>0</v>
      </c>
      <c r="R1048" s="2" t="inlineStr"/>
    </row>
    <row r="1049" ht="15" customHeight="1">
      <c r="A1049" t="inlineStr">
        <is>
          <t>A 8952-2025</t>
        </is>
      </c>
      <c r="B1049" s="1" t="n">
        <v>45713</v>
      </c>
      <c r="C1049" s="1" t="n">
        <v>45812</v>
      </c>
      <c r="D1049" t="inlineStr">
        <is>
          <t>DALARNAS LÄN</t>
        </is>
      </c>
      <c r="E1049" t="inlineStr">
        <is>
          <t>ÄLVDALEN</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8986-2025</t>
        </is>
      </c>
      <c r="B1050" s="1" t="n">
        <v>45713</v>
      </c>
      <c r="C1050" s="1" t="n">
        <v>45812</v>
      </c>
      <c r="D1050" t="inlineStr">
        <is>
          <t>DALARNAS LÄN</t>
        </is>
      </c>
      <c r="E1050" t="inlineStr">
        <is>
          <t>ÄLVDALEN</t>
        </is>
      </c>
      <c r="F1050" t="inlineStr">
        <is>
          <t>Allmännings- och besparingsskogar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10817-2025</t>
        </is>
      </c>
      <c r="B1051" s="1" t="n">
        <v>45722</v>
      </c>
      <c r="C1051" s="1" t="n">
        <v>45812</v>
      </c>
      <c r="D1051" t="inlineStr">
        <is>
          <t>DALARNAS LÄN</t>
        </is>
      </c>
      <c r="E1051" t="inlineStr">
        <is>
          <t>ÄLVDALEN</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10831-2025</t>
        </is>
      </c>
      <c r="B1052" s="1" t="n">
        <v>45722</v>
      </c>
      <c r="C1052" s="1" t="n">
        <v>45812</v>
      </c>
      <c r="D1052" t="inlineStr">
        <is>
          <t>DALARNAS LÄN</t>
        </is>
      </c>
      <c r="E1052" t="inlineStr">
        <is>
          <t>ÄLVDALEN</t>
        </is>
      </c>
      <c r="F1052" t="inlineStr">
        <is>
          <t>Kommuner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10758-2025</t>
        </is>
      </c>
      <c r="B1053" s="1" t="n">
        <v>45722</v>
      </c>
      <c r="C1053" s="1" t="n">
        <v>45812</v>
      </c>
      <c r="D1053" t="inlineStr">
        <is>
          <t>DALARNAS LÄN</t>
        </is>
      </c>
      <c r="E1053" t="inlineStr">
        <is>
          <t>ÄLVDALEN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12318-2025</t>
        </is>
      </c>
      <c r="B1054" s="1" t="n">
        <v>45729</v>
      </c>
      <c r="C1054" s="1" t="n">
        <v>45812</v>
      </c>
      <c r="D1054" t="inlineStr">
        <is>
          <t>DALARNAS LÄN</t>
        </is>
      </c>
      <c r="E1054" t="inlineStr">
        <is>
          <t>ÄLVDALEN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14489-2025</t>
        </is>
      </c>
      <c r="B1055" s="1" t="n">
        <v>45741</v>
      </c>
      <c r="C1055" s="1" t="n">
        <v>45812</v>
      </c>
      <c r="D1055" t="inlineStr">
        <is>
          <t>DALARNAS LÄN</t>
        </is>
      </c>
      <c r="E1055" t="inlineStr">
        <is>
          <t>ÄLVDALEN</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15363-2025</t>
        </is>
      </c>
      <c r="B1056" s="1" t="n">
        <v>45747</v>
      </c>
      <c r="C1056" s="1" t="n">
        <v>45812</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15738-2025</t>
        </is>
      </c>
      <c r="B1057" s="1" t="n">
        <v>45748</v>
      </c>
      <c r="C1057" s="1" t="n">
        <v>45812</v>
      </c>
      <c r="D1057" t="inlineStr">
        <is>
          <t>DALARNAS LÄN</t>
        </is>
      </c>
      <c r="E1057" t="inlineStr">
        <is>
          <t>ÄLVDALEN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16746-2025</t>
        </is>
      </c>
      <c r="B1058" s="1" t="n">
        <v>45754</v>
      </c>
      <c r="C1058" s="1" t="n">
        <v>45812</v>
      </c>
      <c r="D1058" t="inlineStr">
        <is>
          <t>DALARNAS LÄN</t>
        </is>
      </c>
      <c r="E1058" t="inlineStr">
        <is>
          <t>ÄLVDALEN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45812</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45812</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19587-2025</t>
        </is>
      </c>
      <c r="B1061" s="1" t="n">
        <v>45770</v>
      </c>
      <c r="C1061" s="1" t="n">
        <v>45812</v>
      </c>
      <c r="D1061" t="inlineStr">
        <is>
          <t>DALARNAS LÄN</t>
        </is>
      </c>
      <c r="E1061" t="inlineStr">
        <is>
          <t>ÄLVDALEN</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45812</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19527-2025</t>
        </is>
      </c>
      <c r="B1063" s="1" t="n">
        <v>45770</v>
      </c>
      <c r="C1063" s="1" t="n">
        <v>45812</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19567-2025</t>
        </is>
      </c>
      <c r="B1064" s="1" t="n">
        <v>45770</v>
      </c>
      <c r="C1064" s="1" t="n">
        <v>45812</v>
      </c>
      <c r="D1064" t="inlineStr">
        <is>
          <t>DALARNAS LÄN</t>
        </is>
      </c>
      <c r="E1064" t="inlineStr">
        <is>
          <t>ÄLVDALEN</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19589-2025</t>
        </is>
      </c>
      <c r="B1065" s="1" t="n">
        <v>45770</v>
      </c>
      <c r="C1065" s="1" t="n">
        <v>45812</v>
      </c>
      <c r="D1065" t="inlineStr">
        <is>
          <t>DALARNAS LÄN</t>
        </is>
      </c>
      <c r="E1065" t="inlineStr">
        <is>
          <t>ÄLVDALEN</t>
        </is>
      </c>
      <c r="F1065" t="inlineStr">
        <is>
          <t>Sveaskog</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19588-2025</t>
        </is>
      </c>
      <c r="B1066" s="1" t="n">
        <v>45770</v>
      </c>
      <c r="C1066" s="1" t="n">
        <v>45812</v>
      </c>
      <c r="D1066" t="inlineStr">
        <is>
          <t>DALARNAS LÄN</t>
        </is>
      </c>
      <c r="E1066" t="inlineStr">
        <is>
          <t>ÄLVDALEN</t>
        </is>
      </c>
      <c r="F1066" t="inlineStr">
        <is>
          <t>Sveaskog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20146-2025</t>
        </is>
      </c>
      <c r="B1067" s="1" t="n">
        <v>45772</v>
      </c>
      <c r="C1067" s="1" t="n">
        <v>45812</v>
      </c>
      <c r="D1067" t="inlineStr">
        <is>
          <t>DALARNAS LÄN</t>
        </is>
      </c>
      <c r="E1067" t="inlineStr">
        <is>
          <t>ÄLVDALEN</t>
        </is>
      </c>
      <c r="F1067" t="inlineStr">
        <is>
          <t>Allmännings- och besparingsskogar</t>
        </is>
      </c>
      <c r="G1067" t="n">
        <v>24.3</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45812</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20595-2025</t>
        </is>
      </c>
      <c r="B1069" s="1" t="n">
        <v>45775</v>
      </c>
      <c r="C1069" s="1" t="n">
        <v>45812</v>
      </c>
      <c r="D1069" t="inlineStr">
        <is>
          <t>DALARNAS LÄN</t>
        </is>
      </c>
      <c r="E1069" t="inlineStr">
        <is>
          <t>ÄLVDALEN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20924-2025</t>
        </is>
      </c>
      <c r="B1070" s="1" t="n">
        <v>45777</v>
      </c>
      <c r="C1070" s="1" t="n">
        <v>45812</v>
      </c>
      <c r="D1070" t="inlineStr">
        <is>
          <t>DALARNAS LÄN</t>
        </is>
      </c>
      <c r="E1070" t="inlineStr">
        <is>
          <t>ÄLVDALEN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21395-2025</t>
        </is>
      </c>
      <c r="B1071" s="1" t="n">
        <v>45782</v>
      </c>
      <c r="C1071" s="1" t="n">
        <v>45812</v>
      </c>
      <c r="D1071" t="inlineStr">
        <is>
          <t>DALARNAS LÄN</t>
        </is>
      </c>
      <c r="E1071" t="inlineStr">
        <is>
          <t>ÄLVDALEN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21613-2025</t>
        </is>
      </c>
      <c r="B1072" s="1" t="n">
        <v>45783</v>
      </c>
      <c r="C1072" s="1" t="n">
        <v>45812</v>
      </c>
      <c r="D1072" t="inlineStr">
        <is>
          <t>DALARNAS LÄN</t>
        </is>
      </c>
      <c r="E1072" t="inlineStr">
        <is>
          <t>ÄLVDALEN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21629-2025</t>
        </is>
      </c>
      <c r="B1073" s="1" t="n">
        <v>45783</v>
      </c>
      <c r="C1073" s="1" t="n">
        <v>45812</v>
      </c>
      <c r="D1073" t="inlineStr">
        <is>
          <t>DALARNAS LÄN</t>
        </is>
      </c>
      <c r="E1073" t="inlineStr">
        <is>
          <t>ÄLVDALEN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22189-2025</t>
        </is>
      </c>
      <c r="B1074" s="1" t="n">
        <v>45785</v>
      </c>
      <c r="C1074" s="1" t="n">
        <v>45812</v>
      </c>
      <c r="D1074" t="inlineStr">
        <is>
          <t>DALARNAS LÄN</t>
        </is>
      </c>
      <c r="E1074" t="inlineStr">
        <is>
          <t>ÄLVDALEN</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22291-2025</t>
        </is>
      </c>
      <c r="B1075" s="1" t="n">
        <v>45786</v>
      </c>
      <c r="C1075" s="1" t="n">
        <v>45812</v>
      </c>
      <c r="D1075" t="inlineStr">
        <is>
          <t>DALARNAS LÄN</t>
        </is>
      </c>
      <c r="E1075" t="inlineStr">
        <is>
          <t>ÄLVDALEN</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22303-2025</t>
        </is>
      </c>
      <c r="B1076" s="1" t="n">
        <v>45786</v>
      </c>
      <c r="C1076" s="1" t="n">
        <v>45812</v>
      </c>
      <c r="D1076" t="inlineStr">
        <is>
          <t>DALARNAS LÄN</t>
        </is>
      </c>
      <c r="E1076" t="inlineStr">
        <is>
          <t>ÄLVDALEN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22286-2025</t>
        </is>
      </c>
      <c r="B1077" s="1" t="n">
        <v>45786</v>
      </c>
      <c r="C1077" s="1" t="n">
        <v>45812</v>
      </c>
      <c r="D1077" t="inlineStr">
        <is>
          <t>DALARNAS LÄN</t>
        </is>
      </c>
      <c r="E1077" t="inlineStr">
        <is>
          <t>ÄLVDALEN</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22279-2025</t>
        </is>
      </c>
      <c r="B1078" s="1" t="n">
        <v>45786</v>
      </c>
      <c r="C1078" s="1" t="n">
        <v>45812</v>
      </c>
      <c r="D1078" t="inlineStr">
        <is>
          <t>DALARNAS LÄN</t>
        </is>
      </c>
      <c r="E1078" t="inlineStr">
        <is>
          <t>ÄLVDALEN</t>
        </is>
      </c>
      <c r="F1078" t="inlineStr">
        <is>
          <t>Allmännings- och besparingsskogar</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22631-2025</t>
        </is>
      </c>
      <c r="B1079" s="1" t="n">
        <v>45789</v>
      </c>
      <c r="C1079" s="1" t="n">
        <v>45812</v>
      </c>
      <c r="D1079" t="inlineStr">
        <is>
          <t>DALARNAS LÄN</t>
        </is>
      </c>
      <c r="E1079" t="inlineStr">
        <is>
          <t>ÄLVDALEN</t>
        </is>
      </c>
      <c r="F1079" t="inlineStr">
        <is>
          <t>Allmännings- och besparingsskogar</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22577-2025</t>
        </is>
      </c>
      <c r="B1080" s="1" t="n">
        <v>45789</v>
      </c>
      <c r="C1080" s="1" t="n">
        <v>45812</v>
      </c>
      <c r="D1080" t="inlineStr">
        <is>
          <t>DALARNAS LÄN</t>
        </is>
      </c>
      <c r="E1080" t="inlineStr">
        <is>
          <t>ÄLVDALEN</t>
        </is>
      </c>
      <c r="F1080" t="inlineStr">
        <is>
          <t>Allmännings- och besparingsskogar</t>
        </is>
      </c>
      <c r="G1080" t="n">
        <v>18.1</v>
      </c>
      <c r="H1080" t="n">
        <v>0</v>
      </c>
      <c r="I1080" t="n">
        <v>0</v>
      </c>
      <c r="J1080" t="n">
        <v>0</v>
      </c>
      <c r="K1080" t="n">
        <v>0</v>
      </c>
      <c r="L1080" t="n">
        <v>0</v>
      </c>
      <c r="M1080" t="n">
        <v>0</v>
      </c>
      <c r="N1080" t="n">
        <v>0</v>
      </c>
      <c r="O1080" t="n">
        <v>0</v>
      </c>
      <c r="P1080" t="n">
        <v>0</v>
      </c>
      <c r="Q1080" t="n">
        <v>0</v>
      </c>
      <c r="R1080" s="2" t="inlineStr"/>
    </row>
    <row r="1081" ht="15" customHeight="1">
      <c r="A1081" t="inlineStr">
        <is>
          <t>A 22559-2025</t>
        </is>
      </c>
      <c r="B1081" s="1" t="n">
        <v>45789</v>
      </c>
      <c r="C1081" s="1" t="n">
        <v>45812</v>
      </c>
      <c r="D1081" t="inlineStr">
        <is>
          <t>DALARNAS LÄN</t>
        </is>
      </c>
      <c r="E1081" t="inlineStr">
        <is>
          <t>ÄLVDALEN</t>
        </is>
      </c>
      <c r="F1081" t="inlineStr">
        <is>
          <t>Allmännings- och besparingsskogar</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22909-2025</t>
        </is>
      </c>
      <c r="B1082" s="1" t="n">
        <v>45790</v>
      </c>
      <c r="C1082" s="1" t="n">
        <v>45812</v>
      </c>
      <c r="D1082" t="inlineStr">
        <is>
          <t>DALARNAS LÄN</t>
        </is>
      </c>
      <c r="E1082" t="inlineStr">
        <is>
          <t>ÄLVDALEN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23219-2025</t>
        </is>
      </c>
      <c r="B1083" s="1" t="n">
        <v>45791</v>
      </c>
      <c r="C1083" s="1" t="n">
        <v>45812</v>
      </c>
      <c r="D1083" t="inlineStr">
        <is>
          <t>DALARNAS LÄN</t>
        </is>
      </c>
      <c r="E1083" t="inlineStr">
        <is>
          <t>ÄLVDALEN</t>
        </is>
      </c>
      <c r="F1083" t="inlineStr">
        <is>
          <t>Bergvik skog öst AB</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23555-2025</t>
        </is>
      </c>
      <c r="B1084" s="1" t="n">
        <v>45792</v>
      </c>
      <c r="C1084" s="1" t="n">
        <v>45812</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23427-2025</t>
        </is>
      </c>
      <c r="B1085" s="1" t="n">
        <v>45792</v>
      </c>
      <c r="C1085" s="1" t="n">
        <v>45812</v>
      </c>
      <c r="D1085" t="inlineStr">
        <is>
          <t>DALARNAS LÄN</t>
        </is>
      </c>
      <c r="E1085" t="inlineStr">
        <is>
          <t>ÄLVDALEN</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24637-2025</t>
        </is>
      </c>
      <c r="B1086" s="1" t="n">
        <v>45798</v>
      </c>
      <c r="C1086" s="1" t="n">
        <v>45812</v>
      </c>
      <c r="D1086" t="inlineStr">
        <is>
          <t>DALARNAS LÄN</t>
        </is>
      </c>
      <c r="E1086" t="inlineStr">
        <is>
          <t>ÄLVDALEN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24806-2025</t>
        </is>
      </c>
      <c r="B1087" s="1" t="n">
        <v>45799</v>
      </c>
      <c r="C1087" s="1" t="n">
        <v>45812</v>
      </c>
      <c r="D1087" t="inlineStr">
        <is>
          <t>DALARNAS LÄN</t>
        </is>
      </c>
      <c r="E1087" t="inlineStr">
        <is>
          <t>ÄLVDALEN</t>
        </is>
      </c>
      <c r="F1087" t="inlineStr">
        <is>
          <t>Allmännings- och besparingsskogar</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24950-2025</t>
        </is>
      </c>
      <c r="B1088" s="1" t="n">
        <v>45799</v>
      </c>
      <c r="C1088" s="1" t="n">
        <v>45812</v>
      </c>
      <c r="D1088" t="inlineStr">
        <is>
          <t>DALARNAS LÄN</t>
        </is>
      </c>
      <c r="E1088" t="inlineStr">
        <is>
          <t>ÄLVDALEN</t>
        </is>
      </c>
      <c r="F1088" t="inlineStr">
        <is>
          <t>Sveaskog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25086-2025</t>
        </is>
      </c>
      <c r="B1089" s="1" t="n">
        <v>45800</v>
      </c>
      <c r="C1089" s="1" t="n">
        <v>45812</v>
      </c>
      <c r="D1089" t="inlineStr">
        <is>
          <t>DALARNAS LÄN</t>
        </is>
      </c>
      <c r="E1089" t="inlineStr">
        <is>
          <t>ÄLVDALEN</t>
        </is>
      </c>
      <c r="F1089" t="inlineStr">
        <is>
          <t>Sveaskog</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25649-2025</t>
        </is>
      </c>
      <c r="B1090" s="1" t="n">
        <v>45803</v>
      </c>
      <c r="C1090" s="1" t="n">
        <v>45812</v>
      </c>
      <c r="D1090" t="inlineStr">
        <is>
          <t>DALARNAS LÄN</t>
        </is>
      </c>
      <c r="E1090" t="inlineStr">
        <is>
          <t>ÄLVDALEN</t>
        </is>
      </c>
      <c r="F1090" t="inlineStr">
        <is>
          <t>Allmännings- och besparingsskogar</t>
        </is>
      </c>
      <c r="G1090" t="n">
        <v>31.3</v>
      </c>
      <c r="H1090" t="n">
        <v>0</v>
      </c>
      <c r="I1090" t="n">
        <v>0</v>
      </c>
      <c r="J1090" t="n">
        <v>0</v>
      </c>
      <c r="K1090" t="n">
        <v>0</v>
      </c>
      <c r="L1090" t="n">
        <v>0</v>
      </c>
      <c r="M1090" t="n">
        <v>0</v>
      </c>
      <c r="N1090" t="n">
        <v>0</v>
      </c>
      <c r="O1090" t="n">
        <v>0</v>
      </c>
      <c r="P1090" t="n">
        <v>0</v>
      </c>
      <c r="Q1090" t="n">
        <v>0</v>
      </c>
      <c r="R1090" s="2" t="inlineStr"/>
    </row>
    <row r="1091" ht="15" customHeight="1">
      <c r="A1091" t="inlineStr">
        <is>
          <t>A 25754-2025</t>
        </is>
      </c>
      <c r="B1091" s="1" t="n">
        <v>45804</v>
      </c>
      <c r="C1091" s="1" t="n">
        <v>45812</v>
      </c>
      <c r="D1091" t="inlineStr">
        <is>
          <t>DALARNAS LÄN</t>
        </is>
      </c>
      <c r="E1091" t="inlineStr">
        <is>
          <t>ÄLVDALEN</t>
        </is>
      </c>
      <c r="F1091" t="inlineStr">
        <is>
          <t>Kommuner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25823-2025</t>
        </is>
      </c>
      <c r="B1092" s="1" t="n">
        <v>45804</v>
      </c>
      <c r="C1092" s="1" t="n">
        <v>45812</v>
      </c>
      <c r="D1092" t="inlineStr">
        <is>
          <t>DALARNAS LÄN</t>
        </is>
      </c>
      <c r="E1092" t="inlineStr">
        <is>
          <t>ÄLVDALEN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25879-2025</t>
        </is>
      </c>
      <c r="B1093" s="1" t="n">
        <v>45804</v>
      </c>
      <c r="C1093" s="1" t="n">
        <v>45812</v>
      </c>
      <c r="D1093" t="inlineStr">
        <is>
          <t>DALARNAS LÄN</t>
        </is>
      </c>
      <c r="E1093" t="inlineStr">
        <is>
          <t>ÄLVDALEN</t>
        </is>
      </c>
      <c r="F1093" t="inlineStr">
        <is>
          <t>Allmännings- och besparingsskogar</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25758-2025</t>
        </is>
      </c>
      <c r="B1094" s="1" t="n">
        <v>45804</v>
      </c>
      <c r="C1094" s="1" t="n">
        <v>45812</v>
      </c>
      <c r="D1094" t="inlineStr">
        <is>
          <t>DALARNAS LÄN</t>
        </is>
      </c>
      <c r="E1094" t="inlineStr">
        <is>
          <t>ÄLVDALEN</t>
        </is>
      </c>
      <c r="F1094" t="inlineStr">
        <is>
          <t>Kommuner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26140-2025</t>
        </is>
      </c>
      <c r="B1095" s="1" t="n">
        <v>45805</v>
      </c>
      <c r="C1095" s="1" t="n">
        <v>45812</v>
      </c>
      <c r="D1095" t="inlineStr">
        <is>
          <t>DALARNAS LÄN</t>
        </is>
      </c>
      <c r="E1095" t="inlineStr">
        <is>
          <t>ÄLVDALEN</t>
        </is>
      </c>
      <c r="F1095" t="inlineStr">
        <is>
          <t>Allmännings- och besparingsskogar</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26285-2025</t>
        </is>
      </c>
      <c r="B1096" s="1" t="n">
        <v>45805</v>
      </c>
      <c r="C1096" s="1" t="n">
        <v>45812</v>
      </c>
      <c r="D1096" t="inlineStr">
        <is>
          <t>DALARNAS LÄN</t>
        </is>
      </c>
      <c r="E1096" t="inlineStr">
        <is>
          <t>ÄLVDALEN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26751-2025</t>
        </is>
      </c>
      <c r="B1097" s="1" t="n">
        <v>45810</v>
      </c>
      <c r="C1097" s="1" t="n">
        <v>45812</v>
      </c>
      <c r="D1097" t="inlineStr">
        <is>
          <t>DALARNAS LÄN</t>
        </is>
      </c>
      <c r="E1097" t="inlineStr">
        <is>
          <t>ÄLVDALEN</t>
        </is>
      </c>
      <c r="F1097" t="inlineStr">
        <is>
          <t>Allmännings- och besparingsskogar</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26765-2025</t>
        </is>
      </c>
      <c r="B1098" s="1" t="n">
        <v>45810</v>
      </c>
      <c r="C1098" s="1" t="n">
        <v>45812</v>
      </c>
      <c r="D1098" t="inlineStr">
        <is>
          <t>DALARNAS LÄN</t>
        </is>
      </c>
      <c r="E1098" t="inlineStr">
        <is>
          <t>ÄLVDALEN</t>
        </is>
      </c>
      <c r="F1098" t="inlineStr">
        <is>
          <t>Allmännings- och besparingsskogar</t>
        </is>
      </c>
      <c r="G1098" t="n">
        <v>17.5</v>
      </c>
      <c r="H1098" t="n">
        <v>0</v>
      </c>
      <c r="I1098" t="n">
        <v>0</v>
      </c>
      <c r="J1098" t="n">
        <v>0</v>
      </c>
      <c r="K1098" t="n">
        <v>0</v>
      </c>
      <c r="L1098" t="n">
        <v>0</v>
      </c>
      <c r="M1098" t="n">
        <v>0</v>
      </c>
      <c r="N1098" t="n">
        <v>0</v>
      </c>
      <c r="O1098" t="n">
        <v>0</v>
      </c>
      <c r="P1098" t="n">
        <v>0</v>
      </c>
      <c r="Q1098" t="n">
        <v>0</v>
      </c>
      <c r="R1098" s="2" t="inlineStr"/>
    </row>
    <row r="1099" ht="15" customHeight="1">
      <c r="A1099" t="inlineStr">
        <is>
          <t>A 26704-2025</t>
        </is>
      </c>
      <c r="B1099" s="1" t="n">
        <v>45810</v>
      </c>
      <c r="C1099" s="1" t="n">
        <v>45812</v>
      </c>
      <c r="D1099" t="inlineStr">
        <is>
          <t>DALARNAS LÄN</t>
        </is>
      </c>
      <c r="E1099" t="inlineStr">
        <is>
          <t>ÄLVDALEN</t>
        </is>
      </c>
      <c r="F1099" t="inlineStr">
        <is>
          <t>Bergvik skog väst AB</t>
        </is>
      </c>
      <c r="G1099" t="n">
        <v>32.3</v>
      </c>
      <c r="H1099" t="n">
        <v>0</v>
      </c>
      <c r="I1099" t="n">
        <v>0</v>
      </c>
      <c r="J1099" t="n">
        <v>0</v>
      </c>
      <c r="K1099" t="n">
        <v>0</v>
      </c>
      <c r="L1099" t="n">
        <v>0</v>
      </c>
      <c r="M1099" t="n">
        <v>0</v>
      </c>
      <c r="N1099" t="n">
        <v>0</v>
      </c>
      <c r="O1099" t="n">
        <v>0</v>
      </c>
      <c r="P1099" t="n">
        <v>0</v>
      </c>
      <c r="Q1099" t="n">
        <v>0</v>
      </c>
      <c r="R1099" s="2" t="inlineStr"/>
    </row>
    <row r="1100">
      <c r="A1100" t="inlineStr">
        <is>
          <t>A 27090-2025</t>
        </is>
      </c>
      <c r="B1100" s="1" t="n">
        <v>45811</v>
      </c>
      <c r="C1100" s="1" t="n">
        <v>45812</v>
      </c>
      <c r="D1100" t="inlineStr">
        <is>
          <t>DALARNAS LÄN</t>
        </is>
      </c>
      <c r="E1100" t="inlineStr">
        <is>
          <t>ÄLVDALEN</t>
        </is>
      </c>
      <c r="G1100" t="n">
        <v>2.3</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2025-06-04T18:15:30Z</dcterms:created>
  <dcterms:modified xmlns:dcterms="http://purl.org/dc/terms/" xmlns:xsi="http://www.w3.org/2001/XMLSchema-instance" xsi:type="dcterms:W3CDTF">2025-06-04T18:15:31Z</dcterms:modified>
</cp:coreProperties>
</file>