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46217</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46217</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46217</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46217</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46217</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46217</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25649-2025</t>
        </is>
      </c>
      <c r="B8" t="inlineStr">
        <is>
          <t>avverkningsanmälan</t>
        </is>
      </c>
      <c r="C8" t="inlineStr">
        <is>
          <t>Föryngringsavverkning</t>
        </is>
      </c>
      <c r="D8" s="1" t="n">
        <v>45803</v>
      </c>
      <c r="E8" s="1" t="n">
        <v>46217</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8">
        <f>HYPERLINK("https://klasma.github.io/Logging_2039/artfynd/A 25649-2025 artfynd.xlsx", "A 25649-2025")</f>
        <v/>
      </c>
      <c r="W8">
        <f>HYPERLINK("https://klasma.github.io/Logging_2039/kartor/A 25649-2025 karta.png", "A 25649-2025")</f>
        <v/>
      </c>
      <c r="Y8">
        <f>HYPERLINK("https://klasma.github.io/Logging_2039/klagomål/A 25649-2025 FSC-klagomål.docx", "A 25649-2025")</f>
        <v/>
      </c>
      <c r="Z8">
        <f>HYPERLINK("https://klasma.github.io/Logging_2039/klagomålsmail/A 25649-2025 FSC-klagomål mail.docx", "A 25649-2025")</f>
        <v/>
      </c>
      <c r="AA8">
        <f>HYPERLINK("https://klasma.github.io/Logging_2039/tillsyn/A 25649-2025 tillsynsbegäran.docx", "A 25649-2025")</f>
        <v/>
      </c>
      <c r="AB8">
        <f>HYPERLINK("https://klasma.github.io/Logging_2039/tillsynsmail/A 25649-2025 tillsynsbegäran mail.docx", "A 25649-2025")</f>
        <v/>
      </c>
      <c r="AC8">
        <f>HYPERLINK("https://klasma.github.io/Logging_2039/fåglar/A 25649-2025 prioriterade fågelarter.docx", "A 25649-2025")</f>
        <v/>
      </c>
    </row>
    <row r="9" ht="15" customHeight="1">
      <c r="A9" t="inlineStr">
        <is>
          <t>A 23203-2026</t>
        </is>
      </c>
      <c r="B9" t="inlineStr">
        <is>
          <t>avverkningsanmälan</t>
        </is>
      </c>
      <c r="C9" t="inlineStr">
        <is>
          <t>Föryngringsavverkning</t>
        </is>
      </c>
      <c r="D9" s="1" t="n">
        <v>46162</v>
      </c>
      <c r="E9" s="1" t="n">
        <v>46217</v>
      </c>
      <c r="F9" t="inlineStr">
        <is>
          <t>DALARNAS LÄN</t>
        </is>
      </c>
      <c r="G9" t="inlineStr">
        <is>
          <t>ÄLVDALEN</t>
        </is>
      </c>
      <c r="H9" t="inlineStr">
        <is>
          <t>Sveaskog</t>
        </is>
      </c>
      <c r="I9" t="n">
        <v>21.4</v>
      </c>
      <c r="J9" t="n">
        <v>3</v>
      </c>
      <c r="K9" t="n">
        <v>3</v>
      </c>
      <c r="L9" t="n">
        <v>14</v>
      </c>
      <c r="M9" t="n">
        <v>4</v>
      </c>
      <c r="N9" t="n">
        <v>0</v>
      </c>
      <c r="O9" t="n">
        <v>0</v>
      </c>
      <c r="P9" t="n">
        <v>0</v>
      </c>
      <c r="Q9" t="n">
        <v>18</v>
      </c>
      <c r="R9" t="n">
        <v>4</v>
      </c>
      <c r="S9" t="n">
        <v>22</v>
      </c>
      <c r="T9" t="n">
        <v>174</v>
      </c>
      <c r="U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9">
        <f>HYPERLINK("https://klasma.github.io/Logging_2039/artfynd/A 23203-2026 artfynd.xlsx", "A 23203-2026")</f>
        <v/>
      </c>
      <c r="W9">
        <f>HYPERLINK("https://klasma.github.io/Logging_2039/kartor/A 23203-2026 karta.png", "A 23203-2026")</f>
        <v/>
      </c>
      <c r="Y9">
        <f>HYPERLINK("https://klasma.github.io/Logging_2039/klagomål/A 23203-2026 FSC-klagomål.docx", "A 23203-2026")</f>
        <v/>
      </c>
      <c r="Z9">
        <f>HYPERLINK("https://klasma.github.io/Logging_2039/klagomålsmail/A 23203-2026 FSC-klagomål mail.docx", "A 23203-2026")</f>
        <v/>
      </c>
      <c r="AA9">
        <f>HYPERLINK("https://klasma.github.io/Logging_2039/tillsyn/A 23203-2026 tillsynsbegäran.docx", "A 23203-2026")</f>
        <v/>
      </c>
      <c r="AB9">
        <f>HYPERLINK("https://klasma.github.io/Logging_2039/tillsynsmail/A 23203-2026 tillsynsbegäran mail.docx", "A 23203-2026")</f>
        <v/>
      </c>
      <c r="AC9">
        <f>HYPERLINK("https://klasma.github.io/Logging_2039/fåglar/A 23203-2026 prioriterade fågelarter.docx", "A 23203-2026")</f>
        <v/>
      </c>
    </row>
    <row r="10" ht="15" customHeight="1">
      <c r="A10" t="inlineStr">
        <is>
          <t>A 6679-2025</t>
        </is>
      </c>
      <c r="B10" t="inlineStr">
        <is>
          <t>avverkningsanmälan</t>
        </is>
      </c>
      <c r="C10" t="inlineStr">
        <is>
          <t>Föryngringsavverkning</t>
        </is>
      </c>
      <c r="D10" s="1" t="n">
        <v>45700</v>
      </c>
      <c r="E10" s="1" t="n">
        <v>46217</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10">
        <f>HYPERLINK("https://klasma.github.io/Logging_2039/artfynd/A 6679-2025 artfynd.xlsx", "A 6679-2025")</f>
        <v/>
      </c>
      <c r="W10">
        <f>HYPERLINK("https://klasma.github.io/Logging_2039/kartor/A 6679-2025 karta.png", "A 6679-2025")</f>
        <v/>
      </c>
      <c r="Y10">
        <f>HYPERLINK("https://klasma.github.io/Logging_2039/klagomål/A 6679-2025 FSC-klagomål.docx", "A 6679-2025")</f>
        <v/>
      </c>
      <c r="Z10">
        <f>HYPERLINK("https://klasma.github.io/Logging_2039/klagomålsmail/A 6679-2025 FSC-klagomål mail.docx", "A 6679-2025")</f>
        <v/>
      </c>
      <c r="AA10">
        <f>HYPERLINK("https://klasma.github.io/Logging_2039/tillsyn/A 6679-2025 tillsynsbegäran.docx", "A 6679-2025")</f>
        <v/>
      </c>
      <c r="AB10">
        <f>HYPERLINK("https://klasma.github.io/Logging_2039/tillsynsmail/A 6679-2025 tillsynsbegäran mail.docx", "A 6679-2025")</f>
        <v/>
      </c>
      <c r="AC10">
        <f>HYPERLINK("https://klasma.github.io/Logging_2039/fåglar/A 6679-2025 prioriterade fågelarter.docx", "A 6679-2025")</f>
        <v/>
      </c>
    </row>
    <row r="11" ht="15" customHeight="1">
      <c r="A11" t="inlineStr">
        <is>
          <t>A 29779-2025</t>
        </is>
      </c>
      <c r="B11" t="inlineStr">
        <is>
          <t>avverkningsanmälan</t>
        </is>
      </c>
      <c r="C11" t="inlineStr">
        <is>
          <t>Föryngringsavverkning</t>
        </is>
      </c>
      <c r="D11" s="1" t="n">
        <v>45825</v>
      </c>
      <c r="E11" s="1" t="n">
        <v>46217</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1">
        <f>HYPERLINK("https://klasma.github.io/Logging_2039/artfynd/A 29779-2025 artfynd.xlsx", "A 29779-2025")</f>
        <v/>
      </c>
      <c r="W11">
        <f>HYPERLINK("https://klasma.github.io/Logging_2039/kartor/A 29779-2025 karta.png", "A 29779-2025")</f>
        <v/>
      </c>
      <c r="Y11">
        <f>HYPERLINK("https://klasma.github.io/Logging_2039/klagomål/A 29779-2025 FSC-klagomål.docx", "A 29779-2025")</f>
        <v/>
      </c>
      <c r="Z11">
        <f>HYPERLINK("https://klasma.github.io/Logging_2039/klagomålsmail/A 29779-2025 FSC-klagomål mail.docx", "A 29779-2025")</f>
        <v/>
      </c>
      <c r="AA11">
        <f>HYPERLINK("https://klasma.github.io/Logging_2039/tillsyn/A 29779-2025 tillsynsbegäran.docx", "A 29779-2025")</f>
        <v/>
      </c>
      <c r="AB11">
        <f>HYPERLINK("https://klasma.github.io/Logging_2039/tillsynsmail/A 29779-2025 tillsynsbegäran mail.docx", "A 29779-2025")</f>
        <v/>
      </c>
      <c r="AC11">
        <f>HYPERLINK("https://klasma.github.io/Logging_2039/fåglar/A 29779-2025 prioriterade fågelarter.docx", "A 29779-2025")</f>
        <v/>
      </c>
    </row>
    <row r="12" ht="15" customHeight="1">
      <c r="A12" t="inlineStr">
        <is>
          <t>A 30241-2023</t>
        </is>
      </c>
      <c r="B12" t="inlineStr">
        <is>
          <t>avverkningsanmälan</t>
        </is>
      </c>
      <c r="C12" t="inlineStr">
        <is>
          <t>Föryngringsavverkning</t>
        </is>
      </c>
      <c r="D12" s="1" t="n">
        <v>45110</v>
      </c>
      <c r="E12" s="1" t="n">
        <v>46217</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2">
        <f>HYPERLINK("https://klasma.github.io/Logging_2039/artfynd/A 30241-2023 artfynd.xlsx", "A 30241-2023")</f>
        <v/>
      </c>
      <c r="W12">
        <f>HYPERLINK("https://klasma.github.io/Logging_2039/kartor/A 30241-2023 karta.png", "A 30241-2023")</f>
        <v/>
      </c>
      <c r="Y12">
        <f>HYPERLINK("https://klasma.github.io/Logging_2039/klagomål/A 30241-2023 FSC-klagomål.docx", "A 30241-2023")</f>
        <v/>
      </c>
      <c r="Z12">
        <f>HYPERLINK("https://klasma.github.io/Logging_2039/klagomålsmail/A 30241-2023 FSC-klagomål mail.docx", "A 30241-2023")</f>
        <v/>
      </c>
      <c r="AA12">
        <f>HYPERLINK("https://klasma.github.io/Logging_2039/tillsyn/A 30241-2023 tillsynsbegäran.docx", "A 30241-2023")</f>
        <v/>
      </c>
      <c r="AB12">
        <f>HYPERLINK("https://klasma.github.io/Logging_2039/tillsynsmail/A 30241-2023 tillsynsbegäran mail.docx", "A 30241-2023")</f>
        <v/>
      </c>
      <c r="AC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46217</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3">
        <f>HYPERLINK("https://klasma.github.io/Logging_2039/artfynd/A 34215-2024 artfynd.xlsx", "A 34215-2024")</f>
        <v/>
      </c>
      <c r="W13">
        <f>HYPERLINK("https://klasma.github.io/Logging_2039/kartor/A 34215-2024 karta.png", "A 34215-2024")</f>
        <v/>
      </c>
      <c r="Y13">
        <f>HYPERLINK("https://klasma.github.io/Logging_2039/klagomål/A 34215-2024 FSC-klagomål.docx", "A 34215-2024")</f>
        <v/>
      </c>
      <c r="Z13">
        <f>HYPERLINK("https://klasma.github.io/Logging_2039/klagomålsmail/A 34215-2024 FSC-klagomål mail.docx", "A 34215-2024")</f>
        <v/>
      </c>
      <c r="AA13">
        <f>HYPERLINK("https://klasma.github.io/Logging_2039/tillsyn/A 34215-2024 tillsynsbegäran.docx", "A 34215-2024")</f>
        <v/>
      </c>
      <c r="AB13">
        <f>HYPERLINK("https://klasma.github.io/Logging_2039/tillsynsmail/A 34215-2024 tillsynsbegäran mail.docx", "A 34215-2024")</f>
        <v/>
      </c>
      <c r="AC13">
        <f>HYPERLINK("https://klasma.github.io/Logging_2039/fåglar/A 34215-2024 prioriterade fågelarter.docx", "A 34215-2024")</f>
        <v/>
      </c>
    </row>
    <row r="14" ht="15" customHeight="1">
      <c r="A14" t="inlineStr">
        <is>
          <t>A 31144-2024</t>
        </is>
      </c>
      <c r="B14" t="inlineStr">
        <is>
          <t>avverkningsanmälan</t>
        </is>
      </c>
      <c r="C14" t="inlineStr">
        <is>
          <t>Föryngringsavverkning</t>
        </is>
      </c>
      <c r="D14" s="1" t="n">
        <v>45502</v>
      </c>
      <c r="E14" s="1" t="n">
        <v>46217</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4">
        <f>HYPERLINK("https://klasma.github.io/Logging_2039/artfynd/A 31144-2024 artfynd.xlsx", "A 31144-2024")</f>
        <v/>
      </c>
      <c r="W14">
        <f>HYPERLINK("https://klasma.github.io/Logging_2039/kartor/A 31144-2024 karta.png", "A 31144-2024")</f>
        <v/>
      </c>
      <c r="Y14">
        <f>HYPERLINK("https://klasma.github.io/Logging_2039/klagomål/A 31144-2024 FSC-klagomål.docx", "A 31144-2024")</f>
        <v/>
      </c>
      <c r="Z14">
        <f>HYPERLINK("https://klasma.github.io/Logging_2039/klagomålsmail/A 31144-2024 FSC-klagomål mail.docx", "A 31144-2024")</f>
        <v/>
      </c>
      <c r="AA14">
        <f>HYPERLINK("https://klasma.github.io/Logging_2039/tillsyn/A 31144-2024 tillsynsbegäran.docx", "A 31144-2024")</f>
        <v/>
      </c>
      <c r="AB14">
        <f>HYPERLINK("https://klasma.github.io/Logging_2039/tillsynsmail/A 31144-2024 tillsynsbegäran mail.docx", "A 31144-2024")</f>
        <v/>
      </c>
      <c r="AC14">
        <f>HYPERLINK("https://klasma.github.io/Logging_2039/fåglar/A 31144-2024 prioriterade fågelarter.docx", "A 31144-2024")</f>
        <v/>
      </c>
    </row>
    <row r="15" ht="15" customHeight="1">
      <c r="A15" t="inlineStr">
        <is>
          <t>A 31476-2025</t>
        </is>
      </c>
      <c r="B15" t="inlineStr">
        <is>
          <t>avverkningsanmälan</t>
        </is>
      </c>
      <c r="C15" t="inlineStr">
        <is>
          <t>Föryngringsavverkning</t>
        </is>
      </c>
      <c r="D15" s="1" t="n">
        <v>45833</v>
      </c>
      <c r="E15" s="1" t="n">
        <v>46217</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5">
        <f>HYPERLINK("https://klasma.github.io/Logging_2039/artfynd/A 31476-2025 artfynd.xlsx", "A 31476-2025")</f>
        <v/>
      </c>
      <c r="W15">
        <f>HYPERLINK("https://klasma.github.io/Logging_2039/kartor/A 31476-2025 karta.png", "A 31476-2025")</f>
        <v/>
      </c>
      <c r="Y15">
        <f>HYPERLINK("https://klasma.github.io/Logging_2039/klagomål/A 31476-2025 FSC-klagomål.docx", "A 31476-2025")</f>
        <v/>
      </c>
      <c r="Z15">
        <f>HYPERLINK("https://klasma.github.io/Logging_2039/klagomålsmail/A 31476-2025 FSC-klagomål mail.docx", "A 31476-2025")</f>
        <v/>
      </c>
      <c r="AA15">
        <f>HYPERLINK("https://klasma.github.io/Logging_2039/tillsyn/A 31476-2025 tillsynsbegäran.docx", "A 31476-2025")</f>
        <v/>
      </c>
      <c r="AB15">
        <f>HYPERLINK("https://klasma.github.io/Logging_2039/tillsynsmail/A 31476-2025 tillsynsbegäran mail.docx", "A 31476-2025")</f>
        <v/>
      </c>
    </row>
    <row r="16" ht="15" customHeight="1">
      <c r="A16" t="inlineStr">
        <is>
          <t>A 46800-2025</t>
        </is>
      </c>
      <c r="B16" t="inlineStr">
        <is>
          <t>avverkningsanmälan</t>
        </is>
      </c>
      <c r="C16" t="inlineStr">
        <is>
          <t>Föryngringsavverkning</t>
        </is>
      </c>
      <c r="D16" s="1" t="n">
        <v>45926</v>
      </c>
      <c r="E16" s="1" t="n">
        <v>46217</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55981-2025</t>
        </is>
      </c>
      <c r="B17" t="inlineStr">
        <is>
          <t>avverkningsanmälan</t>
        </is>
      </c>
      <c r="C17" t="inlineStr">
        <is>
          <t>Föryngringsavverkning</t>
        </is>
      </c>
      <c r="D17" s="1" t="n">
        <v>45973</v>
      </c>
      <c r="E17" s="1" t="n">
        <v>46217</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7">
        <f>HYPERLINK("https://klasma.github.io/Logging_2039/artfynd/A 55981-2025 artfynd.xlsx", "A 55981-2025")</f>
        <v/>
      </c>
      <c r="W17">
        <f>HYPERLINK("https://klasma.github.io/Logging_2039/kartor/A 55981-2025 karta.png", "A 55981-2025")</f>
        <v/>
      </c>
      <c r="Y17">
        <f>HYPERLINK("https://klasma.github.io/Logging_2039/klagomål/A 55981-2025 FSC-klagomål.docx", "A 55981-2025")</f>
        <v/>
      </c>
      <c r="Z17">
        <f>HYPERLINK("https://klasma.github.io/Logging_2039/klagomålsmail/A 55981-2025 FSC-klagomål mail.docx", "A 55981-2025")</f>
        <v/>
      </c>
      <c r="AA17">
        <f>HYPERLINK("https://klasma.github.io/Logging_2039/tillsyn/A 55981-2025 tillsynsbegäran.docx", "A 55981-2025")</f>
        <v/>
      </c>
      <c r="AB17">
        <f>HYPERLINK("https://klasma.github.io/Logging_2039/tillsynsmail/A 55981-2025 tillsynsbegäran mail.docx", "A 55981-2025")</f>
        <v/>
      </c>
      <c r="AC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46217</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Y18">
        <f>HYPERLINK("https://klasma.github.io/Logging_2039/klagomål/A 50497-2025 FSC-klagomål.docx", "A 50497-2025")</f>
        <v/>
      </c>
      <c r="Z18">
        <f>HYPERLINK("https://klasma.github.io/Logging_2039/klagomålsmail/A 50497-2025 FSC-klagomål mail.docx", "A 50497-2025")</f>
        <v/>
      </c>
      <c r="AA18">
        <f>HYPERLINK("https://klasma.github.io/Logging_2039/tillsyn/A 50497-2025 tillsynsbegäran.docx", "A 50497-2025")</f>
        <v/>
      </c>
      <c r="AB18">
        <f>HYPERLINK("https://klasma.github.io/Logging_2039/tillsynsmail/A 50497-2025 tillsynsbegäran mail.docx", "A 50497-2025")</f>
        <v/>
      </c>
      <c r="AC18">
        <f>HYPERLINK("https://klasma.github.io/Logging_2039/fåglar/A 50497-2025 prioriterade fågelarter.docx", "A 50497-2025")</f>
        <v/>
      </c>
    </row>
    <row r="19" ht="15" customHeight="1">
      <c r="A19" t="inlineStr">
        <is>
          <t>A 53732-2025</t>
        </is>
      </c>
      <c r="B19" t="inlineStr">
        <is>
          <t>avverkningsanmälan</t>
        </is>
      </c>
      <c r="C19" t="inlineStr">
        <is>
          <t>Föryngringsavverkning</t>
        </is>
      </c>
      <c r="D19" s="1" t="n">
        <v>45960</v>
      </c>
      <c r="E19" s="1" t="n">
        <v>46217</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9">
        <f>HYPERLINK("https://klasma.github.io/Logging_2039/artfynd/A 53732-2025 artfynd.xlsx", "A 53732-2025")</f>
        <v/>
      </c>
      <c r="W19">
        <f>HYPERLINK("https://klasma.github.io/Logging_2039/kartor/A 53732-2025 karta.png", "A 53732-2025")</f>
        <v/>
      </c>
      <c r="Y19">
        <f>HYPERLINK("https://klasma.github.io/Logging_2039/klagomål/A 53732-2025 FSC-klagomål.docx", "A 53732-2025")</f>
        <v/>
      </c>
      <c r="Z19">
        <f>HYPERLINK("https://klasma.github.io/Logging_2039/klagomålsmail/A 53732-2025 FSC-klagomål mail.docx", "A 53732-2025")</f>
        <v/>
      </c>
      <c r="AA19">
        <f>HYPERLINK("https://klasma.github.io/Logging_2039/tillsyn/A 53732-2025 tillsynsbegäran.docx", "A 53732-2025")</f>
        <v/>
      </c>
      <c r="AB19">
        <f>HYPERLINK("https://klasma.github.io/Logging_2039/tillsynsmail/A 53732-2025 tillsynsbegäran mail.docx", "A 53732-2025")</f>
        <v/>
      </c>
      <c r="AC19">
        <f>HYPERLINK("https://klasma.github.io/Logging_2039/fåglar/A 53732-2025 prioriterade fågelarter.docx", "A 53732-2025")</f>
        <v/>
      </c>
    </row>
    <row r="20" ht="15" customHeight="1">
      <c r="A20" t="inlineStr">
        <is>
          <t>A 19109-2023</t>
        </is>
      </c>
      <c r="B20" t="inlineStr">
        <is>
          <t>avverkningsanmälan</t>
        </is>
      </c>
      <c r="C20" t="inlineStr">
        <is>
          <t>Föryngringsavverkning</t>
        </is>
      </c>
      <c r="D20" s="1" t="n">
        <v>45044</v>
      </c>
      <c r="E20" s="1" t="n">
        <v>46217</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Y20">
        <f>HYPERLINK("https://klasma.github.io/Logging_2039/klagomål/A 19109-2023 FSC-klagomål.docx", "A 19109-2023")</f>
        <v/>
      </c>
      <c r="Z20">
        <f>HYPERLINK("https://klasma.github.io/Logging_2039/klagomålsmail/A 19109-2023 FSC-klagomål mail.docx", "A 19109-2023")</f>
        <v/>
      </c>
      <c r="AA20">
        <f>HYPERLINK("https://klasma.github.io/Logging_2039/tillsyn/A 19109-2023 tillsynsbegäran.docx", "A 19109-2023")</f>
        <v/>
      </c>
      <c r="AB20">
        <f>HYPERLINK("https://klasma.github.io/Logging_2039/tillsynsmail/A 19109-2023 tillsynsbegäran mail.docx", "A 19109-2023")</f>
        <v/>
      </c>
      <c r="AC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46217</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s="2" t="inlineStr">
        <is>
          <t>Fläckporing
Goliatmusseron
Gräddporing
Laxgröppa
Smalfotad taggsvamp
Spadskinn
Tajgataggsvamp
Blanksvart spiklav
Blå taggsvamp
Dropptaggsvamp
Kolflarnlav
Mörk kolflarnlav
Nordtagging
Orange taggsvamp
Varglav
Vedskivlav
Vitplätt
Plattlummer</t>
        </is>
      </c>
      <c r="V21">
        <f>HYPERLINK("https://klasma.github.io/Logging_2039/artfynd/A 63895-2023 artfynd.xlsx", "A 63895-2023")</f>
        <v/>
      </c>
      <c r="W21">
        <f>HYPERLINK("https://klasma.github.io/Logging_2039/kartor/A 63895-2023 karta.png", "A 63895-2023")</f>
        <v/>
      </c>
      <c r="Y21">
        <f>HYPERLINK("https://klasma.github.io/Logging_2039/klagomål/A 63895-2023 FSC-klagomål.docx", "A 63895-2023")</f>
        <v/>
      </c>
      <c r="Z21">
        <f>HYPERLINK("https://klasma.github.io/Logging_2039/klagomålsmail/A 63895-2023 FSC-klagomål mail.docx", "A 63895-2023")</f>
        <v/>
      </c>
      <c r="AA21">
        <f>HYPERLINK("https://klasma.github.io/Logging_2039/tillsyn/A 63895-2023 tillsynsbegäran.docx", "A 63895-2023")</f>
        <v/>
      </c>
      <c r="AB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46217</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s="2" t="inlineStr">
        <is>
          <t>Garnlav
Spadskinn
Blågrå svartspik
Dropptaggsvamp
Dvärgbägarlav
Kolflarnlav
Mörk kolflarnlav
Rödvingetrast
Tretåig hackspett
Ullticka
Vedflamlav
Vedskivlav
Mindre märgborre
Spillkråka
Tjäder
Kungsfågel
Revlummer</t>
        </is>
      </c>
      <c r="V22">
        <f>HYPERLINK("https://klasma.github.io/Logging_2039/artfynd/A 41639-2025 artfynd.xlsx", "A 41639-2025")</f>
        <v/>
      </c>
      <c r="W22">
        <f>HYPERLINK("https://klasma.github.io/Logging_2039/kartor/A 41639-2025 karta.png", "A 41639-2025")</f>
        <v/>
      </c>
      <c r="Y22">
        <f>HYPERLINK("https://klasma.github.io/Logging_2039/klagomål/A 41639-2025 FSC-klagomål.docx", "A 41639-2025")</f>
        <v/>
      </c>
      <c r="Z22">
        <f>HYPERLINK("https://klasma.github.io/Logging_2039/klagomålsmail/A 41639-2025 FSC-klagomål mail.docx", "A 41639-2025")</f>
        <v/>
      </c>
      <c r="AA22">
        <f>HYPERLINK("https://klasma.github.io/Logging_2039/tillsyn/A 41639-2025 tillsynsbegäran.docx", "A 41639-2025")</f>
        <v/>
      </c>
      <c r="AB22">
        <f>HYPERLINK("https://klasma.github.io/Logging_2039/tillsynsmail/A 41639-2025 tillsynsbegäran mail.docx", "A 41639-2025")</f>
        <v/>
      </c>
      <c r="AC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46217</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s="2" t="inlineStr">
        <is>
          <t>Urskogsporing
Garnlav
Blanksvart spiklav
Blågrå svartspik
Dropptaggsvamp
Knottrig blåslav
Kolflarnlav
Kortskaftad ärgspik
Lavskrika
Mörk kolflarnlav
Talltagel
Tretåig hackspett
Vaddporing
Vedflamlav
Vedskivlav
Violettgrå tagellav
Tjäder</t>
        </is>
      </c>
      <c r="V23">
        <f>HYPERLINK("https://klasma.github.io/Logging_2039/artfynd/A 26765-2025 artfynd.xlsx", "A 26765-2025")</f>
        <v/>
      </c>
      <c r="W23">
        <f>HYPERLINK("https://klasma.github.io/Logging_2039/kartor/A 26765-2025 karta.png", "A 26765-2025")</f>
        <v/>
      </c>
      <c r="Y23">
        <f>HYPERLINK("https://klasma.github.io/Logging_2039/klagomål/A 26765-2025 FSC-klagomål.docx", "A 26765-2025")</f>
        <v/>
      </c>
      <c r="Z23">
        <f>HYPERLINK("https://klasma.github.io/Logging_2039/klagomålsmail/A 26765-2025 FSC-klagomål mail.docx", "A 26765-2025")</f>
        <v/>
      </c>
      <c r="AA23">
        <f>HYPERLINK("https://klasma.github.io/Logging_2039/tillsyn/A 26765-2025 tillsynsbegäran.docx", "A 26765-2025")</f>
        <v/>
      </c>
      <c r="AB23">
        <f>HYPERLINK("https://klasma.github.io/Logging_2039/tillsynsmail/A 26765-2025 tillsynsbegäran mail.docx", "A 26765-2025")</f>
        <v/>
      </c>
      <c r="AC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46217</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s="2" t="inlineStr">
        <is>
          <t>Garnlav
Rosenticka
Skrovellav
Talltita
Tretåig hackspett
Vedflamlav
Vitgrynig nållav
Bronshjon
Granbarkgnagare
Spindelblomster
Ögonpyrola
Spillkråka
Tjäder
Kungsfågel
Vanlig groda
Fläcknycklar
Revlummer</t>
        </is>
      </c>
      <c r="V24">
        <f>HYPERLINK("https://klasma.github.io/Logging_2039/artfynd/A 33548-2023 artfynd.xlsx", "A 33548-2023")</f>
        <v/>
      </c>
      <c r="W24">
        <f>HYPERLINK("https://klasma.github.io/Logging_2039/kartor/A 33548-2023 karta.png", "A 33548-2023")</f>
        <v/>
      </c>
      <c r="Y24">
        <f>HYPERLINK("https://klasma.github.io/Logging_2039/klagomål/A 33548-2023 FSC-klagomål.docx", "A 33548-2023")</f>
        <v/>
      </c>
      <c r="Z24">
        <f>HYPERLINK("https://klasma.github.io/Logging_2039/klagomålsmail/A 33548-2023 FSC-klagomål mail.docx", "A 33548-2023")</f>
        <v/>
      </c>
      <c r="AA24">
        <f>HYPERLINK("https://klasma.github.io/Logging_2039/tillsyn/A 33548-2023 tillsynsbegäran.docx", "A 33548-2023")</f>
        <v/>
      </c>
      <c r="AB24">
        <f>HYPERLINK("https://klasma.github.io/Logging_2039/tillsynsmail/A 33548-2023 tillsynsbegäran mail.docx", "A 33548-2023")</f>
        <v/>
      </c>
      <c r="AC24">
        <f>HYPERLINK("https://klasma.github.io/Logging_2039/fåglar/A 33548-2023 prioriterade fågelarter.docx", "A 33548-2023")</f>
        <v/>
      </c>
    </row>
    <row r="25" ht="15" customHeight="1">
      <c r="A25" t="inlineStr">
        <is>
          <t>A 33285-2025</t>
        </is>
      </c>
      <c r="B25" t="inlineStr">
        <is>
          <t>avverkningsanmälan</t>
        </is>
      </c>
      <c r="C25" t="inlineStr">
        <is>
          <t>Föryngringsavverkning</t>
        </is>
      </c>
      <c r="D25" s="1" t="n">
        <v>45840</v>
      </c>
      <c r="E25" s="1" t="n">
        <v>46217</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28823-2023</t>
        </is>
      </c>
      <c r="B26" t="inlineStr">
        <is>
          <t>avverkningsanmälan</t>
        </is>
      </c>
      <c r="C26" t="inlineStr">
        <is>
          <t>Föryngringsavverkning</t>
        </is>
      </c>
      <c r="D26" s="1" t="n">
        <v>45104</v>
      </c>
      <c r="E26" s="1" t="n">
        <v>46217</v>
      </c>
      <c r="F26" t="inlineStr">
        <is>
          <t>DALARNAS LÄN</t>
        </is>
      </c>
      <c r="G26" t="inlineStr">
        <is>
          <t>ÄLVDALEN</t>
        </is>
      </c>
      <c r="H26" t="inlineStr">
        <is>
          <t>Sveaskog</t>
        </is>
      </c>
      <c r="I26" t="n">
        <v>9.800000000000001</v>
      </c>
      <c r="J26" t="n">
        <v>4</v>
      </c>
      <c r="K26" t="n">
        <v>2</v>
      </c>
      <c r="L26" t="n">
        <v>10</v>
      </c>
      <c r="M26" t="n">
        <v>4</v>
      </c>
      <c r="N26" t="n">
        <v>0</v>
      </c>
      <c r="O26" t="n">
        <v>0</v>
      </c>
      <c r="P26" t="n">
        <v>0</v>
      </c>
      <c r="Q26" t="n">
        <v>14</v>
      </c>
      <c r="R26" t="n">
        <v>4</v>
      </c>
      <c r="S26" t="n">
        <v>16</v>
      </c>
      <c r="T26" t="n">
        <v>28</v>
      </c>
      <c r="U26" s="2" t="inlineStr">
        <is>
          <t>Fläckporing
Garnlav
Skrovlig taggsvamp
Smalfotad taggsvamp
Blå taggsvamp
Dropptaggsvamp
Kolflarnlav
Lavskrika
Mörk kolflarnlav
Svartvit taggsvamp
Talltaggsvamp
Talltita
Varglav
Vedflamlav
Mindre märgborre
Plattlummer</t>
        </is>
      </c>
      <c r="V26">
        <f>HYPERLINK("https://klasma.github.io/Logging_2039/artfynd/A 28823-2023 artfynd.xlsx", "A 28823-2023")</f>
        <v/>
      </c>
      <c r="W26">
        <f>HYPERLINK("https://klasma.github.io/Logging_2039/kartor/A 28823-2023 karta.png", "A 28823-2023")</f>
        <v/>
      </c>
      <c r="Y26">
        <f>HYPERLINK("https://klasma.github.io/Logging_2039/klagomål/A 28823-2023 FSC-klagomål.docx", "A 28823-2023")</f>
        <v/>
      </c>
      <c r="Z26">
        <f>HYPERLINK("https://klasma.github.io/Logging_2039/klagomålsmail/A 28823-2023 FSC-klagomål mail.docx", "A 28823-2023")</f>
        <v/>
      </c>
      <c r="AA26">
        <f>HYPERLINK("https://klasma.github.io/Logging_2039/tillsyn/A 28823-2023 tillsynsbegäran.docx", "A 28823-2023")</f>
        <v/>
      </c>
      <c r="AB26">
        <f>HYPERLINK("https://klasma.github.io/Logging_2039/tillsynsmail/A 28823-2023 tillsynsbegäran mail.docx", "A 28823-2023")</f>
        <v/>
      </c>
      <c r="AC26">
        <f>HYPERLINK("https://klasma.github.io/Logging_2039/fåglar/A 28823-2023 prioriterade fågelarter.docx", "A 28823-2023")</f>
        <v/>
      </c>
    </row>
    <row r="27" ht="15" customHeight="1">
      <c r="A27" t="inlineStr">
        <is>
          <t>A 45113-2025</t>
        </is>
      </c>
      <c r="B27" t="inlineStr">
        <is>
          <t>avverkningsanmälan</t>
        </is>
      </c>
      <c r="C27" t="inlineStr">
        <is>
          <t>Föryngringsavverkning</t>
        </is>
      </c>
      <c r="D27" s="1" t="n">
        <v>45919</v>
      </c>
      <c r="E27" s="1" t="n">
        <v>46217</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Y27">
        <f>HYPERLINK("https://klasma.github.io/Logging_2039/klagomål/A 45113-2025 FSC-klagomål.docx", "A 45113-2025")</f>
        <v/>
      </c>
      <c r="Z27">
        <f>HYPERLINK("https://klasma.github.io/Logging_2039/klagomålsmail/A 45113-2025 FSC-klagomål mail.docx", "A 45113-2025")</f>
        <v/>
      </c>
      <c r="AA27">
        <f>HYPERLINK("https://klasma.github.io/Logging_2039/tillsyn/A 45113-2025 tillsynsbegäran.docx", "A 45113-2025")</f>
        <v/>
      </c>
      <c r="AB27">
        <f>HYPERLINK("https://klasma.github.io/Logging_2039/tillsynsmail/A 45113-2025 tillsynsbegäran mail.docx", "A 45113-2025")</f>
        <v/>
      </c>
    </row>
    <row r="28" ht="15" customHeight="1">
      <c r="A28" t="inlineStr">
        <is>
          <t>A 59104-2025</t>
        </is>
      </c>
      <c r="B28" t="inlineStr">
        <is>
          <t>avverkningsanmälan</t>
        </is>
      </c>
      <c r="C28" t="inlineStr">
        <is>
          <t>Föryngringsavverkning</t>
        </is>
      </c>
      <c r="D28" s="1" t="n">
        <v>45988</v>
      </c>
      <c r="E28" s="1" t="n">
        <v>46217</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s="2" t="inlineStr">
        <is>
          <t>Fläckporing
Garnlav
Blågrå svartspik
Dropptaggsvamp
Kolflarnlav
Mörk kolflarnlav
Talltita
Tretåig hackspett
Vedflamlav
Vedskivlav
Mindre märgborre
Vedticka
Spillkråka
Tjäder
Orre</t>
        </is>
      </c>
      <c r="V28">
        <f>HYPERLINK("https://klasma.github.io/Logging_2039/artfynd/A 59104-2025 artfynd.xlsx", "A 59104-2025")</f>
        <v/>
      </c>
      <c r="W28">
        <f>HYPERLINK("https://klasma.github.io/Logging_2039/kartor/A 59104-2025 karta.png", "A 59104-2025")</f>
        <v/>
      </c>
      <c r="Y28">
        <f>HYPERLINK("https://klasma.github.io/Logging_2039/klagomål/A 59104-2025 FSC-klagomål.docx", "A 59104-2025")</f>
        <v/>
      </c>
      <c r="Z28">
        <f>HYPERLINK("https://klasma.github.io/Logging_2039/klagomålsmail/A 59104-2025 FSC-klagomål mail.docx", "A 59104-2025")</f>
        <v/>
      </c>
      <c r="AA28">
        <f>HYPERLINK("https://klasma.github.io/Logging_2039/tillsyn/A 59104-2025 tillsynsbegäran.docx", "A 59104-2025")</f>
        <v/>
      </c>
      <c r="AB28">
        <f>HYPERLINK("https://klasma.github.io/Logging_2039/tillsynsmail/A 59104-2025 tillsynsbegäran mail.docx", "A 59104-2025")</f>
        <v/>
      </c>
      <c r="AC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46217</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s="2" t="inlineStr">
        <is>
          <t>Garnlav
Dropptaggsvamp
Dvärgbägarlav
Kolflarnlav
Mörk kolflarnlav
Rosenticka
Skuggblåslav
Tallkötticka
Tallticka
Vedskivlav
Vitplätt
Mindre märgborre
Vedticka
Spillkråka
Tjäder</t>
        </is>
      </c>
      <c r="V29">
        <f>HYPERLINK("https://klasma.github.io/Logging_2039/artfynd/A 50492-2025 artfynd.xlsx", "A 50492-2025")</f>
        <v/>
      </c>
      <c r="W29">
        <f>HYPERLINK("https://klasma.github.io/Logging_2039/kartor/A 50492-2025 karta.png", "A 50492-2025")</f>
        <v/>
      </c>
      <c r="Y29">
        <f>HYPERLINK("https://klasma.github.io/Logging_2039/klagomål/A 50492-2025 FSC-klagomål.docx", "A 50492-2025")</f>
        <v/>
      </c>
      <c r="Z29">
        <f>HYPERLINK("https://klasma.github.io/Logging_2039/klagomålsmail/A 50492-2025 FSC-klagomål mail.docx", "A 50492-2025")</f>
        <v/>
      </c>
      <c r="AA29">
        <f>HYPERLINK("https://klasma.github.io/Logging_2039/tillsyn/A 50492-2025 tillsynsbegäran.docx", "A 50492-2025")</f>
        <v/>
      </c>
      <c r="AB29">
        <f>HYPERLINK("https://klasma.github.io/Logging_2039/tillsynsmail/A 50492-2025 tillsynsbegäran mail.docx", "A 50492-2025")</f>
        <v/>
      </c>
      <c r="AC29">
        <f>HYPERLINK("https://klasma.github.io/Logging_2039/fåglar/A 50492-2025 prioriterade fågelarter.docx", "A 50492-2025")</f>
        <v/>
      </c>
    </row>
    <row r="30" ht="15" customHeight="1">
      <c r="A30" t="inlineStr">
        <is>
          <t>A 56939-2025</t>
        </is>
      </c>
      <c r="B30" t="inlineStr">
        <is>
          <t>avverkningsanmälan</t>
        </is>
      </c>
      <c r="C30" t="inlineStr">
        <is>
          <t>Föryngringsavverkning</t>
        </is>
      </c>
      <c r="D30" s="1" t="n">
        <v>45978</v>
      </c>
      <c r="E30" s="1" t="n">
        <v>46217</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s="2" t="inlineStr">
        <is>
          <t>Garnlav
Knärot
Kolflarnlav
Mörk kolflarnlav
Tretåig hackspett
Ullticka
Vedflamlav
Vedskivlav
Björksplintborre
Mindre märgborre
Plattlummer
Gråspett
Spillkråka
Tjäder
Revlummer</t>
        </is>
      </c>
      <c r="V30">
        <f>HYPERLINK("https://klasma.github.io/Logging_2039/artfynd/A 56939-2025 artfynd.xlsx", "A 56939-2025")</f>
        <v/>
      </c>
      <c r="W30">
        <f>HYPERLINK("https://klasma.github.io/Logging_2039/kartor/A 56939-2025 karta.png", "A 56939-2025")</f>
        <v/>
      </c>
      <c r="X30">
        <f>HYPERLINK("https://klasma.github.io/Logging_2039/knärot/A 56939-2025 karta knärot.png", "A 56939-2025")</f>
        <v/>
      </c>
      <c r="Y30">
        <f>HYPERLINK("https://klasma.github.io/Logging_2039/klagomål/A 56939-2025 FSC-klagomål.docx", "A 56939-2025")</f>
        <v/>
      </c>
      <c r="Z30">
        <f>HYPERLINK("https://klasma.github.io/Logging_2039/klagomålsmail/A 56939-2025 FSC-klagomål mail.docx", "A 56939-2025")</f>
        <v/>
      </c>
      <c r="AA30">
        <f>HYPERLINK("https://klasma.github.io/Logging_2039/tillsyn/A 56939-2025 tillsynsbegäran.docx", "A 56939-2025")</f>
        <v/>
      </c>
      <c r="AB30">
        <f>HYPERLINK("https://klasma.github.io/Logging_2039/tillsynsmail/A 56939-2025 tillsynsbegäran mail.docx", "A 56939-2025")</f>
        <v/>
      </c>
      <c r="AC30">
        <f>HYPERLINK("https://klasma.github.io/Logging_2039/fåglar/A 56939-2025 prioriterade fågelarter.docx", "A 56939-2025")</f>
        <v/>
      </c>
    </row>
    <row r="31" ht="15" customHeight="1">
      <c r="A31" t="inlineStr">
        <is>
          <t>A 5813-2025</t>
        </is>
      </c>
      <c r="B31" t="inlineStr">
        <is>
          <t>avverkningsanmälan</t>
        </is>
      </c>
      <c r="C31" t="inlineStr">
        <is>
          <t>Föryngringsavverkning</t>
        </is>
      </c>
      <c r="D31" s="1" t="n">
        <v>45694</v>
      </c>
      <c r="E31" s="1" t="n">
        <v>46217</v>
      </c>
      <c r="F31" t="inlineStr">
        <is>
          <t>DALARNAS LÄN</t>
        </is>
      </c>
      <c r="G31" t="inlineStr">
        <is>
          <t>ÄLVDALEN</t>
        </is>
      </c>
      <c r="H31" t="inlineStr">
        <is>
          <t>Övriga statliga verk och myndigheter</t>
        </is>
      </c>
      <c r="I31" t="n">
        <v>3.1</v>
      </c>
      <c r="J31" t="n">
        <v>4</v>
      </c>
      <c r="K31" t="n">
        <v>5</v>
      </c>
      <c r="L31" t="n">
        <v>4</v>
      </c>
      <c r="M31" t="n">
        <v>4</v>
      </c>
      <c r="N31" t="n">
        <v>0</v>
      </c>
      <c r="O31" t="n">
        <v>0</v>
      </c>
      <c r="P31" t="n">
        <v>0</v>
      </c>
      <c r="Q31" t="n">
        <v>8</v>
      </c>
      <c r="R31" t="n">
        <v>4</v>
      </c>
      <c r="S31" t="n">
        <v>15</v>
      </c>
      <c r="T31" t="n">
        <v>54</v>
      </c>
      <c r="U31" s="2" t="inlineStr">
        <is>
          <t>Garnlav
Gränsticka
Knärot
Ulltickeporing
Doftskinn
Tretåig hackspett
Ullticka
Vedtrappmossa
Bronshjon
Korallblylav
Källpraktmossa
Luddlav
Vedticka
Spillkråka
Revlummer</t>
        </is>
      </c>
      <c r="V31">
        <f>HYPERLINK("https://klasma.github.io/Logging_2039/artfynd/A 5813-2025 artfynd.xlsx", "A 5813-2025")</f>
        <v/>
      </c>
      <c r="W31">
        <f>HYPERLINK("https://klasma.github.io/Logging_2039/kartor/A 5813-2025 karta.png", "A 5813-2025")</f>
        <v/>
      </c>
      <c r="X31">
        <f>HYPERLINK("https://klasma.github.io/Logging_2039/knärot/A 5813-2025 karta knärot.png", "A 5813-2025")</f>
        <v/>
      </c>
      <c r="Y31">
        <f>HYPERLINK("https://klasma.github.io/Logging_2039/klagomål/A 5813-2025 FSC-klagomål.docx", "A 5813-2025")</f>
        <v/>
      </c>
      <c r="Z31">
        <f>HYPERLINK("https://klasma.github.io/Logging_2039/klagomålsmail/A 5813-2025 FSC-klagomål mail.docx", "A 5813-2025")</f>
        <v/>
      </c>
      <c r="AA31">
        <f>HYPERLINK("https://klasma.github.io/Logging_2039/tillsyn/A 5813-2025 tillsynsbegäran.docx", "A 5813-2025")</f>
        <v/>
      </c>
      <c r="AB31">
        <f>HYPERLINK("https://klasma.github.io/Logging_2039/tillsynsmail/A 5813-2025 tillsynsbegäran mail.docx", "A 5813-2025")</f>
        <v/>
      </c>
      <c r="AC31">
        <f>HYPERLINK("https://klasma.github.io/Logging_2039/fåglar/A 5813-2025 prioriterade fågelarter.docx", "A 5813-2025")</f>
        <v/>
      </c>
    </row>
    <row r="32" ht="15" customHeight="1">
      <c r="A32" t="inlineStr">
        <is>
          <t>A 15715-2026</t>
        </is>
      </c>
      <c r="B32" t="inlineStr">
        <is>
          <t>avverkningsanmälan</t>
        </is>
      </c>
      <c r="C32" t="inlineStr">
        <is>
          <t>Föryngringsavverkning</t>
        </is>
      </c>
      <c r="D32" s="1" t="n">
        <v>46107</v>
      </c>
      <c r="E32" s="1" t="n">
        <v>46217</v>
      </c>
      <c r="F32" t="inlineStr">
        <is>
          <t>DALARNAS LÄN</t>
        </is>
      </c>
      <c r="G32" t="inlineStr">
        <is>
          <t>ÄLVDALEN</t>
        </is>
      </c>
      <c r="I32" t="n">
        <v>9.6</v>
      </c>
      <c r="J32" t="n">
        <v>5</v>
      </c>
      <c r="K32" t="n">
        <v>1</v>
      </c>
      <c r="L32" t="n">
        <v>8</v>
      </c>
      <c r="M32" t="n">
        <v>1</v>
      </c>
      <c r="N32" t="n">
        <v>0</v>
      </c>
      <c r="O32" t="n">
        <v>0</v>
      </c>
      <c r="P32" t="n">
        <v>0</v>
      </c>
      <c r="Q32" t="n">
        <v>9</v>
      </c>
      <c r="R32" t="n">
        <v>1</v>
      </c>
      <c r="S32" t="n">
        <v>14</v>
      </c>
      <c r="T32" t="n">
        <v>128</v>
      </c>
      <c r="U32" s="2" t="inlineStr">
        <is>
          <t>Garnlav
Blågrå svartspik
Mörk kolflarnlav
Skogshare
Skrovellav
Tallticka
Tretåig hackspett
Vedflamlav
Vedskivlav
Mindre märgborre
Järpe
Spillkråka
Tjäder
Orre</t>
        </is>
      </c>
      <c r="V32">
        <f>HYPERLINK("https://klasma.github.io/Logging_2039/artfynd/A 15715-2026 artfynd.xlsx", "A 15715-2026")</f>
        <v/>
      </c>
      <c r="W32">
        <f>HYPERLINK("https://klasma.github.io/Logging_2039/kartor/A 15715-2026 karta.png", "A 15715-2026")</f>
        <v/>
      </c>
      <c r="Y32">
        <f>HYPERLINK("https://klasma.github.io/Logging_2039/klagomål/A 15715-2026 FSC-klagomål.docx", "A 15715-2026")</f>
        <v/>
      </c>
      <c r="Z32">
        <f>HYPERLINK("https://klasma.github.io/Logging_2039/klagomålsmail/A 15715-2026 FSC-klagomål mail.docx", "A 15715-2026")</f>
        <v/>
      </c>
      <c r="AA32">
        <f>HYPERLINK("https://klasma.github.io/Logging_2039/tillsyn/A 15715-2026 tillsynsbegäran.docx", "A 15715-2026")</f>
        <v/>
      </c>
      <c r="AB32">
        <f>HYPERLINK("https://klasma.github.io/Logging_2039/tillsynsmail/A 15715-2026 tillsynsbegäran mail.docx", "A 15715-2026")</f>
        <v/>
      </c>
      <c r="AC32">
        <f>HYPERLINK("https://klasma.github.io/Logging_2039/fåglar/A 15715-2026 prioriterade fågelarter.docx", "A 15715-2026")</f>
        <v/>
      </c>
    </row>
    <row r="33" ht="15" customHeight="1">
      <c r="A33" t="inlineStr">
        <is>
          <t>A 31037-2023</t>
        </is>
      </c>
      <c r="B33" t="inlineStr">
        <is>
          <t>avverkningsanmälan</t>
        </is>
      </c>
      <c r="C33" t="inlineStr">
        <is>
          <t>Föryngringsavverkning</t>
        </is>
      </c>
      <c r="D33" s="1" t="n">
        <v>45113</v>
      </c>
      <c r="E33" s="1" t="n">
        <v>46217</v>
      </c>
      <c r="F33" t="inlineStr">
        <is>
          <t>DALARNAS LÄN</t>
        </is>
      </c>
      <c r="G33" t="inlineStr">
        <is>
          <t>ÄLVDALEN</t>
        </is>
      </c>
      <c r="H33" t="inlineStr">
        <is>
          <t>Allmännings- och besparingsskogar</t>
        </is>
      </c>
      <c r="I33" t="n">
        <v>17.8</v>
      </c>
      <c r="J33" t="n">
        <v>2</v>
      </c>
      <c r="K33" t="n">
        <v>0</v>
      </c>
      <c r="L33" t="n">
        <v>10</v>
      </c>
      <c r="M33" t="n">
        <v>4</v>
      </c>
      <c r="N33" t="n">
        <v>0</v>
      </c>
      <c r="O33" t="n">
        <v>0</v>
      </c>
      <c r="P33" t="n">
        <v>0</v>
      </c>
      <c r="Q33" t="n">
        <v>14</v>
      </c>
      <c r="R33" t="n">
        <v>4</v>
      </c>
      <c r="S33" t="n">
        <v>14</v>
      </c>
      <c r="T33" t="n">
        <v>46</v>
      </c>
      <c r="U33" s="2" t="inlineStr">
        <is>
          <t>Fläckporing
Garnlav
Gräddporing
Smalfotad taggsvamp
Blanksvart spiklav
Blågrå svartspik
Dvärgbägarlav
Kolflarnlav
Mörk kolflarnlav
Nordtagging
Talltita
Varglav
Vedflamlav
Vedskivlav</t>
        </is>
      </c>
      <c r="V33">
        <f>HYPERLINK("https://klasma.github.io/Logging_2039/artfynd/A 31037-2023 artfynd.xlsx", "A 31037-2023")</f>
        <v/>
      </c>
      <c r="W33">
        <f>HYPERLINK("https://klasma.github.io/Logging_2039/kartor/A 31037-2023 karta.png", "A 31037-2023")</f>
        <v/>
      </c>
      <c r="Y33">
        <f>HYPERLINK("https://klasma.github.io/Logging_2039/klagomål/A 31037-2023 FSC-klagomål.docx", "A 31037-2023")</f>
        <v/>
      </c>
      <c r="Z33">
        <f>HYPERLINK("https://klasma.github.io/Logging_2039/klagomålsmail/A 31037-2023 FSC-klagomål mail.docx", "A 31037-2023")</f>
        <v/>
      </c>
      <c r="AA33">
        <f>HYPERLINK("https://klasma.github.io/Logging_2039/tillsyn/A 31037-2023 tillsynsbegäran.docx", "A 31037-2023")</f>
        <v/>
      </c>
      <c r="AB33">
        <f>HYPERLINK("https://klasma.github.io/Logging_2039/tillsynsmail/A 31037-2023 tillsynsbegäran mail.docx", "A 31037-2023")</f>
        <v/>
      </c>
      <c r="AC33">
        <f>HYPERLINK("https://klasma.github.io/Logging_2039/fåglar/A 31037-2023 prioriterade fågelarter.docx", "A 31037-2023")</f>
        <v/>
      </c>
    </row>
    <row r="34" ht="15" customHeight="1">
      <c r="A34" t="inlineStr">
        <is>
          <t>A 19933-2022</t>
        </is>
      </c>
      <c r="B34" t="inlineStr">
        <is>
          <t>avverkningsanmälan</t>
        </is>
      </c>
      <c r="C34" t="inlineStr">
        <is>
          <t>Avverkning för annat ändamål</t>
        </is>
      </c>
      <c r="D34" s="1" t="n">
        <v>44697</v>
      </c>
      <c r="E34" s="1" t="n">
        <v>46217</v>
      </c>
      <c r="F34" t="inlineStr">
        <is>
          <t>DALARNAS LÄN</t>
        </is>
      </c>
      <c r="G34" t="inlineStr">
        <is>
          <t>ÄLVDALEN</t>
        </is>
      </c>
      <c r="I34" t="n">
        <v>1.2</v>
      </c>
      <c r="J34" t="n">
        <v>3</v>
      </c>
      <c r="K34" t="n">
        <v>3</v>
      </c>
      <c r="L34" t="n">
        <v>5</v>
      </c>
      <c r="M34" t="n">
        <v>2</v>
      </c>
      <c r="N34" t="n">
        <v>0</v>
      </c>
      <c r="O34" t="n">
        <v>0</v>
      </c>
      <c r="P34" t="n">
        <v>0</v>
      </c>
      <c r="Q34" t="n">
        <v>7</v>
      </c>
      <c r="R34" t="n">
        <v>2</v>
      </c>
      <c r="S34" t="n">
        <v>13</v>
      </c>
      <c r="T34" t="n">
        <v>24</v>
      </c>
      <c r="U34" s="2" t="inlineStr">
        <is>
          <t>Garnlav
Gränsticka
Rosenticka
Rynkskinn
Tretåig hackspett
Ullticka
Violmussling
Gytterlav
Källmossa
Stuplav
Kransmossa
Vanlig groda
Revlummer</t>
        </is>
      </c>
      <c r="V34">
        <f>HYPERLINK("https://klasma.github.io/Logging_2039/artfynd/A 19933-2022 artfynd.xlsx", "A 19933-2022")</f>
        <v/>
      </c>
      <c r="W34">
        <f>HYPERLINK("https://klasma.github.io/Logging_2039/kartor/A 19933-2022 karta.png", "A 19933-2022")</f>
        <v/>
      </c>
      <c r="Y34">
        <f>HYPERLINK("https://klasma.github.io/Logging_2039/klagomål/A 19933-2022 FSC-klagomål.docx", "A 19933-2022")</f>
        <v/>
      </c>
      <c r="Z34">
        <f>HYPERLINK("https://klasma.github.io/Logging_2039/klagomålsmail/A 19933-2022 FSC-klagomål mail.docx", "A 19933-2022")</f>
        <v/>
      </c>
      <c r="AA34">
        <f>HYPERLINK("https://klasma.github.io/Logging_2039/tillsyn/A 19933-2022 tillsynsbegäran.docx", "A 19933-2022")</f>
        <v/>
      </c>
      <c r="AB34">
        <f>HYPERLINK("https://klasma.github.io/Logging_2039/tillsynsmail/A 19933-2022 tillsynsbegäran mail.docx", "A 19933-2022")</f>
        <v/>
      </c>
      <c r="AC34">
        <f>HYPERLINK("https://klasma.github.io/Logging_2039/fåglar/A 19933-2022 prioriterade fågelarter.docx", "A 19933-2022")</f>
        <v/>
      </c>
    </row>
    <row r="35" ht="15" customHeight="1">
      <c r="A35" t="inlineStr">
        <is>
          <t>A 16123-2026</t>
        </is>
      </c>
      <c r="B35" t="inlineStr">
        <is>
          <t>avverkningsanmälan</t>
        </is>
      </c>
      <c r="C35" t="inlineStr">
        <is>
          <t>Föryngringsavverkning</t>
        </is>
      </c>
      <c r="D35" s="1" t="n">
        <v>46108</v>
      </c>
      <c r="E35" s="1" t="n">
        <v>46217</v>
      </c>
      <c r="F35" t="inlineStr">
        <is>
          <t>DALARNAS LÄN</t>
        </is>
      </c>
      <c r="G35" t="inlineStr">
        <is>
          <t>ÄLVDALEN</t>
        </is>
      </c>
      <c r="H35" t="inlineStr">
        <is>
          <t>Allmännings- och besparingsskogar</t>
        </is>
      </c>
      <c r="I35" t="n">
        <v>14.5</v>
      </c>
      <c r="J35" t="n">
        <v>4</v>
      </c>
      <c r="K35" t="n">
        <v>0</v>
      </c>
      <c r="L35" t="n">
        <v>9</v>
      </c>
      <c r="M35" t="n">
        <v>1</v>
      </c>
      <c r="N35" t="n">
        <v>0</v>
      </c>
      <c r="O35" t="n">
        <v>0</v>
      </c>
      <c r="P35" t="n">
        <v>0</v>
      </c>
      <c r="Q35" t="n">
        <v>10</v>
      </c>
      <c r="R35" t="n">
        <v>1</v>
      </c>
      <c r="S35" t="n">
        <v>13</v>
      </c>
      <c r="T35" t="n">
        <v>123</v>
      </c>
      <c r="U35" s="2" t="inlineStr">
        <is>
          <t>Garnlav
Blanksvart spiklav
Blågrå svartspik
Dropptaggsvamp
Dvärgbägarlav
Kolflarnlav
Mörk kolflarnlav
Tretåig hackspett
Vedflamlav
Vedskivlav
Järpe
Spillkråka
Tjäder</t>
        </is>
      </c>
      <c r="V35">
        <f>HYPERLINK("https://klasma.github.io/Logging_2039/artfynd/A 16123-2026 artfynd.xlsx", "A 16123-2026")</f>
        <v/>
      </c>
      <c r="W35">
        <f>HYPERLINK("https://klasma.github.io/Logging_2039/kartor/A 16123-2026 karta.png", "A 16123-2026")</f>
        <v/>
      </c>
      <c r="Y35">
        <f>HYPERLINK("https://klasma.github.io/Logging_2039/klagomål/A 16123-2026 FSC-klagomål.docx", "A 16123-2026")</f>
        <v/>
      </c>
      <c r="Z35">
        <f>HYPERLINK("https://klasma.github.io/Logging_2039/klagomålsmail/A 16123-2026 FSC-klagomål mail.docx", "A 16123-2026")</f>
        <v/>
      </c>
      <c r="AA35">
        <f>HYPERLINK("https://klasma.github.io/Logging_2039/tillsyn/A 16123-2026 tillsynsbegäran.docx", "A 16123-2026")</f>
        <v/>
      </c>
      <c r="AB35">
        <f>HYPERLINK("https://klasma.github.io/Logging_2039/tillsynsmail/A 16123-2026 tillsynsbegäran mail.docx", "A 16123-2026")</f>
        <v/>
      </c>
      <c r="AC35">
        <f>HYPERLINK("https://klasma.github.io/Logging_2039/fåglar/A 16123-2026 prioriterade fågelarter.docx", "A 16123-2026")</f>
        <v/>
      </c>
    </row>
    <row r="36" ht="15" customHeight="1">
      <c r="A36" t="inlineStr">
        <is>
          <t>A 57095-2025</t>
        </is>
      </c>
      <c r="B36" t="inlineStr">
        <is>
          <t>avverkningsanmälan</t>
        </is>
      </c>
      <c r="C36" t="inlineStr">
        <is>
          <t>Föryngringsavverkning</t>
        </is>
      </c>
      <c r="D36" s="1" t="n">
        <v>45979</v>
      </c>
      <c r="E36" s="1" t="n">
        <v>46217</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s="2" t="inlineStr">
        <is>
          <t>Garnlav
Kolflarnlav
Mörk kolflarnlav
Sparvuggla
Talltita
Tretåig hackspett
Vedskivlav
Grönpyrola
Vedticka
Spillkråka
Tjäder
Orre
Nattviol</t>
        </is>
      </c>
      <c r="V36">
        <f>HYPERLINK("https://klasma.github.io/Logging_2039/artfynd/A 57095-2025 artfynd.xlsx", "A 57095-2025")</f>
        <v/>
      </c>
      <c r="W36">
        <f>HYPERLINK("https://klasma.github.io/Logging_2039/kartor/A 57095-2025 karta.png", "A 57095-2025")</f>
        <v/>
      </c>
      <c r="Y36">
        <f>HYPERLINK("https://klasma.github.io/Logging_2039/klagomål/A 57095-2025 FSC-klagomål.docx", "A 57095-2025")</f>
        <v/>
      </c>
      <c r="Z36">
        <f>HYPERLINK("https://klasma.github.io/Logging_2039/klagomålsmail/A 57095-2025 FSC-klagomål mail.docx", "A 57095-2025")</f>
        <v/>
      </c>
      <c r="AA36">
        <f>HYPERLINK("https://klasma.github.io/Logging_2039/tillsyn/A 57095-2025 tillsynsbegäran.docx", "A 57095-2025")</f>
        <v/>
      </c>
      <c r="AB36">
        <f>HYPERLINK("https://klasma.github.io/Logging_2039/tillsynsmail/A 57095-2025 tillsynsbegäran mail.docx", "A 57095-2025")</f>
        <v/>
      </c>
      <c r="AC36">
        <f>HYPERLINK("https://klasma.github.io/Logging_2039/fåglar/A 57095-2025 prioriterade fågelarter.docx", "A 57095-2025")</f>
        <v/>
      </c>
    </row>
    <row r="37" ht="15" customHeight="1">
      <c r="A37" t="inlineStr">
        <is>
          <t>A 41638-2025</t>
        </is>
      </c>
      <c r="B37" t="inlineStr">
        <is>
          <t>avverkningsanmälan</t>
        </is>
      </c>
      <c r="C37" t="inlineStr">
        <is>
          <t>Föryngringsavverkning</t>
        </is>
      </c>
      <c r="D37" s="1" t="n">
        <v>45901</v>
      </c>
      <c r="E37" s="1" t="n">
        <v>46217</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s="2" t="inlineStr">
        <is>
          <t>Garnlav
Spadskinn
Tajgataggsvamp
Blanksvart spiklav
Dropptaggsvamp
Dvärgbägarlav
Kolflarnlav
Mörk kolflarnlav
Tallriska
Vedflamlav
Vedskivlav
Vitplätt
Vedticka</t>
        </is>
      </c>
      <c r="V37">
        <f>HYPERLINK("https://klasma.github.io/Logging_2039/artfynd/A 41638-2025 artfynd.xlsx", "A 41638-2025")</f>
        <v/>
      </c>
      <c r="W37">
        <f>HYPERLINK("https://klasma.github.io/Logging_2039/kartor/A 41638-2025 karta.png", "A 41638-2025")</f>
        <v/>
      </c>
      <c r="Y37">
        <f>HYPERLINK("https://klasma.github.io/Logging_2039/klagomål/A 41638-2025 FSC-klagomål.docx", "A 41638-2025")</f>
        <v/>
      </c>
      <c r="Z37">
        <f>HYPERLINK("https://klasma.github.io/Logging_2039/klagomålsmail/A 41638-2025 FSC-klagomål mail.docx", "A 41638-2025")</f>
        <v/>
      </c>
      <c r="AA37">
        <f>HYPERLINK("https://klasma.github.io/Logging_2039/tillsyn/A 41638-2025 tillsynsbegäran.docx", "A 41638-2025")</f>
        <v/>
      </c>
      <c r="AB37">
        <f>HYPERLINK("https://klasma.github.io/Logging_2039/tillsynsmail/A 41638-2025 tillsynsbegäran mail.docx", "A 41638-2025")</f>
        <v/>
      </c>
    </row>
    <row r="38" ht="15" customHeight="1">
      <c r="A38" t="inlineStr">
        <is>
          <t>A 7021-2026</t>
        </is>
      </c>
      <c r="B38" t="inlineStr">
        <is>
          <t>avverkningsanmälan</t>
        </is>
      </c>
      <c r="C38" t="inlineStr">
        <is>
          <t>Föryngringsavverkning</t>
        </is>
      </c>
      <c r="D38" s="1" t="n">
        <v>46057</v>
      </c>
      <c r="E38" s="1" t="n">
        <v>46217</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s="2" t="inlineStr">
        <is>
          <t>Garnlav
Kolflarnlav
Mörk kolflarnlav
Tallticka
Talltita
Tretåig hackspett
Vedflamlav
Vedskivlav
Björksplintborre
Bronshjon
Mindre märgborre
Spillkråka
Tjäder</t>
        </is>
      </c>
      <c r="V38">
        <f>HYPERLINK("https://klasma.github.io/Logging_2039/artfynd/A 7021-2026 artfynd.xlsx", "A 7021-2026")</f>
        <v/>
      </c>
      <c r="W38">
        <f>HYPERLINK("https://klasma.github.io/Logging_2039/kartor/A 7021-2026 karta.png", "A 7021-2026")</f>
        <v/>
      </c>
      <c r="Y38">
        <f>HYPERLINK("https://klasma.github.io/Logging_2039/klagomål/A 7021-2026 FSC-klagomål.docx", "A 7021-2026")</f>
        <v/>
      </c>
      <c r="Z38">
        <f>HYPERLINK("https://klasma.github.io/Logging_2039/klagomålsmail/A 7021-2026 FSC-klagomål mail.docx", "A 7021-2026")</f>
        <v/>
      </c>
      <c r="AA38">
        <f>HYPERLINK("https://klasma.github.io/Logging_2039/tillsyn/A 7021-2026 tillsynsbegäran.docx", "A 7021-2026")</f>
        <v/>
      </c>
      <c r="AB38">
        <f>HYPERLINK("https://klasma.github.io/Logging_2039/tillsynsmail/A 7021-2026 tillsynsbegäran mail.docx", "A 7021-2026")</f>
        <v/>
      </c>
      <c r="AC38">
        <f>HYPERLINK("https://klasma.github.io/Logging_2039/fåglar/A 7021-2026 prioriterade fågelarter.docx", "A 7021-2026")</f>
        <v/>
      </c>
    </row>
    <row r="39" ht="15" customHeight="1">
      <c r="A39" t="inlineStr">
        <is>
          <t>A 69728-2021</t>
        </is>
      </c>
      <c r="B39" t="inlineStr">
        <is>
          <t>avverkningsanmälan</t>
        </is>
      </c>
      <c r="C39" t="inlineStr">
        <is>
          <t>Föryngringsavverkning</t>
        </is>
      </c>
      <c r="D39" s="1" t="n">
        <v>44532</v>
      </c>
      <c r="E39" s="1" t="n">
        <v>46217</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s="2" t="inlineStr">
        <is>
          <t>Barrgråtagging
Fläckporing
Gräddporing
Skrovlig taggsvamp
Smalfotad taggsvamp
Blanksvart spiklav
Dropptaggsvamp
Dvärgbägarlav
Kolflarnlav
Mörk kolflarnlav
Nordtagging
Orange taggsvamp
Vedskivlav</t>
        </is>
      </c>
      <c r="V39">
        <f>HYPERLINK("https://klasma.github.io/Logging_2039/artfynd/A 69728-2021 artfynd.xlsx", "A 69728-2021")</f>
        <v/>
      </c>
      <c r="W39">
        <f>HYPERLINK("https://klasma.github.io/Logging_2039/kartor/A 69728-2021 karta.png", "A 69728-2021")</f>
        <v/>
      </c>
      <c r="Y39">
        <f>HYPERLINK("https://klasma.github.io/Logging_2039/klagomål/A 69728-2021 FSC-klagomål.docx", "A 69728-2021")</f>
        <v/>
      </c>
      <c r="Z39">
        <f>HYPERLINK("https://klasma.github.io/Logging_2039/klagomålsmail/A 69728-2021 FSC-klagomål mail.docx", "A 69728-2021")</f>
        <v/>
      </c>
      <c r="AA39">
        <f>HYPERLINK("https://klasma.github.io/Logging_2039/tillsyn/A 69728-2021 tillsynsbegäran.docx", "A 69728-2021")</f>
        <v/>
      </c>
      <c r="AB39">
        <f>HYPERLINK("https://klasma.github.io/Logging_2039/tillsynsmail/A 69728-2021 tillsynsbegäran mail.docx", "A 69728-2021")</f>
        <v/>
      </c>
    </row>
    <row r="40" ht="15" customHeight="1">
      <c r="A40" t="inlineStr">
        <is>
          <t>A 16370-2024</t>
        </is>
      </c>
      <c r="B40" t="inlineStr">
        <is>
          <t>avverkningsanmälan</t>
        </is>
      </c>
      <c r="C40" t="inlineStr">
        <is>
          <t>Föryngringsavverkning</t>
        </is>
      </c>
      <c r="D40" s="1" t="n">
        <v>45407</v>
      </c>
      <c r="E40" s="1" t="n">
        <v>46217</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s="2" t="inlineStr">
        <is>
          <t>Fläckporing
Garnlav
Gräddporing
Bläsand
Dropptaggsvamp
Dvärgbägarlav
Knottrig blåslav
Lavskrika
Lunglav
Mörk kolflarnlav
Skrovellav
Stuplav</t>
        </is>
      </c>
      <c r="V40">
        <f>HYPERLINK("https://klasma.github.io/Logging_2039/artfynd/A 16370-2024 artfynd.xlsx", "A 16370-2024")</f>
        <v/>
      </c>
      <c r="W40">
        <f>HYPERLINK("https://klasma.github.io/Logging_2039/kartor/A 16370-2024 karta.png", "A 16370-2024")</f>
        <v/>
      </c>
      <c r="Y40">
        <f>HYPERLINK("https://klasma.github.io/Logging_2039/klagomål/A 16370-2024 FSC-klagomål.docx", "A 16370-2024")</f>
        <v/>
      </c>
      <c r="Z40">
        <f>HYPERLINK("https://klasma.github.io/Logging_2039/klagomålsmail/A 16370-2024 FSC-klagomål mail.docx", "A 16370-2024")</f>
        <v/>
      </c>
      <c r="AA40">
        <f>HYPERLINK("https://klasma.github.io/Logging_2039/tillsyn/A 16370-2024 tillsynsbegäran.docx", "A 16370-2024")</f>
        <v/>
      </c>
      <c r="AB40">
        <f>HYPERLINK("https://klasma.github.io/Logging_2039/tillsynsmail/A 16370-2024 tillsynsbegäran mail.docx", "A 16370-2024")</f>
        <v/>
      </c>
      <c r="AC40">
        <f>HYPERLINK("https://klasma.github.io/Logging_2039/fåglar/A 16370-2024 prioriterade fågelarter.docx", "A 16370-2024")</f>
        <v/>
      </c>
    </row>
    <row r="41" ht="15" customHeight="1">
      <c r="A41" t="inlineStr">
        <is>
          <t>A 37730-2023</t>
        </is>
      </c>
      <c r="B41" t="inlineStr">
        <is>
          <t>avverkningsanmälan</t>
        </is>
      </c>
      <c r="C41" t="inlineStr">
        <is>
          <t>Föryngringsavverkning</t>
        </is>
      </c>
      <c r="D41" s="1" t="n">
        <v>45159</v>
      </c>
      <c r="E41" s="1" t="n">
        <v>46217</v>
      </c>
      <c r="F41" t="inlineStr">
        <is>
          <t>DALARNAS LÄN</t>
        </is>
      </c>
      <c r="G41" t="inlineStr">
        <is>
          <t>ÄLVDALEN</t>
        </is>
      </c>
      <c r="I41" t="n">
        <v>5.4</v>
      </c>
      <c r="J41" t="n">
        <v>4</v>
      </c>
      <c r="K41" t="n">
        <v>2</v>
      </c>
      <c r="L41" t="n">
        <v>6</v>
      </c>
      <c r="M41" t="n">
        <v>2</v>
      </c>
      <c r="N41" t="n">
        <v>0</v>
      </c>
      <c r="O41" t="n">
        <v>0</v>
      </c>
      <c r="P41" t="n">
        <v>0</v>
      </c>
      <c r="Q41" t="n">
        <v>8</v>
      </c>
      <c r="R41" t="n">
        <v>2</v>
      </c>
      <c r="S41" t="n">
        <v>12</v>
      </c>
      <c r="T41" t="n">
        <v>63</v>
      </c>
      <c r="U41" s="2" t="inlineStr">
        <is>
          <t>Garnlav
Knärot
Dropptaggsvamp
Mörk kolflarnlav
Tallfingersvamp
Tretåig hackspett
Violettgrå tagellav
Vitgrynig nållav
Bronshjon
Luddlav
Spillkråka
Revlummer</t>
        </is>
      </c>
      <c r="V41">
        <f>HYPERLINK("https://klasma.github.io/Logging_2039/artfynd/A 37730-2023 artfynd.xlsx", "A 37730-2023")</f>
        <v/>
      </c>
      <c r="W41">
        <f>HYPERLINK("https://klasma.github.io/Logging_2039/kartor/A 37730-2023 karta.png", "A 37730-2023")</f>
        <v/>
      </c>
      <c r="X41">
        <f>HYPERLINK("https://klasma.github.io/Logging_2039/knärot/A 37730-2023 karta knärot.png", "A 37730-2023")</f>
        <v/>
      </c>
      <c r="Y41">
        <f>HYPERLINK("https://klasma.github.io/Logging_2039/klagomål/A 37730-2023 FSC-klagomål.docx", "A 37730-2023")</f>
        <v/>
      </c>
      <c r="Z41">
        <f>HYPERLINK("https://klasma.github.io/Logging_2039/klagomålsmail/A 37730-2023 FSC-klagomål mail.docx", "A 37730-2023")</f>
        <v/>
      </c>
      <c r="AA41">
        <f>HYPERLINK("https://klasma.github.io/Logging_2039/tillsyn/A 37730-2023 tillsynsbegäran.docx", "A 37730-2023")</f>
        <v/>
      </c>
      <c r="AB41">
        <f>HYPERLINK("https://klasma.github.io/Logging_2039/tillsynsmail/A 37730-2023 tillsynsbegäran mail.docx", "A 37730-2023")</f>
        <v/>
      </c>
      <c r="AC41">
        <f>HYPERLINK("https://klasma.github.io/Logging_2039/fåglar/A 37730-2023 prioriterade fågelarter.docx", "A 37730-2023")</f>
        <v/>
      </c>
    </row>
    <row r="42" ht="15" customHeight="1">
      <c r="A42" t="inlineStr">
        <is>
          <t>A 47008-2025</t>
        </is>
      </c>
      <c r="B42" t="inlineStr">
        <is>
          <t>avverkningsanmälan</t>
        </is>
      </c>
      <c r="C42" t="inlineStr">
        <is>
          <t>Föryngringsavverkning</t>
        </is>
      </c>
      <c r="D42" s="1" t="n">
        <v>45929</v>
      </c>
      <c r="E42" s="1" t="n">
        <v>46217</v>
      </c>
      <c r="F42" t="inlineStr">
        <is>
          <t>DALARNAS LÄN</t>
        </is>
      </c>
      <c r="G42" t="inlineStr">
        <is>
          <t>ÄLVDALEN</t>
        </is>
      </c>
      <c r="H42" t="inlineStr">
        <is>
          <t>Allmännings- och besparingsskogar</t>
        </is>
      </c>
      <c r="I42" t="n">
        <v>4.6</v>
      </c>
      <c r="J42" t="n">
        <v>5</v>
      </c>
      <c r="K42" t="n">
        <v>0</v>
      </c>
      <c r="L42" t="n">
        <v>8</v>
      </c>
      <c r="M42" t="n">
        <v>1</v>
      </c>
      <c r="N42" t="n">
        <v>0</v>
      </c>
      <c r="O42" t="n">
        <v>0</v>
      </c>
      <c r="P42" t="n">
        <v>0</v>
      </c>
      <c r="Q42" t="n">
        <v>9</v>
      </c>
      <c r="R42" t="n">
        <v>1</v>
      </c>
      <c r="S42" t="n">
        <v>12</v>
      </c>
      <c r="T42" t="n">
        <v>103</v>
      </c>
      <c r="U42" s="2" t="inlineStr">
        <is>
          <t>Garnlav
Dvärgbägarlav
Kolflarnlav
Mörk kolflarnlav
Tallticka
Talltita
Tretåig hackspett
Vedflamlav
Vedskivlav
Spillkråka
Tjäder
Orre</t>
        </is>
      </c>
      <c r="V42">
        <f>HYPERLINK("https://klasma.github.io/Logging_2039/artfynd/A 47008-2025 artfynd.xlsx", "A 47008-2025")</f>
        <v/>
      </c>
      <c r="W42">
        <f>HYPERLINK("https://klasma.github.io/Logging_2039/kartor/A 47008-2025 karta.png", "A 47008-2025")</f>
        <v/>
      </c>
      <c r="Y42">
        <f>HYPERLINK("https://klasma.github.io/Logging_2039/klagomål/A 47008-2025 FSC-klagomål.docx", "A 47008-2025")</f>
        <v/>
      </c>
      <c r="Z42">
        <f>HYPERLINK("https://klasma.github.io/Logging_2039/klagomålsmail/A 47008-2025 FSC-klagomål mail.docx", "A 47008-2025")</f>
        <v/>
      </c>
      <c r="AA42">
        <f>HYPERLINK("https://klasma.github.io/Logging_2039/tillsyn/A 47008-2025 tillsynsbegäran.docx", "A 47008-2025")</f>
        <v/>
      </c>
      <c r="AB42">
        <f>HYPERLINK("https://klasma.github.io/Logging_2039/tillsynsmail/A 47008-2025 tillsynsbegäran mail.docx", "A 47008-2025")</f>
        <v/>
      </c>
      <c r="AC42">
        <f>HYPERLINK("https://klasma.github.io/Logging_2039/fåglar/A 47008-2025 prioriterade fågelarter.docx", "A 47008-2025")</f>
        <v/>
      </c>
    </row>
    <row r="43" ht="15" customHeight="1">
      <c r="A43" t="inlineStr">
        <is>
          <t>A 55982-2025</t>
        </is>
      </c>
      <c r="B43" t="inlineStr">
        <is>
          <t>avverkningsanmälan</t>
        </is>
      </c>
      <c r="C43" t="inlineStr">
        <is>
          <t>Föryngringsavverkning</t>
        </is>
      </c>
      <c r="D43" s="1" t="n">
        <v>45973</v>
      </c>
      <c r="E43" s="1" t="n">
        <v>46217</v>
      </c>
      <c r="F43" t="inlineStr">
        <is>
          <t>DALARNAS LÄN</t>
        </is>
      </c>
      <c r="G43" t="inlineStr">
        <is>
          <t>ÄLVDALEN</t>
        </is>
      </c>
      <c r="I43" t="n">
        <v>10</v>
      </c>
      <c r="J43" t="n">
        <v>4</v>
      </c>
      <c r="K43" t="n">
        <v>2</v>
      </c>
      <c r="L43" t="n">
        <v>6</v>
      </c>
      <c r="M43" t="n">
        <v>1</v>
      </c>
      <c r="N43" t="n">
        <v>0</v>
      </c>
      <c r="O43" t="n">
        <v>0</v>
      </c>
      <c r="P43" t="n">
        <v>0</v>
      </c>
      <c r="Q43" t="n">
        <v>7</v>
      </c>
      <c r="R43" t="n">
        <v>1</v>
      </c>
      <c r="S43" t="n">
        <v>12</v>
      </c>
      <c r="T43" t="n">
        <v>135</v>
      </c>
      <c r="U43" s="2" t="inlineStr">
        <is>
          <t>Garnlav
Blågrå svartspik
Kolflarnlav
Mörk kolflarnlav
Tretåig hackspett
Vedflamlav
Vedskivlav
Gullgröppa
Mindre märgborre
Spillkråka
Tjäder
Orre</t>
        </is>
      </c>
      <c r="V43">
        <f>HYPERLINK("https://klasma.github.io/Logging_2039/artfynd/A 55982-2025 artfynd.xlsx", "A 55982-2025")</f>
        <v/>
      </c>
      <c r="W43">
        <f>HYPERLINK("https://klasma.github.io/Logging_2039/kartor/A 55982-2025 karta.png", "A 55982-2025")</f>
        <v/>
      </c>
      <c r="Y43">
        <f>HYPERLINK("https://klasma.github.io/Logging_2039/klagomål/A 55982-2025 FSC-klagomål.docx", "A 55982-2025")</f>
        <v/>
      </c>
      <c r="Z43">
        <f>HYPERLINK("https://klasma.github.io/Logging_2039/klagomålsmail/A 55982-2025 FSC-klagomål mail.docx", "A 55982-2025")</f>
        <v/>
      </c>
      <c r="AA43">
        <f>HYPERLINK("https://klasma.github.io/Logging_2039/tillsyn/A 55982-2025 tillsynsbegäran.docx", "A 55982-2025")</f>
        <v/>
      </c>
      <c r="AB43">
        <f>HYPERLINK("https://klasma.github.io/Logging_2039/tillsynsmail/A 55982-2025 tillsynsbegäran mail.docx", "A 55982-2025")</f>
        <v/>
      </c>
      <c r="AC43">
        <f>HYPERLINK("https://klasma.github.io/Logging_2039/fåglar/A 55982-2025 prioriterade fågelarter.docx", "A 55982-2025")</f>
        <v/>
      </c>
    </row>
    <row r="44" ht="15" customHeight="1">
      <c r="A44" t="inlineStr">
        <is>
          <t>A 49247-2025</t>
        </is>
      </c>
      <c r="B44" t="inlineStr">
        <is>
          <t>avverkningsanmälan</t>
        </is>
      </c>
      <c r="C44" t="inlineStr">
        <is>
          <t>Föryngringsavverkning</t>
        </is>
      </c>
      <c r="D44" s="1" t="n">
        <v>45938</v>
      </c>
      <c r="E44" s="1" t="n">
        <v>46217</v>
      </c>
      <c r="F44" t="inlineStr">
        <is>
          <t>DALARNAS LÄN</t>
        </is>
      </c>
      <c r="G44" t="inlineStr">
        <is>
          <t>ÄLVDALEN</t>
        </is>
      </c>
      <c r="H44" t="inlineStr">
        <is>
          <t>Allmännings- och besparingsskogar</t>
        </is>
      </c>
      <c r="I44" t="n">
        <v>19</v>
      </c>
      <c r="J44" t="n">
        <v>3</v>
      </c>
      <c r="K44" t="n">
        <v>1</v>
      </c>
      <c r="L44" t="n">
        <v>8</v>
      </c>
      <c r="M44" t="n">
        <v>1</v>
      </c>
      <c r="N44" t="n">
        <v>0</v>
      </c>
      <c r="O44" t="n">
        <v>0</v>
      </c>
      <c r="P44" t="n">
        <v>0</v>
      </c>
      <c r="Q44" t="n">
        <v>9</v>
      </c>
      <c r="R44" t="n">
        <v>1</v>
      </c>
      <c r="S44" t="n">
        <v>12</v>
      </c>
      <c r="T44" t="n">
        <v>170</v>
      </c>
      <c r="U44" s="2" t="inlineStr">
        <is>
          <t>Garnlav
Doftskinn
Kolflarnlav
Mörk kolflarnlav
Tallticka
Tretåig hackspett
Ullticka
Vedflamlav
Vedskivlav
Mindre märgborre
Spillkråka
Kungsfågel</t>
        </is>
      </c>
      <c r="V44">
        <f>HYPERLINK("https://klasma.github.io/Logging_2039/artfynd/A 49247-2025 artfynd.xlsx", "A 49247-2025")</f>
        <v/>
      </c>
      <c r="W44">
        <f>HYPERLINK("https://klasma.github.io/Logging_2039/kartor/A 49247-2025 karta.png", "A 49247-2025")</f>
        <v/>
      </c>
      <c r="Y44">
        <f>HYPERLINK("https://klasma.github.io/Logging_2039/klagomål/A 49247-2025 FSC-klagomål.docx", "A 49247-2025")</f>
        <v/>
      </c>
      <c r="Z44">
        <f>HYPERLINK("https://klasma.github.io/Logging_2039/klagomålsmail/A 49247-2025 FSC-klagomål mail.docx", "A 49247-2025")</f>
        <v/>
      </c>
      <c r="AA44">
        <f>HYPERLINK("https://klasma.github.io/Logging_2039/tillsyn/A 49247-2025 tillsynsbegäran.docx", "A 49247-2025")</f>
        <v/>
      </c>
      <c r="AB44">
        <f>HYPERLINK("https://klasma.github.io/Logging_2039/tillsynsmail/A 49247-2025 tillsynsbegäran mail.docx", "A 49247-2025")</f>
        <v/>
      </c>
      <c r="AC44">
        <f>HYPERLINK("https://klasma.github.io/Logging_2039/fåglar/A 49247-2025 prioriterade fågelarter.docx", "A 49247-2025")</f>
        <v/>
      </c>
    </row>
    <row r="45" ht="15" customHeight="1">
      <c r="A45" t="inlineStr">
        <is>
          <t>A 14277-2024</t>
        </is>
      </c>
      <c r="B45" t="inlineStr">
        <is>
          <t>avverkningsanmälan</t>
        </is>
      </c>
      <c r="C45" t="inlineStr">
        <is>
          <t>Avverkning för annat ändamål</t>
        </is>
      </c>
      <c r="D45" s="1" t="n">
        <v>45393</v>
      </c>
      <c r="E45" s="1" t="n">
        <v>46217</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93</v>
      </c>
      <c r="U45" s="2" t="inlineStr">
        <is>
          <t>Garnlav
Blå taggsvamp
Dropptaggsvamp
Kolflarnlav
Ladlav
Mörk kolflarnlav
Talltita
Varglav
Vedflamlav
Vedskivlav
Mindre märgborre
Tjäder</t>
        </is>
      </c>
      <c r="V45">
        <f>HYPERLINK("https://klasma.github.io/Logging_2039/artfynd/A 14277-2024 artfynd.xlsx", "A 14277-2024")</f>
        <v/>
      </c>
      <c r="W45">
        <f>HYPERLINK("https://klasma.github.io/Logging_2039/kartor/A 14277-2024 karta.png", "A 14277-2024")</f>
        <v/>
      </c>
      <c r="Y45">
        <f>HYPERLINK("https://klasma.github.io/Logging_2039/klagomål/A 14277-2024 FSC-klagomål.docx", "A 14277-2024")</f>
        <v/>
      </c>
      <c r="Z45">
        <f>HYPERLINK("https://klasma.github.io/Logging_2039/klagomålsmail/A 14277-2024 FSC-klagomål mail.docx", "A 14277-2024")</f>
        <v/>
      </c>
      <c r="AA45">
        <f>HYPERLINK("https://klasma.github.io/Logging_2039/tillsyn/A 14277-2024 tillsynsbegäran.docx", "A 14277-2024")</f>
        <v/>
      </c>
      <c r="AB45">
        <f>HYPERLINK("https://klasma.github.io/Logging_2039/tillsynsmail/A 14277-2024 tillsynsbegäran mail.docx", "A 14277-2024")</f>
        <v/>
      </c>
      <c r="AC45">
        <f>HYPERLINK("https://klasma.github.io/Logging_2039/fåglar/A 14277-2024 prioriterade fågelarter.docx", "A 14277-2024")</f>
        <v/>
      </c>
    </row>
    <row r="46" ht="15" customHeight="1">
      <c r="A46" t="inlineStr">
        <is>
          <t>A 36371-2025</t>
        </is>
      </c>
      <c r="B46" t="inlineStr">
        <is>
          <t>avverkningsanmälan</t>
        </is>
      </c>
      <c r="C46" t="inlineStr">
        <is>
          <t>Föryngringsavverkning</t>
        </is>
      </c>
      <c r="D46" s="1" t="n">
        <v>45868</v>
      </c>
      <c r="E46" s="1" t="n">
        <v>46217</v>
      </c>
      <c r="F46" t="inlineStr">
        <is>
          <t>DALARNAS LÄN</t>
        </is>
      </c>
      <c r="G46" t="inlineStr">
        <is>
          <t>ÄLVDALEN</t>
        </is>
      </c>
      <c r="H46" t="inlineStr">
        <is>
          <t>Allmännings- och besparingsskogar</t>
        </is>
      </c>
      <c r="I46" t="n">
        <v>30.8</v>
      </c>
      <c r="J46" t="n">
        <v>4</v>
      </c>
      <c r="K46" t="n">
        <v>2</v>
      </c>
      <c r="L46" t="n">
        <v>7</v>
      </c>
      <c r="M46" t="n">
        <v>1</v>
      </c>
      <c r="N46" t="n">
        <v>0</v>
      </c>
      <c r="O46" t="n">
        <v>0</v>
      </c>
      <c r="P46" t="n">
        <v>0</v>
      </c>
      <c r="Q46" t="n">
        <v>8</v>
      </c>
      <c r="R46" t="n">
        <v>1</v>
      </c>
      <c r="S46" t="n">
        <v>12</v>
      </c>
      <c r="T46" t="n">
        <v>133</v>
      </c>
      <c r="U46" s="2" t="inlineStr">
        <is>
          <t>Garnlav
Duvhök
Kolflarnlav
Mörk kolflarnlav
Tallticka
Tretåig hackspett
Vedflamlav
Vedskivlav
Gräsull
Mindre märgborre
Spillkråka
Tjäder</t>
        </is>
      </c>
      <c r="V46">
        <f>HYPERLINK("https://klasma.github.io/Logging_2039/artfynd/A 36371-2025 artfynd.xlsx", "A 36371-2025")</f>
        <v/>
      </c>
      <c r="W46">
        <f>HYPERLINK("https://klasma.github.io/Logging_2039/kartor/A 36371-2025 karta.png", "A 36371-2025")</f>
        <v/>
      </c>
      <c r="Y46">
        <f>HYPERLINK("https://klasma.github.io/Logging_2039/klagomål/A 36371-2025 FSC-klagomål.docx", "A 36371-2025")</f>
        <v/>
      </c>
      <c r="Z46">
        <f>HYPERLINK("https://klasma.github.io/Logging_2039/klagomålsmail/A 36371-2025 FSC-klagomål mail.docx", "A 36371-2025")</f>
        <v/>
      </c>
      <c r="AA46">
        <f>HYPERLINK("https://klasma.github.io/Logging_2039/tillsyn/A 36371-2025 tillsynsbegäran.docx", "A 36371-2025")</f>
        <v/>
      </c>
      <c r="AB46">
        <f>HYPERLINK("https://klasma.github.io/Logging_2039/tillsynsmail/A 36371-2025 tillsynsbegäran mail.docx", "A 36371-2025")</f>
        <v/>
      </c>
      <c r="AC46">
        <f>HYPERLINK("https://klasma.github.io/Logging_2039/fåglar/A 36371-2025 prioriterade fågelarter.docx", "A 36371-2025")</f>
        <v/>
      </c>
    </row>
    <row r="47" ht="15" customHeight="1">
      <c r="A47" t="inlineStr">
        <is>
          <t>A 44936-2025</t>
        </is>
      </c>
      <c r="B47" t="inlineStr">
        <is>
          <t>avverkningsanmälan</t>
        </is>
      </c>
      <c r="C47" t="inlineStr">
        <is>
          <t>Föryngringsavverkning</t>
        </is>
      </c>
      <c r="D47" s="1" t="n">
        <v>45918</v>
      </c>
      <c r="E47" s="1" t="n">
        <v>46217</v>
      </c>
      <c r="F47" t="inlineStr">
        <is>
          <t>DALARNAS LÄN</t>
        </is>
      </c>
      <c r="G47" t="inlineStr">
        <is>
          <t>ÄLVDALEN</t>
        </is>
      </c>
      <c r="H47" t="inlineStr">
        <is>
          <t>Allmännings- och besparingsskogar</t>
        </is>
      </c>
      <c r="I47" t="n">
        <v>29.6</v>
      </c>
      <c r="J47" t="n">
        <v>5</v>
      </c>
      <c r="K47" t="n">
        <v>0</v>
      </c>
      <c r="L47" t="n">
        <v>7</v>
      </c>
      <c r="M47" t="n">
        <v>2</v>
      </c>
      <c r="N47" t="n">
        <v>0</v>
      </c>
      <c r="O47" t="n">
        <v>0</v>
      </c>
      <c r="P47" t="n">
        <v>0</v>
      </c>
      <c r="Q47" t="n">
        <v>9</v>
      </c>
      <c r="R47" t="n">
        <v>2</v>
      </c>
      <c r="S47" t="n">
        <v>12</v>
      </c>
      <c r="T47" t="n">
        <v>288</v>
      </c>
      <c r="U47" s="2" t="inlineStr">
        <is>
          <t>Garnlav
Gräddporing
Kolflarnlav
Mörk kolflarnlav
Tallticka
Talltita
Varglav
Vedflamlav
Vedskivlav
Spillkråka
Tjäder
Kungsfågel</t>
        </is>
      </c>
      <c r="V47">
        <f>HYPERLINK("https://klasma.github.io/Logging_2039/artfynd/A 44936-2025 artfynd.xlsx", "A 44936-2025")</f>
        <v/>
      </c>
      <c r="W47">
        <f>HYPERLINK("https://klasma.github.io/Logging_2039/kartor/A 44936-2025 karta.png", "A 44936-2025")</f>
        <v/>
      </c>
      <c r="Y47">
        <f>HYPERLINK("https://klasma.github.io/Logging_2039/klagomål/A 44936-2025 FSC-klagomål.docx", "A 44936-2025")</f>
        <v/>
      </c>
      <c r="Z47">
        <f>HYPERLINK("https://klasma.github.io/Logging_2039/klagomålsmail/A 44936-2025 FSC-klagomål mail.docx", "A 44936-2025")</f>
        <v/>
      </c>
      <c r="AA47">
        <f>HYPERLINK("https://klasma.github.io/Logging_2039/tillsyn/A 44936-2025 tillsynsbegäran.docx", "A 44936-2025")</f>
        <v/>
      </c>
      <c r="AB47">
        <f>HYPERLINK("https://klasma.github.io/Logging_2039/tillsynsmail/A 44936-2025 tillsynsbegäran mail.docx", "A 44936-2025")</f>
        <v/>
      </c>
      <c r="AC47">
        <f>HYPERLINK("https://klasma.github.io/Logging_2039/fåglar/A 44936-2025 prioriterade fågelarter.docx", "A 44936-2025")</f>
        <v/>
      </c>
    </row>
    <row r="48" ht="15" customHeight="1">
      <c r="A48" t="inlineStr">
        <is>
          <t>A 31658-2025</t>
        </is>
      </c>
      <c r="B48" t="inlineStr">
        <is>
          <t>avverkningsanmälan</t>
        </is>
      </c>
      <c r="C48" t="inlineStr">
        <is>
          <t>Föryngringsavverkning</t>
        </is>
      </c>
      <c r="D48" s="1" t="n">
        <v>45834</v>
      </c>
      <c r="E48" s="1" t="n">
        <v>46217</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s="2" t="inlineStr">
        <is>
          <t>Blanksvart spiklav
Blågrå svartspik
Dvärgbägarlav
Kolflarnlav
Mörk kolflarnlav
Nordtagging
Skrovellav
Talltita
Tretåig hackspett
Vedflamlav
Vedskivlav
Vedticka</t>
        </is>
      </c>
      <c r="V48">
        <f>HYPERLINK("https://klasma.github.io/Logging_2039/artfynd/A 31658-2025 artfynd.xlsx", "A 31658-2025")</f>
        <v/>
      </c>
      <c r="W48">
        <f>HYPERLINK("https://klasma.github.io/Logging_2039/kartor/A 31658-2025 karta.png", "A 31658-2025")</f>
        <v/>
      </c>
      <c r="Y48">
        <f>HYPERLINK("https://klasma.github.io/Logging_2039/klagomål/A 31658-2025 FSC-klagomål.docx", "A 31658-2025")</f>
        <v/>
      </c>
      <c r="Z48">
        <f>HYPERLINK("https://klasma.github.io/Logging_2039/klagomålsmail/A 31658-2025 FSC-klagomål mail.docx", "A 31658-2025")</f>
        <v/>
      </c>
      <c r="AA48">
        <f>HYPERLINK("https://klasma.github.io/Logging_2039/tillsyn/A 31658-2025 tillsynsbegäran.docx", "A 31658-2025")</f>
        <v/>
      </c>
      <c r="AB48">
        <f>HYPERLINK("https://klasma.github.io/Logging_2039/tillsynsmail/A 31658-2025 tillsynsbegäran mail.docx", "A 31658-2025")</f>
        <v/>
      </c>
      <c r="AC48">
        <f>HYPERLINK("https://klasma.github.io/Logging_2039/fåglar/A 31658-2025 prioriterade fågelarter.docx", "A 31658-2025")</f>
        <v/>
      </c>
    </row>
    <row r="49" ht="15" customHeight="1">
      <c r="A49" t="inlineStr">
        <is>
          <t>A 38364-2021</t>
        </is>
      </c>
      <c r="B49" t="inlineStr">
        <is>
          <t>avverkningsanmälan</t>
        </is>
      </c>
      <c r="C49" t="inlineStr">
        <is>
          <t>Föryngringsavverkning</t>
        </is>
      </c>
      <c r="D49" s="1" t="n">
        <v>44406</v>
      </c>
      <c r="E49" s="1" t="n">
        <v>46217</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71652-2021</t>
        </is>
      </c>
      <c r="B50" t="inlineStr">
        <is>
          <t>avverkningsanmälan</t>
        </is>
      </c>
      <c r="C50" t="inlineStr">
        <is>
          <t>Föryngringsavverkning</t>
        </is>
      </c>
      <c r="D50" s="1" t="n">
        <v>44543</v>
      </c>
      <c r="E50" s="1" t="n">
        <v>46217</v>
      </c>
      <c r="F50" t="inlineStr">
        <is>
          <t>DALARNAS LÄN</t>
        </is>
      </c>
      <c r="G50" t="inlineStr">
        <is>
          <t>ÄLVDALEN</t>
        </is>
      </c>
      <c r="I50" t="n">
        <v>4.3</v>
      </c>
      <c r="J50" t="n">
        <v>6</v>
      </c>
      <c r="K50" t="n">
        <v>3</v>
      </c>
      <c r="L50" t="n">
        <v>4</v>
      </c>
      <c r="M50" t="n">
        <v>1</v>
      </c>
      <c r="N50" t="n">
        <v>0</v>
      </c>
      <c r="O50" t="n">
        <v>0</v>
      </c>
      <c r="P50" t="n">
        <v>0</v>
      </c>
      <c r="Q50" t="n">
        <v>5</v>
      </c>
      <c r="R50" t="n">
        <v>1</v>
      </c>
      <c r="S50" t="n">
        <v>11</v>
      </c>
      <c r="T50" t="n">
        <v>66</v>
      </c>
      <c r="U50" s="2" t="inlineStr">
        <is>
          <t>Garnlav
Kolflarnlav
Talltita
Tretåig hackspett
Vedskivlav
Björksplintborre
Mindre märgborre
Spindelblomster
Spillkråka
Svartvit flugsnappare
Revlummer</t>
        </is>
      </c>
      <c r="V50">
        <f>HYPERLINK("https://klasma.github.io/Logging_2039/artfynd/A 71652-2021 artfynd.xlsx", "A 71652-2021")</f>
        <v/>
      </c>
      <c r="W50">
        <f>HYPERLINK("https://klasma.github.io/Logging_2039/kartor/A 71652-2021 karta.png", "A 71652-2021")</f>
        <v/>
      </c>
      <c r="Y50">
        <f>HYPERLINK("https://klasma.github.io/Logging_2039/klagomål/A 71652-2021 FSC-klagomål.docx", "A 71652-2021")</f>
        <v/>
      </c>
      <c r="Z50">
        <f>HYPERLINK("https://klasma.github.io/Logging_2039/klagomålsmail/A 71652-2021 FSC-klagomål mail.docx", "A 71652-2021")</f>
        <v/>
      </c>
      <c r="AA50">
        <f>HYPERLINK("https://klasma.github.io/Logging_2039/tillsyn/A 71652-2021 tillsynsbegäran.docx", "A 71652-2021")</f>
        <v/>
      </c>
      <c r="AB50">
        <f>HYPERLINK("https://klasma.github.io/Logging_2039/tillsynsmail/A 71652-2021 tillsynsbegäran mail.docx", "A 71652-2021")</f>
        <v/>
      </c>
      <c r="AC50">
        <f>HYPERLINK("https://klasma.github.io/Logging_2039/fåglar/A 71652-2021 prioriterade fågelarter.docx", "A 71652-2021")</f>
        <v/>
      </c>
    </row>
    <row r="51" ht="15" customHeight="1">
      <c r="A51" t="inlineStr">
        <is>
          <t>A 49064-2025</t>
        </is>
      </c>
      <c r="B51" t="inlineStr">
        <is>
          <t>avverkningsanmälan</t>
        </is>
      </c>
      <c r="C51" t="inlineStr">
        <is>
          <t>Föryngringsavverkning</t>
        </is>
      </c>
      <c r="D51" s="1" t="n">
        <v>45937</v>
      </c>
      <c r="E51" s="1" t="n">
        <v>46217</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s="2" t="inlineStr">
        <is>
          <t>Garnlav
Dropptaggsvamp
Kolflarnlav
Mörk kolflarnlav
Talltita
Vedflamlav
Vedskivlav
Mindre märgborre
Spillkråka
Tjäder
Kungsfågel</t>
        </is>
      </c>
      <c r="V51">
        <f>HYPERLINK("https://klasma.github.io/Logging_2039/artfynd/A 49064-2025 artfynd.xlsx", "A 49064-2025")</f>
        <v/>
      </c>
      <c r="W51">
        <f>HYPERLINK("https://klasma.github.io/Logging_2039/kartor/A 49064-2025 karta.png", "A 49064-2025")</f>
        <v/>
      </c>
      <c r="Y51">
        <f>HYPERLINK("https://klasma.github.io/Logging_2039/klagomål/A 49064-2025 FSC-klagomål.docx", "A 49064-2025")</f>
        <v/>
      </c>
      <c r="Z51">
        <f>HYPERLINK("https://klasma.github.io/Logging_2039/klagomålsmail/A 49064-2025 FSC-klagomål mail.docx", "A 49064-2025")</f>
        <v/>
      </c>
      <c r="AA51">
        <f>HYPERLINK("https://klasma.github.io/Logging_2039/tillsyn/A 49064-2025 tillsynsbegäran.docx", "A 49064-2025")</f>
        <v/>
      </c>
      <c r="AB51">
        <f>HYPERLINK("https://klasma.github.io/Logging_2039/tillsynsmail/A 49064-2025 tillsynsbegäran mail.docx", "A 49064-2025")</f>
        <v/>
      </c>
      <c r="AC51">
        <f>HYPERLINK("https://klasma.github.io/Logging_2039/fåglar/A 49064-2025 prioriterade fågelarter.docx", "A 49064-2025")</f>
        <v/>
      </c>
    </row>
    <row r="52" ht="15" customHeight="1">
      <c r="A52" t="inlineStr">
        <is>
          <t>A 39759-2025</t>
        </is>
      </c>
      <c r="B52" t="inlineStr">
        <is>
          <t>avverkningsanmälan</t>
        </is>
      </c>
      <c r="C52" t="inlineStr">
        <is>
          <t>Föryngringsavverkning</t>
        </is>
      </c>
      <c r="D52" s="1" t="n">
        <v>45891</v>
      </c>
      <c r="E52" s="1" t="n">
        <v>46217</v>
      </c>
      <c r="F52" t="inlineStr">
        <is>
          <t>DALARNAS LÄN</t>
        </is>
      </c>
      <c r="G52" t="inlineStr">
        <is>
          <t>ÄLVDALEN</t>
        </is>
      </c>
      <c r="I52" t="n">
        <v>6.6</v>
      </c>
      <c r="J52" t="n">
        <v>4</v>
      </c>
      <c r="K52" t="n">
        <v>1</v>
      </c>
      <c r="L52" t="n">
        <v>6</v>
      </c>
      <c r="M52" t="n">
        <v>1</v>
      </c>
      <c r="N52" t="n">
        <v>0</v>
      </c>
      <c r="O52" t="n">
        <v>0</v>
      </c>
      <c r="P52" t="n">
        <v>0</v>
      </c>
      <c r="Q52" t="n">
        <v>7</v>
      </c>
      <c r="R52" t="n">
        <v>1</v>
      </c>
      <c r="S52" t="n">
        <v>11</v>
      </c>
      <c r="T52" t="n">
        <v>45</v>
      </c>
      <c r="U52" s="2" t="inlineStr">
        <is>
          <t>Garnlav
Dropptaggsvamp
Fjällig taggsvamp s.str.
Kolflarnlav
Mörk kolflarnlav
Talltita
Violettgrå tagellav
Trådticka
Spillkråka
Kungsfågel
Revlummer</t>
        </is>
      </c>
      <c r="V52">
        <f>HYPERLINK("https://klasma.github.io/Logging_2039/artfynd/A 39759-2025 artfynd.xlsx", "A 39759-2025")</f>
        <v/>
      </c>
      <c r="W52">
        <f>HYPERLINK("https://klasma.github.io/Logging_2039/kartor/A 39759-2025 karta.png", "A 39759-2025")</f>
        <v/>
      </c>
      <c r="Y52">
        <f>HYPERLINK("https://klasma.github.io/Logging_2039/klagomål/A 39759-2025 FSC-klagomål.docx", "A 39759-2025")</f>
        <v/>
      </c>
      <c r="Z52">
        <f>HYPERLINK("https://klasma.github.io/Logging_2039/klagomålsmail/A 39759-2025 FSC-klagomål mail.docx", "A 39759-2025")</f>
        <v/>
      </c>
      <c r="AA52">
        <f>HYPERLINK("https://klasma.github.io/Logging_2039/tillsyn/A 39759-2025 tillsynsbegäran.docx", "A 39759-2025")</f>
        <v/>
      </c>
      <c r="AB52">
        <f>HYPERLINK("https://klasma.github.io/Logging_2039/tillsynsmail/A 39759-2025 tillsynsbegäran mail.docx", "A 39759-2025")</f>
        <v/>
      </c>
      <c r="AC52">
        <f>HYPERLINK("https://klasma.github.io/Logging_2039/fåglar/A 39759-2025 prioriterade fågelarter.docx", "A 39759-2025")</f>
        <v/>
      </c>
    </row>
    <row r="53" ht="15" customHeight="1">
      <c r="A53" t="inlineStr">
        <is>
          <t>A 43051-2025</t>
        </is>
      </c>
      <c r="B53" t="inlineStr">
        <is>
          <t>avverkningsanmälan</t>
        </is>
      </c>
      <c r="C53" t="inlineStr">
        <is>
          <t>Föryngringsavverkning</t>
        </is>
      </c>
      <c r="D53" s="1" t="n">
        <v>45909</v>
      </c>
      <c r="E53" s="1" t="n">
        <v>46217</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s="2" t="inlineStr">
        <is>
          <t>Pärluggla
Garnlav
Kolflarnlav
Skrovellav
Talltita
Tretåig hackspett
Vitgrynig nållav
Bronshjon
Vågbandad barkbock
Tjäder
Revlummer</t>
        </is>
      </c>
      <c r="V53">
        <f>HYPERLINK("https://klasma.github.io/Logging_2039/artfynd/A 43051-2025 artfynd.xlsx", "A 43051-2025")</f>
        <v/>
      </c>
      <c r="W53">
        <f>HYPERLINK("https://klasma.github.io/Logging_2039/kartor/A 43051-2025 karta.png", "A 43051-2025")</f>
        <v/>
      </c>
      <c r="Y53">
        <f>HYPERLINK("https://klasma.github.io/Logging_2039/klagomål/A 43051-2025 FSC-klagomål.docx", "A 43051-2025")</f>
        <v/>
      </c>
      <c r="Z53">
        <f>HYPERLINK("https://klasma.github.io/Logging_2039/klagomålsmail/A 43051-2025 FSC-klagomål mail.docx", "A 43051-2025")</f>
        <v/>
      </c>
      <c r="AA53">
        <f>HYPERLINK("https://klasma.github.io/Logging_2039/tillsyn/A 43051-2025 tillsynsbegäran.docx", "A 43051-2025")</f>
        <v/>
      </c>
      <c r="AB53">
        <f>HYPERLINK("https://klasma.github.io/Logging_2039/tillsynsmail/A 43051-2025 tillsynsbegäran mail.docx", "A 43051-2025")</f>
        <v/>
      </c>
      <c r="AC53">
        <f>HYPERLINK("https://klasma.github.io/Logging_2039/fåglar/A 43051-2025 prioriterade fågelarter.docx", "A 43051-2025")</f>
        <v/>
      </c>
    </row>
    <row r="54" ht="15" customHeight="1">
      <c r="A54" t="inlineStr">
        <is>
          <t>A 43867-2025</t>
        </is>
      </c>
      <c r="B54" t="inlineStr">
        <is>
          <t>avverkningsanmälan</t>
        </is>
      </c>
      <c r="C54" t="inlineStr">
        <is>
          <t>Föryngringsavverkning</t>
        </is>
      </c>
      <c r="D54" s="1" t="n">
        <v>45912</v>
      </c>
      <c r="E54" s="1" t="n">
        <v>46217</v>
      </c>
      <c r="F54" t="inlineStr">
        <is>
          <t>DALARNAS LÄN</t>
        </is>
      </c>
      <c r="G54" t="inlineStr">
        <is>
          <t>ÄLVDALEN</t>
        </is>
      </c>
      <c r="H54" t="inlineStr">
        <is>
          <t>Allmännings- och besparingsskogar</t>
        </is>
      </c>
      <c r="I54" t="n">
        <v>25.5</v>
      </c>
      <c r="J54" t="n">
        <v>5</v>
      </c>
      <c r="K54" t="n">
        <v>1</v>
      </c>
      <c r="L54" t="n">
        <v>6</v>
      </c>
      <c r="M54" t="n">
        <v>1</v>
      </c>
      <c r="N54" t="n">
        <v>0</v>
      </c>
      <c r="O54" t="n">
        <v>0</v>
      </c>
      <c r="P54" t="n">
        <v>0</v>
      </c>
      <c r="Q54" t="n">
        <v>7</v>
      </c>
      <c r="R54" t="n">
        <v>1</v>
      </c>
      <c r="S54" t="n">
        <v>11</v>
      </c>
      <c r="T54" t="n">
        <v>132</v>
      </c>
      <c r="U54" s="2" t="inlineStr">
        <is>
          <t>Garnlav
Doftskinn
Kolflarnlav
Mörk kolflarnlav
Talltita
Vedflamlav
Vedskivlav
Plattlummer
Spillkråka
Tjäder
Kungsfågel</t>
        </is>
      </c>
      <c r="V54">
        <f>HYPERLINK("https://klasma.github.io/Logging_2039/artfynd/A 43867-2025 artfynd.xlsx", "A 43867-2025")</f>
        <v/>
      </c>
      <c r="W54">
        <f>HYPERLINK("https://klasma.github.io/Logging_2039/kartor/A 43867-2025 karta.png", "A 43867-2025")</f>
        <v/>
      </c>
      <c r="Y54">
        <f>HYPERLINK("https://klasma.github.io/Logging_2039/klagomål/A 43867-2025 FSC-klagomål.docx", "A 43867-2025")</f>
        <v/>
      </c>
      <c r="Z54">
        <f>HYPERLINK("https://klasma.github.io/Logging_2039/klagomålsmail/A 43867-2025 FSC-klagomål mail.docx", "A 43867-2025")</f>
        <v/>
      </c>
      <c r="AA54">
        <f>HYPERLINK("https://klasma.github.io/Logging_2039/tillsyn/A 43867-2025 tillsynsbegäran.docx", "A 43867-2025")</f>
        <v/>
      </c>
      <c r="AB54">
        <f>HYPERLINK("https://klasma.github.io/Logging_2039/tillsynsmail/A 43867-2025 tillsynsbegäran mail.docx", "A 43867-2025")</f>
        <v/>
      </c>
      <c r="AC54">
        <f>HYPERLINK("https://klasma.github.io/Logging_2039/fåglar/A 43867-2025 prioriterade fågelarter.docx", "A 43867-2025")</f>
        <v/>
      </c>
    </row>
    <row r="55" ht="15" customHeight="1">
      <c r="A55" t="inlineStr">
        <is>
          <t>A 39267-2021</t>
        </is>
      </c>
      <c r="B55" t="inlineStr">
        <is>
          <t>avverkningsanmälan</t>
        </is>
      </c>
      <c r="C55" t="inlineStr">
        <is>
          <t>Avverkning för annat ändamål</t>
        </is>
      </c>
      <c r="D55" s="1" t="n">
        <v>44413</v>
      </c>
      <c r="E55" s="1" t="n">
        <v>46217</v>
      </c>
      <c r="F55" t="inlineStr">
        <is>
          <t>DALARNAS LÄN</t>
        </is>
      </c>
      <c r="G55" t="inlineStr">
        <is>
          <t>ÄLVDALEN</t>
        </is>
      </c>
      <c r="I55" t="n">
        <v>2.4</v>
      </c>
      <c r="J55" t="n">
        <v>5</v>
      </c>
      <c r="K55" t="n">
        <v>1</v>
      </c>
      <c r="L55" t="n">
        <v>4</v>
      </c>
      <c r="M55" t="n">
        <v>2</v>
      </c>
      <c r="N55" t="n">
        <v>0</v>
      </c>
      <c r="O55" t="n">
        <v>0</v>
      </c>
      <c r="P55" t="n">
        <v>0</v>
      </c>
      <c r="Q55" t="n">
        <v>6</v>
      </c>
      <c r="R55" t="n">
        <v>2</v>
      </c>
      <c r="S55" t="n">
        <v>10</v>
      </c>
      <c r="T55" t="n">
        <v>27</v>
      </c>
      <c r="U55" s="2" t="inlineStr">
        <is>
          <t>Garnlav
Knärot
Tretåig hackspett
Ullticka
Vedskivlav
Violettgrå tagellav
Vedticka
Spillkråka
Kungsfågel
Revlummer</t>
        </is>
      </c>
      <c r="V55">
        <f>HYPERLINK("https://klasma.github.io/Logging_2039/artfynd/A 39267-2021 artfynd.xlsx", "A 39267-2021")</f>
        <v/>
      </c>
      <c r="W55">
        <f>HYPERLINK("https://klasma.github.io/Logging_2039/kartor/A 39267-2021 karta.png", "A 39267-2021")</f>
        <v/>
      </c>
      <c r="X55">
        <f>HYPERLINK("https://klasma.github.io/Logging_2039/knärot/A 39267-2021 karta knärot.png", "A 39267-2021")</f>
        <v/>
      </c>
      <c r="Y55">
        <f>HYPERLINK("https://klasma.github.io/Logging_2039/klagomål/A 39267-2021 FSC-klagomål.docx", "A 39267-2021")</f>
        <v/>
      </c>
      <c r="Z55">
        <f>HYPERLINK("https://klasma.github.io/Logging_2039/klagomålsmail/A 39267-2021 FSC-klagomål mail.docx", "A 39267-2021")</f>
        <v/>
      </c>
      <c r="AA55">
        <f>HYPERLINK("https://klasma.github.io/Logging_2039/tillsyn/A 39267-2021 tillsynsbegäran.docx", "A 39267-2021")</f>
        <v/>
      </c>
      <c r="AB55">
        <f>HYPERLINK("https://klasma.github.io/Logging_2039/tillsynsmail/A 39267-2021 tillsynsbegäran mail.docx", "A 39267-2021")</f>
        <v/>
      </c>
      <c r="AC55">
        <f>HYPERLINK("https://klasma.github.io/Logging_2039/fåglar/A 39267-2021 prioriterade fågelarter.docx", "A 39267-2021")</f>
        <v/>
      </c>
    </row>
    <row r="56" ht="15" customHeight="1">
      <c r="A56" t="inlineStr">
        <is>
          <t>A 17715-2024</t>
        </is>
      </c>
      <c r="B56" t="inlineStr">
        <is>
          <t>avverkningsanmälan</t>
        </is>
      </c>
      <c r="C56" t="inlineStr">
        <is>
          <t>Föryngringsavverkning</t>
        </is>
      </c>
      <c r="D56" s="1" t="n">
        <v>45415</v>
      </c>
      <c r="E56" s="1" t="n">
        <v>46217</v>
      </c>
      <c r="F56" t="inlineStr">
        <is>
          <t>DALARNAS LÄN</t>
        </is>
      </c>
      <c r="G56" t="inlineStr">
        <is>
          <t>ÄLVDALEN</t>
        </is>
      </c>
      <c r="H56" t="inlineStr">
        <is>
          <t>Övriga statliga verk och myndigheter</t>
        </is>
      </c>
      <c r="I56" t="n">
        <v>19.2</v>
      </c>
      <c r="J56" t="n">
        <v>1</v>
      </c>
      <c r="K56" t="n">
        <v>0</v>
      </c>
      <c r="L56" t="n">
        <v>9</v>
      </c>
      <c r="M56" t="n">
        <v>0</v>
      </c>
      <c r="N56" t="n">
        <v>0</v>
      </c>
      <c r="O56" t="n">
        <v>0</v>
      </c>
      <c r="P56" t="n">
        <v>0</v>
      </c>
      <c r="Q56" t="n">
        <v>9</v>
      </c>
      <c r="R56" t="n">
        <v>0</v>
      </c>
      <c r="S56" t="n">
        <v>10</v>
      </c>
      <c r="T56" t="n">
        <v>11</v>
      </c>
      <c r="U56" s="2" t="inlineStr">
        <is>
          <t>Blanksvart spiklav
Blågrå svartspik
Dropptaggsvamp
Dvärgbägarlav
Kolflarnlav
Mörk kolflarnlav
Reliktbock
Vedflamlav
Vedskivlav
Tjäder</t>
        </is>
      </c>
      <c r="V56">
        <f>HYPERLINK("https://klasma.github.io/Logging_2039/artfynd/A 17715-2024 artfynd.xlsx", "A 17715-2024")</f>
        <v/>
      </c>
      <c r="W56">
        <f>HYPERLINK("https://klasma.github.io/Logging_2039/kartor/A 17715-2024 karta.png", "A 17715-2024")</f>
        <v/>
      </c>
      <c r="Y56">
        <f>HYPERLINK("https://klasma.github.io/Logging_2039/klagomål/A 17715-2024 FSC-klagomål.docx", "A 17715-2024")</f>
        <v/>
      </c>
      <c r="Z56">
        <f>HYPERLINK("https://klasma.github.io/Logging_2039/klagomålsmail/A 17715-2024 FSC-klagomål mail.docx", "A 17715-2024")</f>
        <v/>
      </c>
      <c r="AA56">
        <f>HYPERLINK("https://klasma.github.io/Logging_2039/tillsyn/A 17715-2024 tillsynsbegäran.docx", "A 17715-2024")</f>
        <v/>
      </c>
      <c r="AB56">
        <f>HYPERLINK("https://klasma.github.io/Logging_2039/tillsynsmail/A 17715-2024 tillsynsbegäran mail.docx", "A 17715-2024")</f>
        <v/>
      </c>
      <c r="AC56">
        <f>HYPERLINK("https://klasma.github.io/Logging_2039/fåglar/A 17715-2024 prioriterade fågelarter.docx", "A 17715-2024")</f>
        <v/>
      </c>
    </row>
    <row r="57" ht="15" customHeight="1">
      <c r="A57" t="inlineStr">
        <is>
          <t>A 41753-2025</t>
        </is>
      </c>
      <c r="B57" t="inlineStr">
        <is>
          <t>avverkningsanmälan</t>
        </is>
      </c>
      <c r="C57" t="inlineStr">
        <is>
          <t>Föryngringsavverkning</t>
        </is>
      </c>
      <c r="D57" s="1" t="n">
        <v>45902</v>
      </c>
      <c r="E57" s="1" t="n">
        <v>46217</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s="2" t="inlineStr">
        <is>
          <t>Fläckporing
Blå taggsvamp
Dropptaggsvamp
Dvärgbägarlav
Kolflarnlav
Mörk kolflarnlav
Orange taggsvamp
Talltaggsvamp
Varglav
Vedflamlav</t>
        </is>
      </c>
      <c r="V57">
        <f>HYPERLINK("https://klasma.github.io/Logging_2039/artfynd/A 41753-2025 artfynd.xlsx", "A 41753-2025")</f>
        <v/>
      </c>
      <c r="W57">
        <f>HYPERLINK("https://klasma.github.io/Logging_2039/kartor/A 41753-2025 karta.png", "A 41753-2025")</f>
        <v/>
      </c>
      <c r="Y57">
        <f>HYPERLINK("https://klasma.github.io/Logging_2039/klagomål/A 41753-2025 FSC-klagomål.docx", "A 41753-2025")</f>
        <v/>
      </c>
      <c r="Z57">
        <f>HYPERLINK("https://klasma.github.io/Logging_2039/klagomålsmail/A 41753-2025 FSC-klagomål mail.docx", "A 41753-2025")</f>
        <v/>
      </c>
      <c r="AA57">
        <f>HYPERLINK("https://klasma.github.io/Logging_2039/tillsyn/A 41753-2025 tillsynsbegäran.docx", "A 41753-2025")</f>
        <v/>
      </c>
      <c r="AB57">
        <f>HYPERLINK("https://klasma.github.io/Logging_2039/tillsynsmail/A 41753-2025 tillsynsbegäran mail.docx", "A 41753-2025")</f>
        <v/>
      </c>
    </row>
    <row r="58" ht="15" customHeight="1">
      <c r="A58" t="inlineStr">
        <is>
          <t>A 15738-2025</t>
        </is>
      </c>
      <c r="B58" t="inlineStr">
        <is>
          <t>avverkningsanmälan</t>
        </is>
      </c>
      <c r="C58" t="inlineStr">
        <is>
          <t>Föryngringsavverkning</t>
        </is>
      </c>
      <c r="D58" s="1" t="n">
        <v>45748</v>
      </c>
      <c r="E58" s="1" t="n">
        <v>46217</v>
      </c>
      <c r="F58" t="inlineStr">
        <is>
          <t>DALARNAS LÄN</t>
        </is>
      </c>
      <c r="G58" t="inlineStr">
        <is>
          <t>ÄLVDALEN</t>
        </is>
      </c>
      <c r="I58" t="n">
        <v>4.5</v>
      </c>
      <c r="J58" t="n">
        <v>3</v>
      </c>
      <c r="K58" t="n">
        <v>2</v>
      </c>
      <c r="L58" t="n">
        <v>5</v>
      </c>
      <c r="M58" t="n">
        <v>1</v>
      </c>
      <c r="N58" t="n">
        <v>0</v>
      </c>
      <c r="O58" t="n">
        <v>0</v>
      </c>
      <c r="P58" t="n">
        <v>0</v>
      </c>
      <c r="Q58" t="n">
        <v>6</v>
      </c>
      <c r="R58" t="n">
        <v>1</v>
      </c>
      <c r="S58" t="n">
        <v>10</v>
      </c>
      <c r="T58" t="n">
        <v>38</v>
      </c>
      <c r="U58" s="2" t="inlineStr">
        <is>
          <t>Garnlav
Doftskinn
Dropptaggsvamp
Talltita
Ullticka
Vedskivlav
Bronshjon
Mindre märgborre
Spillkråka
Tjäder</t>
        </is>
      </c>
      <c r="V58">
        <f>HYPERLINK("https://klasma.github.io/Logging_2039/artfynd/A 15738-2025 artfynd.xlsx", "A 15738-2025")</f>
        <v/>
      </c>
      <c r="W58">
        <f>HYPERLINK("https://klasma.github.io/Logging_2039/kartor/A 15738-2025 karta.png", "A 15738-2025")</f>
        <v/>
      </c>
      <c r="Y58">
        <f>HYPERLINK("https://klasma.github.io/Logging_2039/klagomål/A 15738-2025 FSC-klagomål.docx", "A 15738-2025")</f>
        <v/>
      </c>
      <c r="Z58">
        <f>HYPERLINK("https://klasma.github.io/Logging_2039/klagomålsmail/A 15738-2025 FSC-klagomål mail.docx", "A 15738-2025")</f>
        <v/>
      </c>
      <c r="AA58">
        <f>HYPERLINK("https://klasma.github.io/Logging_2039/tillsyn/A 15738-2025 tillsynsbegäran.docx", "A 15738-2025")</f>
        <v/>
      </c>
      <c r="AB58">
        <f>HYPERLINK("https://klasma.github.io/Logging_2039/tillsynsmail/A 15738-2025 tillsynsbegäran mail.docx", "A 15738-2025")</f>
        <v/>
      </c>
      <c r="AC58">
        <f>HYPERLINK("https://klasma.github.io/Logging_2039/fåglar/A 15738-2025 prioriterade fågelarter.docx", "A 15738-2025")</f>
        <v/>
      </c>
    </row>
    <row r="59" ht="15" customHeight="1">
      <c r="A59" t="inlineStr">
        <is>
          <t>A 40444-2025</t>
        </is>
      </c>
      <c r="B59" t="inlineStr">
        <is>
          <t>avverkningsanmälan</t>
        </is>
      </c>
      <c r="C59" t="inlineStr">
        <is>
          <t>Föryngringsavverkning</t>
        </is>
      </c>
      <c r="D59" s="1" t="n">
        <v>45895</v>
      </c>
      <c r="E59" s="1" t="n">
        <v>46217</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Y59">
        <f>HYPERLINK("https://klasma.github.io/Logging_2039/klagomål/A 40444-2025 FSC-klagomål.docx", "A 40444-2025")</f>
        <v/>
      </c>
      <c r="Z59">
        <f>HYPERLINK("https://klasma.github.io/Logging_2039/klagomålsmail/A 40444-2025 FSC-klagomål mail.docx", "A 40444-2025")</f>
        <v/>
      </c>
      <c r="AA59">
        <f>HYPERLINK("https://klasma.github.io/Logging_2039/tillsyn/A 40444-2025 tillsynsbegäran.docx", "A 40444-2025")</f>
        <v/>
      </c>
      <c r="AB59">
        <f>HYPERLINK("https://klasma.github.io/Logging_2039/tillsynsmail/A 40444-2025 tillsynsbegäran mail.docx", "A 40444-2025")</f>
        <v/>
      </c>
      <c r="AC59">
        <f>HYPERLINK("https://klasma.github.io/Logging_2039/fåglar/A 40444-2025 prioriterade fågelarter.docx", "A 40444-2025")</f>
        <v/>
      </c>
    </row>
    <row r="60" ht="15" customHeight="1">
      <c r="A60" t="inlineStr">
        <is>
          <t>A 1159-2026</t>
        </is>
      </c>
      <c r="B60" t="inlineStr">
        <is>
          <t>avverkningsanmälan</t>
        </is>
      </c>
      <c r="C60" t="inlineStr">
        <is>
          <t>Föryngringsavverkning</t>
        </is>
      </c>
      <c r="D60" s="1" t="n">
        <v>46031</v>
      </c>
      <c r="E60" s="1" t="n">
        <v>46217</v>
      </c>
      <c r="F60" t="inlineStr">
        <is>
          <t>DALARNAS LÄN</t>
        </is>
      </c>
      <c r="G60" t="inlineStr">
        <is>
          <t>ÄLVDALEN</t>
        </is>
      </c>
      <c r="H60" t="inlineStr">
        <is>
          <t>Allmännings- och besparingsskogar</t>
        </is>
      </c>
      <c r="I60" t="n">
        <v>33.9</v>
      </c>
      <c r="J60" t="n">
        <v>3</v>
      </c>
      <c r="K60" t="n">
        <v>1</v>
      </c>
      <c r="L60" t="n">
        <v>5</v>
      </c>
      <c r="M60" t="n">
        <v>2</v>
      </c>
      <c r="N60" t="n">
        <v>0</v>
      </c>
      <c r="O60" t="n">
        <v>0</v>
      </c>
      <c r="P60" t="n">
        <v>0</v>
      </c>
      <c r="Q60" t="n">
        <v>7</v>
      </c>
      <c r="R60" t="n">
        <v>2</v>
      </c>
      <c r="S60" t="n">
        <v>10</v>
      </c>
      <c r="T60" t="n">
        <v>95</v>
      </c>
      <c r="U60" s="2" t="inlineStr">
        <is>
          <t>Garnlav
Raggbock
Kolflarnlav
Mörk kolflarnlav
Tallticka
Tretåig hackspett
Vedflamlav
Mindre märgborre
Spillkråka
Kungsfågel</t>
        </is>
      </c>
      <c r="V60">
        <f>HYPERLINK("https://klasma.github.io/Logging_2039/artfynd/A 1159-2026 artfynd.xlsx", "A 1159-2026")</f>
        <v/>
      </c>
      <c r="W60">
        <f>HYPERLINK("https://klasma.github.io/Logging_2039/kartor/A 1159-2026 karta.png", "A 1159-2026")</f>
        <v/>
      </c>
      <c r="Y60">
        <f>HYPERLINK("https://klasma.github.io/Logging_2039/klagomål/A 1159-2026 FSC-klagomål.docx", "A 1159-2026")</f>
        <v/>
      </c>
      <c r="Z60">
        <f>HYPERLINK("https://klasma.github.io/Logging_2039/klagomålsmail/A 1159-2026 FSC-klagomål mail.docx", "A 1159-2026")</f>
        <v/>
      </c>
      <c r="AA60">
        <f>HYPERLINK("https://klasma.github.io/Logging_2039/tillsyn/A 1159-2026 tillsynsbegäran.docx", "A 1159-2026")</f>
        <v/>
      </c>
      <c r="AB60">
        <f>HYPERLINK("https://klasma.github.io/Logging_2039/tillsynsmail/A 1159-2026 tillsynsbegäran mail.docx", "A 1159-2026")</f>
        <v/>
      </c>
      <c r="AC60">
        <f>HYPERLINK("https://klasma.github.io/Logging_2039/fåglar/A 1159-2026 prioriterade fågelarter.docx", "A 1159-2026")</f>
        <v/>
      </c>
    </row>
    <row r="61" ht="15" customHeight="1">
      <c r="A61" t="inlineStr">
        <is>
          <t>A 61999-2025</t>
        </is>
      </c>
      <c r="B61" t="inlineStr">
        <is>
          <t>avverkningsanmälan</t>
        </is>
      </c>
      <c r="C61" t="inlineStr">
        <is>
          <t>Föryngringsavverkning</t>
        </is>
      </c>
      <c r="D61" s="1" t="n">
        <v>46003</v>
      </c>
      <c r="E61" s="1" t="n">
        <v>46217</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38582-2023</t>
        </is>
      </c>
      <c r="B62" t="inlineStr">
        <is>
          <t>avverkningsanmälan</t>
        </is>
      </c>
      <c r="C62" t="inlineStr">
        <is>
          <t>Föryngringsavverkning</t>
        </is>
      </c>
      <c r="D62" s="1" t="n">
        <v>45162</v>
      </c>
      <c r="E62" s="1" t="n">
        <v>46217</v>
      </c>
      <c r="F62" t="inlineStr">
        <is>
          <t>DALARNAS LÄN</t>
        </is>
      </c>
      <c r="G62" t="inlineStr">
        <is>
          <t>ÄLVDALEN</t>
        </is>
      </c>
      <c r="H62" t="inlineStr">
        <is>
          <t>Sveaskog</t>
        </is>
      </c>
      <c r="I62" t="n">
        <v>4.4</v>
      </c>
      <c r="J62" t="n">
        <v>2</v>
      </c>
      <c r="K62" t="n">
        <v>1</v>
      </c>
      <c r="L62" t="n">
        <v>8</v>
      </c>
      <c r="M62" t="n">
        <v>1</v>
      </c>
      <c r="N62" t="n">
        <v>0</v>
      </c>
      <c r="O62" t="n">
        <v>0</v>
      </c>
      <c r="P62" t="n">
        <v>0</v>
      </c>
      <c r="Q62" t="n">
        <v>9</v>
      </c>
      <c r="R62" t="n">
        <v>1</v>
      </c>
      <c r="S62" t="n">
        <v>10</v>
      </c>
      <c r="T62" t="n">
        <v>10</v>
      </c>
      <c r="U62" s="2" t="inlineStr">
        <is>
          <t>Gräddporing
Blanksvart spiklav
Blå taggsvamp
Dropptaggsvamp
Kolflarnlav
Mörk kolflarnlav
Skarp dropptaggsvamp
Varglav
Vedskivlav
Plattlummer</t>
        </is>
      </c>
      <c r="V62">
        <f>HYPERLINK("https://klasma.github.io/Logging_2039/artfynd/A 38582-2023 artfynd.xlsx", "A 38582-2023")</f>
        <v/>
      </c>
      <c r="W62">
        <f>HYPERLINK("https://klasma.github.io/Logging_2039/kartor/A 38582-2023 karta.png", "A 38582-2023")</f>
        <v/>
      </c>
      <c r="Y62">
        <f>HYPERLINK("https://klasma.github.io/Logging_2039/klagomål/A 38582-2023 FSC-klagomål.docx", "A 38582-2023")</f>
        <v/>
      </c>
      <c r="Z62">
        <f>HYPERLINK("https://klasma.github.io/Logging_2039/klagomålsmail/A 38582-2023 FSC-klagomål mail.docx", "A 38582-2023")</f>
        <v/>
      </c>
      <c r="AA62">
        <f>HYPERLINK("https://klasma.github.io/Logging_2039/tillsyn/A 38582-2023 tillsynsbegäran.docx", "A 38582-2023")</f>
        <v/>
      </c>
      <c r="AB62">
        <f>HYPERLINK("https://klasma.github.io/Logging_2039/tillsynsmail/A 38582-2023 tillsynsbegäran mail.docx", "A 38582-2023")</f>
        <v/>
      </c>
    </row>
    <row r="63" ht="15" customHeight="1">
      <c r="A63" t="inlineStr">
        <is>
          <t>A 2221-2026</t>
        </is>
      </c>
      <c r="B63" t="inlineStr">
        <is>
          <t>avverkningsanmälan</t>
        </is>
      </c>
      <c r="C63" t="inlineStr">
        <is>
          <t>Föryngringsavverkning</t>
        </is>
      </c>
      <c r="D63" s="1" t="n">
        <v>46036</v>
      </c>
      <c r="E63" s="1" t="n">
        <v>46217</v>
      </c>
      <c r="F63" t="inlineStr">
        <is>
          <t>DALARNAS LÄN</t>
        </is>
      </c>
      <c r="G63" t="inlineStr">
        <is>
          <t>ÄLVDALEN</t>
        </is>
      </c>
      <c r="H63" t="inlineStr">
        <is>
          <t>Allmännings- och besparingsskogar</t>
        </is>
      </c>
      <c r="I63" t="n">
        <v>3</v>
      </c>
      <c r="J63" t="n">
        <v>3</v>
      </c>
      <c r="K63" t="n">
        <v>1</v>
      </c>
      <c r="L63" t="n">
        <v>7</v>
      </c>
      <c r="M63" t="n">
        <v>1</v>
      </c>
      <c r="N63" t="n">
        <v>0</v>
      </c>
      <c r="O63" t="n">
        <v>0</v>
      </c>
      <c r="P63" t="n">
        <v>0</v>
      </c>
      <c r="Q63" t="n">
        <v>8</v>
      </c>
      <c r="R63" t="n">
        <v>1</v>
      </c>
      <c r="S63" t="n">
        <v>10</v>
      </c>
      <c r="T63" t="n">
        <v>25</v>
      </c>
      <c r="U63" s="2" t="inlineStr">
        <is>
          <t>Garnlav
Blanksvart spiklav
Kolflarnlav
Mörk kolflarnlav
Tretåig hackspett
Varglav
Vedflamlav
Vedskivlav
Vågbandad barkbock
Orre</t>
        </is>
      </c>
      <c r="V63">
        <f>HYPERLINK("https://klasma.github.io/Logging_2039/artfynd/A 2221-2026 artfynd.xlsx", "A 2221-2026")</f>
        <v/>
      </c>
      <c r="W63">
        <f>HYPERLINK("https://klasma.github.io/Logging_2039/kartor/A 2221-2026 karta.png", "A 2221-2026")</f>
        <v/>
      </c>
      <c r="Y63">
        <f>HYPERLINK("https://klasma.github.io/Logging_2039/klagomål/A 2221-2026 FSC-klagomål.docx", "A 2221-2026")</f>
        <v/>
      </c>
      <c r="Z63">
        <f>HYPERLINK("https://klasma.github.io/Logging_2039/klagomålsmail/A 2221-2026 FSC-klagomål mail.docx", "A 2221-2026")</f>
        <v/>
      </c>
      <c r="AA63">
        <f>HYPERLINK("https://klasma.github.io/Logging_2039/tillsyn/A 2221-2026 tillsynsbegäran.docx", "A 2221-2026")</f>
        <v/>
      </c>
      <c r="AB63">
        <f>HYPERLINK("https://klasma.github.io/Logging_2039/tillsynsmail/A 2221-2026 tillsynsbegäran mail.docx", "A 2221-2026")</f>
        <v/>
      </c>
      <c r="AC63">
        <f>HYPERLINK("https://klasma.github.io/Logging_2039/fåglar/A 2221-2026 prioriterade fågelarter.docx", "A 2221-2026")</f>
        <v/>
      </c>
    </row>
    <row r="64" ht="15" customHeight="1">
      <c r="A64" t="inlineStr">
        <is>
          <t>A 34765-2025</t>
        </is>
      </c>
      <c r="B64" t="inlineStr">
        <is>
          <t>avverkningsanmälan</t>
        </is>
      </c>
      <c r="C64" t="inlineStr">
        <is>
          <t>Föryngringsavverkning</t>
        </is>
      </c>
      <c r="D64" s="1" t="n">
        <v>45848</v>
      </c>
      <c r="E64" s="1" t="n">
        <v>46217</v>
      </c>
      <c r="F64" t="inlineStr">
        <is>
          <t>DALARNAS LÄN</t>
        </is>
      </c>
      <c r="G64" t="inlineStr">
        <is>
          <t>ÄLVDALEN</t>
        </is>
      </c>
      <c r="H64" t="inlineStr">
        <is>
          <t>Allmännings- och besparingsskogar</t>
        </is>
      </c>
      <c r="I64" t="n">
        <v>32.9</v>
      </c>
      <c r="J64" t="n">
        <v>3</v>
      </c>
      <c r="K64" t="n">
        <v>1</v>
      </c>
      <c r="L64" t="n">
        <v>5</v>
      </c>
      <c r="M64" t="n">
        <v>1</v>
      </c>
      <c r="N64" t="n">
        <v>0</v>
      </c>
      <c r="O64" t="n">
        <v>0</v>
      </c>
      <c r="P64" t="n">
        <v>0</v>
      </c>
      <c r="Q64" t="n">
        <v>6</v>
      </c>
      <c r="R64" t="n">
        <v>1</v>
      </c>
      <c r="S64" t="n">
        <v>10</v>
      </c>
      <c r="T64" t="n">
        <v>69</v>
      </c>
      <c r="U64" s="2" t="inlineStr">
        <is>
          <t>Garnlav
Kolflarnlav
Mörk kolflarnlav
Tallticka
Vedflamlav
Vedskivlav
Mindre märgborre
Järpe
Spillkråka
Tjäder</t>
        </is>
      </c>
      <c r="V64">
        <f>HYPERLINK("https://klasma.github.io/Logging_2039/artfynd/A 34765-2025 artfynd.xlsx", "A 34765-2025")</f>
        <v/>
      </c>
      <c r="W64">
        <f>HYPERLINK("https://klasma.github.io/Logging_2039/kartor/A 34765-2025 karta.png", "A 34765-2025")</f>
        <v/>
      </c>
      <c r="Y64">
        <f>HYPERLINK("https://klasma.github.io/Logging_2039/klagomål/A 34765-2025 FSC-klagomål.docx", "A 34765-2025")</f>
        <v/>
      </c>
      <c r="Z64">
        <f>HYPERLINK("https://klasma.github.io/Logging_2039/klagomålsmail/A 34765-2025 FSC-klagomål mail.docx", "A 34765-2025")</f>
        <v/>
      </c>
      <c r="AA64">
        <f>HYPERLINK("https://klasma.github.io/Logging_2039/tillsyn/A 34765-2025 tillsynsbegäran.docx", "A 34765-2025")</f>
        <v/>
      </c>
      <c r="AB64">
        <f>HYPERLINK("https://klasma.github.io/Logging_2039/tillsynsmail/A 34765-2025 tillsynsbegäran mail.docx", "A 34765-2025")</f>
        <v/>
      </c>
      <c r="AC64">
        <f>HYPERLINK("https://klasma.github.io/Logging_2039/fåglar/A 34765-2025 prioriterade fågelarter.docx", "A 34765-2025")</f>
        <v/>
      </c>
    </row>
    <row r="65" ht="15" customHeight="1">
      <c r="A65" t="inlineStr">
        <is>
          <t>A 39762-2025</t>
        </is>
      </c>
      <c r="B65" t="inlineStr">
        <is>
          <t>avverkningsanmälan</t>
        </is>
      </c>
      <c r="C65" t="inlineStr">
        <is>
          <t>Föryngringsavverkning</t>
        </is>
      </c>
      <c r="D65" s="1" t="n">
        <v>45891</v>
      </c>
      <c r="E65" s="1" t="n">
        <v>46217</v>
      </c>
      <c r="F65" t="inlineStr">
        <is>
          <t>DALARNAS LÄN</t>
        </is>
      </c>
      <c r="G65" t="inlineStr">
        <is>
          <t>ÄLVDALEN</t>
        </is>
      </c>
      <c r="I65" t="n">
        <v>4.7</v>
      </c>
      <c r="J65" t="n">
        <v>4</v>
      </c>
      <c r="K65" t="n">
        <v>1</v>
      </c>
      <c r="L65" t="n">
        <v>5</v>
      </c>
      <c r="M65" t="n">
        <v>1</v>
      </c>
      <c r="N65" t="n">
        <v>1</v>
      </c>
      <c r="O65" t="n">
        <v>0</v>
      </c>
      <c r="P65" t="n">
        <v>0</v>
      </c>
      <c r="Q65" t="n">
        <v>7</v>
      </c>
      <c r="R65" t="n">
        <v>2</v>
      </c>
      <c r="S65" t="n">
        <v>10</v>
      </c>
      <c r="T65" t="n">
        <v>45</v>
      </c>
      <c r="U65" s="2" t="inlineStr">
        <is>
          <t>Långt broktagel
Garnlav
Lavskrika
Tallticka
Tretåig hackspett
Vedskivlav
Violettgrå tagellav
Mindre märgborre
Spillkråka
Tjäder</t>
        </is>
      </c>
      <c r="V65">
        <f>HYPERLINK("https://klasma.github.io/Logging_2039/artfynd/A 39762-2025 artfynd.xlsx", "A 39762-2025")</f>
        <v/>
      </c>
      <c r="W65">
        <f>HYPERLINK("https://klasma.github.io/Logging_2039/kartor/A 39762-2025 karta.png", "A 39762-2025")</f>
        <v/>
      </c>
      <c r="Y65">
        <f>HYPERLINK("https://klasma.github.io/Logging_2039/klagomål/A 39762-2025 FSC-klagomål.docx", "A 39762-2025")</f>
        <v/>
      </c>
      <c r="Z65">
        <f>HYPERLINK("https://klasma.github.io/Logging_2039/klagomålsmail/A 39762-2025 FSC-klagomål mail.docx", "A 39762-2025")</f>
        <v/>
      </c>
      <c r="AA65">
        <f>HYPERLINK("https://klasma.github.io/Logging_2039/tillsyn/A 39762-2025 tillsynsbegäran.docx", "A 39762-2025")</f>
        <v/>
      </c>
      <c r="AB65">
        <f>HYPERLINK("https://klasma.github.io/Logging_2039/tillsynsmail/A 39762-2025 tillsynsbegäran mail.docx", "A 39762-2025")</f>
        <v/>
      </c>
      <c r="AC65">
        <f>HYPERLINK("https://klasma.github.io/Logging_2039/fåglar/A 39762-2025 prioriterade fågelarter.docx", "A 39762-2025")</f>
        <v/>
      </c>
    </row>
    <row r="66" ht="15" customHeight="1">
      <c r="A66" t="inlineStr">
        <is>
          <t>A 32048-2025</t>
        </is>
      </c>
      <c r="B66" t="inlineStr">
        <is>
          <t>avverkningsanmälan</t>
        </is>
      </c>
      <c r="C66" t="inlineStr">
        <is>
          <t>Föryngringsavverkning</t>
        </is>
      </c>
      <c r="D66" s="1" t="n">
        <v>45835</v>
      </c>
      <c r="E66" s="1" t="n">
        <v>46217</v>
      </c>
      <c r="F66" t="inlineStr">
        <is>
          <t>DALARNAS LÄN</t>
        </is>
      </c>
      <c r="G66" t="inlineStr">
        <is>
          <t>ÄLVDALEN</t>
        </is>
      </c>
      <c r="I66" t="n">
        <v>6.7</v>
      </c>
      <c r="J66" t="n">
        <v>4</v>
      </c>
      <c r="K66" t="n">
        <v>0</v>
      </c>
      <c r="L66" t="n">
        <v>7</v>
      </c>
      <c r="M66" t="n">
        <v>1</v>
      </c>
      <c r="N66" t="n">
        <v>0</v>
      </c>
      <c r="O66" t="n">
        <v>0</v>
      </c>
      <c r="P66" t="n">
        <v>0</v>
      </c>
      <c r="Q66" t="n">
        <v>8</v>
      </c>
      <c r="R66" t="n">
        <v>1</v>
      </c>
      <c r="S66" t="n">
        <v>10</v>
      </c>
      <c r="T66" t="n">
        <v>83</v>
      </c>
      <c r="U66" s="2" t="inlineStr">
        <is>
          <t>Garnlav
Doftskinn
Mörk kolflarnlav
Talltita
Tretåig hackspett
Vedflamlav
Vedskivlav
Vitgrynig nållav
Spillkråka
Tjäder</t>
        </is>
      </c>
      <c r="V66">
        <f>HYPERLINK("https://klasma.github.io/Logging_2039/artfynd/A 32048-2025 artfynd.xlsx", "A 32048-2025")</f>
        <v/>
      </c>
      <c r="W66">
        <f>HYPERLINK("https://klasma.github.io/Logging_2039/kartor/A 32048-2025 karta.png", "A 32048-2025")</f>
        <v/>
      </c>
      <c r="Y66">
        <f>HYPERLINK("https://klasma.github.io/Logging_2039/klagomål/A 32048-2025 FSC-klagomål.docx", "A 32048-2025")</f>
        <v/>
      </c>
      <c r="Z66">
        <f>HYPERLINK("https://klasma.github.io/Logging_2039/klagomålsmail/A 32048-2025 FSC-klagomål mail.docx", "A 32048-2025")</f>
        <v/>
      </c>
      <c r="AA66">
        <f>HYPERLINK("https://klasma.github.io/Logging_2039/tillsyn/A 32048-2025 tillsynsbegäran.docx", "A 32048-2025")</f>
        <v/>
      </c>
      <c r="AB66">
        <f>HYPERLINK("https://klasma.github.io/Logging_2039/tillsynsmail/A 32048-2025 tillsynsbegäran mail.docx", "A 32048-2025")</f>
        <v/>
      </c>
      <c r="AC66">
        <f>HYPERLINK("https://klasma.github.io/Logging_2039/fåglar/A 32048-2025 prioriterade fågelarter.docx", "A 32048-2025")</f>
        <v/>
      </c>
    </row>
    <row r="67" ht="15" customHeight="1">
      <c r="A67" t="inlineStr">
        <is>
          <t>A 23427-2025</t>
        </is>
      </c>
      <c r="B67" t="inlineStr">
        <is>
          <t>avverkningsanmälan</t>
        </is>
      </c>
      <c r="C67" t="inlineStr">
        <is>
          <t>Föryngringsavverkning</t>
        </is>
      </c>
      <c r="D67" s="1" t="n">
        <v>45792</v>
      </c>
      <c r="E67" s="1" t="n">
        <v>46217</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s="2" t="inlineStr">
        <is>
          <t>Garnlav
Blanksvart spiklav
Blågrå svartspik
Tretåig hackspett
Varglav
Vedflamlav
Bronshjon
Tjäder
Fläcknycklar
Revlummer</t>
        </is>
      </c>
      <c r="V67">
        <f>HYPERLINK("https://klasma.github.io/Logging_2039/artfynd/A 23427-2025 artfynd.xlsx", "A 23427-2025")</f>
        <v/>
      </c>
      <c r="W67">
        <f>HYPERLINK("https://klasma.github.io/Logging_2039/kartor/A 23427-2025 karta.png", "A 23427-2025")</f>
        <v/>
      </c>
      <c r="Y67">
        <f>HYPERLINK("https://klasma.github.io/Logging_2039/klagomål/A 23427-2025 FSC-klagomål.docx", "A 23427-2025")</f>
        <v/>
      </c>
      <c r="Z67">
        <f>HYPERLINK("https://klasma.github.io/Logging_2039/klagomålsmail/A 23427-2025 FSC-klagomål mail.docx", "A 23427-2025")</f>
        <v/>
      </c>
      <c r="AA67">
        <f>HYPERLINK("https://klasma.github.io/Logging_2039/tillsyn/A 23427-2025 tillsynsbegäran.docx", "A 23427-2025")</f>
        <v/>
      </c>
      <c r="AB67">
        <f>HYPERLINK("https://klasma.github.io/Logging_2039/tillsynsmail/A 23427-2025 tillsynsbegäran mail.docx", "A 23427-2025")</f>
        <v/>
      </c>
      <c r="AC67">
        <f>HYPERLINK("https://klasma.github.io/Logging_2039/fåglar/A 23427-2025 prioriterade fågelarter.docx", "A 23427-2025")</f>
        <v/>
      </c>
    </row>
    <row r="68" ht="15" customHeight="1">
      <c r="A68" t="inlineStr">
        <is>
          <t>A 6098-2026</t>
        </is>
      </c>
      <c r="B68" t="inlineStr">
        <is>
          <t>avverkningsanmälan</t>
        </is>
      </c>
      <c r="C68" t="inlineStr">
        <is>
          <t>Föryngringsavverkning</t>
        </is>
      </c>
      <c r="D68" s="1" t="n">
        <v>46052</v>
      </c>
      <c r="E68" s="1" t="n">
        <v>46217</v>
      </c>
      <c r="F68" t="inlineStr">
        <is>
          <t>DALARNAS LÄN</t>
        </is>
      </c>
      <c r="G68" t="inlineStr">
        <is>
          <t>ÄLVDALEN</t>
        </is>
      </c>
      <c r="I68" t="n">
        <v>4.1</v>
      </c>
      <c r="J68" t="n">
        <v>4</v>
      </c>
      <c r="K68" t="n">
        <v>2</v>
      </c>
      <c r="L68" t="n">
        <v>4</v>
      </c>
      <c r="M68" t="n">
        <v>1</v>
      </c>
      <c r="N68" t="n">
        <v>0</v>
      </c>
      <c r="O68" t="n">
        <v>0</v>
      </c>
      <c r="P68" t="n">
        <v>0</v>
      </c>
      <c r="Q68" t="n">
        <v>5</v>
      </c>
      <c r="R68" t="n">
        <v>1</v>
      </c>
      <c r="S68" t="n">
        <v>10</v>
      </c>
      <c r="T68" t="n">
        <v>41</v>
      </c>
      <c r="U68" s="2" t="inlineStr">
        <is>
          <t>Garnlav
Kolflarnlav
Mörk kolflarnlav
Tretåig hackspett
Vedskivlav
Björksplintborre
Mindre märgborre
Spillkråka
Tjäder
Orre</t>
        </is>
      </c>
      <c r="V68">
        <f>HYPERLINK("https://klasma.github.io/Logging_2039/artfynd/A 6098-2026 artfynd.xlsx", "A 6098-2026")</f>
        <v/>
      </c>
      <c r="W68">
        <f>HYPERLINK("https://klasma.github.io/Logging_2039/kartor/A 6098-2026 karta.png", "A 6098-2026")</f>
        <v/>
      </c>
      <c r="Y68">
        <f>HYPERLINK("https://klasma.github.io/Logging_2039/klagomål/A 6098-2026 FSC-klagomål.docx", "A 6098-2026")</f>
        <v/>
      </c>
      <c r="Z68">
        <f>HYPERLINK("https://klasma.github.io/Logging_2039/klagomålsmail/A 6098-2026 FSC-klagomål mail.docx", "A 6098-2026")</f>
        <v/>
      </c>
      <c r="AA68">
        <f>HYPERLINK("https://klasma.github.io/Logging_2039/tillsyn/A 6098-2026 tillsynsbegäran.docx", "A 6098-2026")</f>
        <v/>
      </c>
      <c r="AB68">
        <f>HYPERLINK("https://klasma.github.io/Logging_2039/tillsynsmail/A 6098-2026 tillsynsbegäran mail.docx", "A 6098-2026")</f>
        <v/>
      </c>
      <c r="AC68">
        <f>HYPERLINK("https://klasma.github.io/Logging_2039/fåglar/A 6098-2026 prioriterade fågelarter.docx", "A 6098-2026")</f>
        <v/>
      </c>
    </row>
    <row r="69" ht="15" customHeight="1">
      <c r="A69" t="inlineStr">
        <is>
          <t>A 9783-2024</t>
        </is>
      </c>
      <c r="B69" t="inlineStr">
        <is>
          <t>avverkningsanmälan</t>
        </is>
      </c>
      <c r="C69" t="inlineStr">
        <is>
          <t>Föryngringsavverkning</t>
        </is>
      </c>
      <c r="D69" s="1" t="n">
        <v>45362</v>
      </c>
      <c r="E69" s="1" t="n">
        <v>46217</v>
      </c>
      <c r="F69" t="inlineStr">
        <is>
          <t>DALARNAS LÄN</t>
        </is>
      </c>
      <c r="G69" t="inlineStr">
        <is>
          <t>ÄLVDALEN</t>
        </is>
      </c>
      <c r="H69" t="inlineStr">
        <is>
          <t>Övriga statliga verk och myndigheter</t>
        </is>
      </c>
      <c r="I69" t="n">
        <v>7</v>
      </c>
      <c r="J69" t="n">
        <v>0</v>
      </c>
      <c r="K69" t="n">
        <v>2</v>
      </c>
      <c r="L69" t="n">
        <v>7</v>
      </c>
      <c r="M69" t="n">
        <v>0</v>
      </c>
      <c r="N69" t="n">
        <v>0</v>
      </c>
      <c r="O69" t="n">
        <v>0</v>
      </c>
      <c r="P69" t="n">
        <v>0</v>
      </c>
      <c r="Q69" t="n">
        <v>7</v>
      </c>
      <c r="R69" t="n">
        <v>0</v>
      </c>
      <c r="S69" t="n">
        <v>9</v>
      </c>
      <c r="T69" t="n">
        <v>19</v>
      </c>
      <c r="U69" s="2" t="inlineStr">
        <is>
          <t>Blanksvart spiklav
Blågrå svartspik
Dropptaggsvamp
Kolflarnlav
Mörk kolflarnlav
Vedflamlav
Vedskivlav
Luddlav
Vedticka</t>
        </is>
      </c>
      <c r="V69">
        <f>HYPERLINK("https://klasma.github.io/Logging_2039/artfynd/A 9783-2024 artfynd.xlsx", "A 9783-2024")</f>
        <v/>
      </c>
      <c r="W69">
        <f>HYPERLINK("https://klasma.github.io/Logging_2039/kartor/A 9783-2024 karta.png", "A 9783-2024")</f>
        <v/>
      </c>
      <c r="Y69">
        <f>HYPERLINK("https://klasma.github.io/Logging_2039/klagomål/A 9783-2024 FSC-klagomål.docx", "A 9783-2024")</f>
        <v/>
      </c>
      <c r="Z69">
        <f>HYPERLINK("https://klasma.github.io/Logging_2039/klagomålsmail/A 9783-2024 FSC-klagomål mail.docx", "A 9783-2024")</f>
        <v/>
      </c>
      <c r="AA69">
        <f>HYPERLINK("https://klasma.github.io/Logging_2039/tillsyn/A 9783-2024 tillsynsbegäran.docx", "A 9783-2024")</f>
        <v/>
      </c>
      <c r="AB69">
        <f>HYPERLINK("https://klasma.github.io/Logging_2039/tillsynsmail/A 9783-2024 tillsynsbegäran mail.docx", "A 9783-2024")</f>
        <v/>
      </c>
    </row>
    <row r="70" ht="15" customHeight="1">
      <c r="A70" t="inlineStr">
        <is>
          <t>A 41755-2025</t>
        </is>
      </c>
      <c r="B70" t="inlineStr">
        <is>
          <t>avverkningsanmälan</t>
        </is>
      </c>
      <c r="C70" t="inlineStr">
        <is>
          <t>Föryngringsavverkning</t>
        </is>
      </c>
      <c r="D70" s="1" t="n">
        <v>45902</v>
      </c>
      <c r="E70" s="1" t="n">
        <v>46217</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s="2" t="inlineStr">
        <is>
          <t>Gräddporing
Blå taggsvamp
Dropptaggsvamp
Kolflarnlav
Mörk kolflarnlav
Orange taggsvamp
Skarp dropptaggsvamp
Talltaggsvamp
Vedflamlav</t>
        </is>
      </c>
      <c r="V70">
        <f>HYPERLINK("https://klasma.github.io/Logging_2039/artfynd/A 41755-2025 artfynd.xlsx", "A 41755-2025")</f>
        <v/>
      </c>
      <c r="W70">
        <f>HYPERLINK("https://klasma.github.io/Logging_2039/kartor/A 41755-2025 karta.png", "A 41755-2025")</f>
        <v/>
      </c>
      <c r="Y70">
        <f>HYPERLINK("https://klasma.github.io/Logging_2039/klagomål/A 41755-2025 FSC-klagomål.docx", "A 41755-2025")</f>
        <v/>
      </c>
      <c r="Z70">
        <f>HYPERLINK("https://klasma.github.io/Logging_2039/klagomålsmail/A 41755-2025 FSC-klagomål mail.docx", "A 41755-2025")</f>
        <v/>
      </c>
      <c r="AA70">
        <f>HYPERLINK("https://klasma.github.io/Logging_2039/tillsyn/A 41755-2025 tillsynsbegäran.docx", "A 41755-2025")</f>
        <v/>
      </c>
      <c r="AB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46217</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s="2" t="inlineStr">
        <is>
          <t>Mosippa
Tallgråticka
Blå taggsvamp
Dropptaggsvamp
Dvärgbägarlav
Kolflarnlav
Skarp dropptaggsvamp
Talltaggsvamp
Vedflamlav</t>
        </is>
      </c>
      <c r="V71">
        <f>HYPERLINK("https://klasma.github.io/Logging_2039/artfynd/A 44785-2025 artfynd.xlsx", "A 44785-2025")</f>
        <v/>
      </c>
      <c r="W71">
        <f>HYPERLINK("https://klasma.github.io/Logging_2039/kartor/A 44785-2025 karta.png", "A 44785-2025")</f>
        <v/>
      </c>
      <c r="Y71">
        <f>HYPERLINK("https://klasma.github.io/Logging_2039/klagomål/A 44785-2025 FSC-klagomål.docx", "A 44785-2025")</f>
        <v/>
      </c>
      <c r="Z71">
        <f>HYPERLINK("https://klasma.github.io/Logging_2039/klagomålsmail/A 44785-2025 FSC-klagomål mail.docx", "A 44785-2025")</f>
        <v/>
      </c>
      <c r="AA71">
        <f>HYPERLINK("https://klasma.github.io/Logging_2039/tillsyn/A 44785-2025 tillsynsbegäran.docx", "A 44785-2025")</f>
        <v/>
      </c>
      <c r="AB71">
        <f>HYPERLINK("https://klasma.github.io/Logging_2039/tillsynsmail/A 44785-2025 tillsynsbegäran mail.docx", "A 44785-2025")</f>
        <v/>
      </c>
    </row>
    <row r="72" ht="15" customHeight="1">
      <c r="A72" t="inlineStr">
        <is>
          <t>A 66637-2021</t>
        </is>
      </c>
      <c r="B72" t="inlineStr">
        <is>
          <t>avverkningsanmälan</t>
        </is>
      </c>
      <c r="C72" t="inlineStr">
        <is>
          <t>Föryngringsavverkning</t>
        </is>
      </c>
      <c r="D72" s="1" t="n">
        <v>44519</v>
      </c>
      <c r="E72" s="1" t="n">
        <v>46217</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s="2" t="inlineStr">
        <is>
          <t>Dropptaggsvamp
Dvärgbägarlav
Kolflarnlav
Mörk kolflarnlav
Nordtagging
Vedskivlav
Vitplätt
Nästlav
Vedticka</t>
        </is>
      </c>
      <c r="V72">
        <f>HYPERLINK("https://klasma.github.io/Logging_2039/artfynd/A 66637-2021 artfynd.xlsx", "A 66637-2021")</f>
        <v/>
      </c>
      <c r="W72">
        <f>HYPERLINK("https://klasma.github.io/Logging_2039/kartor/A 66637-2021 karta.png", "A 66637-2021")</f>
        <v/>
      </c>
      <c r="Y72">
        <f>HYPERLINK("https://klasma.github.io/Logging_2039/klagomål/A 66637-2021 FSC-klagomål.docx", "A 66637-2021")</f>
        <v/>
      </c>
      <c r="Z72">
        <f>HYPERLINK("https://klasma.github.io/Logging_2039/klagomålsmail/A 66637-2021 FSC-klagomål mail.docx", "A 66637-2021")</f>
        <v/>
      </c>
      <c r="AA72">
        <f>HYPERLINK("https://klasma.github.io/Logging_2039/tillsyn/A 66637-2021 tillsynsbegäran.docx", "A 66637-2021")</f>
        <v/>
      </c>
      <c r="AB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46217</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s="2" t="inlineStr">
        <is>
          <t>Fläckporing
Timmerskapania
Kolflarnlav
Lavskrika
Mörk kolflarnlav
Ullticka
Tjäder
Orre
Revlummer</t>
        </is>
      </c>
      <c r="V73">
        <f>HYPERLINK("https://klasma.github.io/Logging_2039/artfynd/A 54671-2021 artfynd.xlsx", "A 54671-2021")</f>
        <v/>
      </c>
      <c r="W73">
        <f>HYPERLINK("https://klasma.github.io/Logging_2039/kartor/A 54671-2021 karta.png", "A 54671-2021")</f>
        <v/>
      </c>
      <c r="Y73">
        <f>HYPERLINK("https://klasma.github.io/Logging_2039/klagomål/A 54671-2021 FSC-klagomål.docx", "A 54671-2021")</f>
        <v/>
      </c>
      <c r="Z73">
        <f>HYPERLINK("https://klasma.github.io/Logging_2039/klagomålsmail/A 54671-2021 FSC-klagomål mail.docx", "A 54671-2021")</f>
        <v/>
      </c>
      <c r="AA73">
        <f>HYPERLINK("https://klasma.github.io/Logging_2039/tillsyn/A 54671-2021 tillsynsbegäran.docx", "A 54671-2021")</f>
        <v/>
      </c>
      <c r="AB73">
        <f>HYPERLINK("https://klasma.github.io/Logging_2039/tillsynsmail/A 54671-2021 tillsynsbegäran mail.docx", "A 54671-2021")</f>
        <v/>
      </c>
      <c r="AC73">
        <f>HYPERLINK("https://klasma.github.io/Logging_2039/fåglar/A 54671-2021 prioriterade fågelarter.docx", "A 54671-2021")</f>
        <v/>
      </c>
    </row>
    <row r="74" ht="15" customHeight="1">
      <c r="A74" t="inlineStr">
        <is>
          <t>A 7213-2026</t>
        </is>
      </c>
      <c r="B74" t="inlineStr">
        <is>
          <t>avverkningsanmälan</t>
        </is>
      </c>
      <c r="C74" t="inlineStr">
        <is>
          <t>Föryngringsavverkning</t>
        </is>
      </c>
      <c r="D74" s="1" t="n">
        <v>46058</v>
      </c>
      <c r="E74" s="1" t="n">
        <v>46217</v>
      </c>
      <c r="F74" t="inlineStr">
        <is>
          <t>DALARNAS LÄN</t>
        </is>
      </c>
      <c r="G74" t="inlineStr">
        <is>
          <t>ÄLVDALEN</t>
        </is>
      </c>
      <c r="I74" t="n">
        <v>1.7</v>
      </c>
      <c r="J74" t="n">
        <v>3</v>
      </c>
      <c r="K74" t="n">
        <v>1</v>
      </c>
      <c r="L74" t="n">
        <v>5</v>
      </c>
      <c r="M74" t="n">
        <v>1</v>
      </c>
      <c r="N74" t="n">
        <v>0</v>
      </c>
      <c r="O74" t="n">
        <v>0</v>
      </c>
      <c r="P74" t="n">
        <v>0</v>
      </c>
      <c r="Q74" t="n">
        <v>6</v>
      </c>
      <c r="R74" t="n">
        <v>1</v>
      </c>
      <c r="S74" t="n">
        <v>9</v>
      </c>
      <c r="T74" t="n">
        <v>22</v>
      </c>
      <c r="U74" s="2" t="inlineStr">
        <is>
          <t>Garnlav
Kolflarnlav
Mörk kolflarnlav
Tretåig hackspett
Vedflamlav
Vedskivlav
Mindre märgborre
Spillkråka
Tjäder</t>
        </is>
      </c>
      <c r="V74">
        <f>HYPERLINK("https://klasma.github.io/Logging_2039/artfynd/A 7213-2026 artfynd.xlsx", "A 7213-2026")</f>
        <v/>
      </c>
      <c r="W74">
        <f>HYPERLINK("https://klasma.github.io/Logging_2039/kartor/A 7213-2026 karta.png", "A 7213-2026")</f>
        <v/>
      </c>
      <c r="Y74">
        <f>HYPERLINK("https://klasma.github.io/Logging_2039/klagomål/A 7213-2026 FSC-klagomål.docx", "A 7213-2026")</f>
        <v/>
      </c>
      <c r="Z74">
        <f>HYPERLINK("https://klasma.github.io/Logging_2039/klagomålsmail/A 7213-2026 FSC-klagomål mail.docx", "A 7213-2026")</f>
        <v/>
      </c>
      <c r="AA74">
        <f>HYPERLINK("https://klasma.github.io/Logging_2039/tillsyn/A 7213-2026 tillsynsbegäran.docx", "A 7213-2026")</f>
        <v/>
      </c>
      <c r="AB74">
        <f>HYPERLINK("https://klasma.github.io/Logging_2039/tillsynsmail/A 7213-2026 tillsynsbegäran mail.docx", "A 7213-2026")</f>
        <v/>
      </c>
      <c r="AC74">
        <f>HYPERLINK("https://klasma.github.io/Logging_2039/fåglar/A 7213-2026 prioriterade fågelarter.docx", "A 7213-2026")</f>
        <v/>
      </c>
    </row>
    <row r="75" ht="15" customHeight="1">
      <c r="A75" t="inlineStr">
        <is>
          <t>A 41913-2022</t>
        </is>
      </c>
      <c r="B75" t="inlineStr">
        <is>
          <t>avverkningsanmälan</t>
        </is>
      </c>
      <c r="C75" t="inlineStr">
        <is>
          <t>Föryngringsavverkning</t>
        </is>
      </c>
      <c r="D75" s="1" t="n">
        <v>44830</v>
      </c>
      <c r="E75" s="1" t="n">
        <v>46217</v>
      </c>
      <c r="F75" t="inlineStr">
        <is>
          <t>DALARNAS LÄN</t>
        </is>
      </c>
      <c r="G75" t="inlineStr">
        <is>
          <t>ÄLVDALEN</t>
        </is>
      </c>
      <c r="H75" t="inlineStr">
        <is>
          <t>Sveaskog</t>
        </is>
      </c>
      <c r="I75" t="n">
        <v>5.6</v>
      </c>
      <c r="J75" t="n">
        <v>1</v>
      </c>
      <c r="K75" t="n">
        <v>0</v>
      </c>
      <c r="L75" t="n">
        <v>7</v>
      </c>
      <c r="M75" t="n">
        <v>2</v>
      </c>
      <c r="N75" t="n">
        <v>0</v>
      </c>
      <c r="O75" t="n">
        <v>0</v>
      </c>
      <c r="P75" t="n">
        <v>0</v>
      </c>
      <c r="Q75" t="n">
        <v>9</v>
      </c>
      <c r="R75" t="n">
        <v>2</v>
      </c>
      <c r="S75" t="n">
        <v>9</v>
      </c>
      <c r="T75" t="n">
        <v>20</v>
      </c>
      <c r="U75" s="2" t="inlineStr">
        <is>
          <t>Fläckporing
Tajgataggsvamp
Blanksvart spiklav
Dropptaggsvamp
Orange taggsvamp
Tretåig hackspett
Vaddporing
Vedflamlav
Vedskivlav</t>
        </is>
      </c>
      <c r="V75">
        <f>HYPERLINK("https://klasma.github.io/Logging_2039/artfynd/A 41913-2022 artfynd.xlsx", "A 41913-2022")</f>
        <v/>
      </c>
      <c r="W75">
        <f>HYPERLINK("https://klasma.github.io/Logging_2039/kartor/A 41913-2022 karta.png", "A 41913-2022")</f>
        <v/>
      </c>
      <c r="Y75">
        <f>HYPERLINK("https://klasma.github.io/Logging_2039/klagomål/A 41913-2022 FSC-klagomål.docx", "A 41913-2022")</f>
        <v/>
      </c>
      <c r="Z75">
        <f>HYPERLINK("https://klasma.github.io/Logging_2039/klagomålsmail/A 41913-2022 FSC-klagomål mail.docx", "A 41913-2022")</f>
        <v/>
      </c>
      <c r="AA75">
        <f>HYPERLINK("https://klasma.github.io/Logging_2039/tillsyn/A 41913-2022 tillsynsbegäran.docx", "A 41913-2022")</f>
        <v/>
      </c>
      <c r="AB75">
        <f>HYPERLINK("https://klasma.github.io/Logging_2039/tillsynsmail/A 41913-2022 tillsynsbegäran mail.docx", "A 41913-2022")</f>
        <v/>
      </c>
      <c r="AC75">
        <f>HYPERLINK("https://klasma.github.io/Logging_2039/fåglar/A 41913-2022 prioriterade fågelarter.docx", "A 41913-2022")</f>
        <v/>
      </c>
    </row>
    <row r="76" ht="15" customHeight="1">
      <c r="A76" t="inlineStr">
        <is>
          <t>A 39278-2022</t>
        </is>
      </c>
      <c r="B76" t="inlineStr">
        <is>
          <t>avverkningsanmälan</t>
        </is>
      </c>
      <c r="C76" t="inlineStr">
        <is>
          <t>Föryngringsavverkning</t>
        </is>
      </c>
      <c r="D76" s="1" t="n">
        <v>44817</v>
      </c>
      <c r="E76" s="1" t="n">
        <v>46217</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s="2" t="inlineStr">
        <is>
          <t>Gränsticka
Sprickporing
Björktrast
Lappmes
Rynkskinn
Talltita
Tretåig hackspett
Violettgrå tagellav
Kungsfågel</t>
        </is>
      </c>
      <c r="V76">
        <f>HYPERLINK("https://klasma.github.io/Logging_2039/artfynd/A 39278-2022 artfynd.xlsx", "A 39278-2022")</f>
        <v/>
      </c>
      <c r="W76">
        <f>HYPERLINK("https://klasma.github.io/Logging_2039/kartor/A 39278-2022 karta.png", "A 39278-2022")</f>
        <v/>
      </c>
      <c r="Y76">
        <f>HYPERLINK("https://klasma.github.io/Logging_2039/klagomål/A 39278-2022 FSC-klagomål.docx", "A 39278-2022")</f>
        <v/>
      </c>
      <c r="Z76">
        <f>HYPERLINK("https://klasma.github.io/Logging_2039/klagomålsmail/A 39278-2022 FSC-klagomål mail.docx", "A 39278-2022")</f>
        <v/>
      </c>
      <c r="AA76">
        <f>HYPERLINK("https://klasma.github.io/Logging_2039/tillsyn/A 39278-2022 tillsynsbegäran.docx", "A 39278-2022")</f>
        <v/>
      </c>
      <c r="AB76">
        <f>HYPERLINK("https://klasma.github.io/Logging_2039/tillsynsmail/A 39278-2022 tillsynsbegäran mail.docx", "A 39278-2022")</f>
        <v/>
      </c>
      <c r="AC76">
        <f>HYPERLINK("https://klasma.github.io/Logging_2039/fåglar/A 39278-2022 prioriterade fågelarter.docx", "A 39278-2022")</f>
        <v/>
      </c>
    </row>
    <row r="77" ht="15" customHeight="1">
      <c r="A77" t="inlineStr">
        <is>
          <t>A 57505-2024</t>
        </is>
      </c>
      <c r="B77" t="inlineStr">
        <is>
          <t>avverkningsanmälan</t>
        </is>
      </c>
      <c r="C77" t="inlineStr">
        <is>
          <t>Avverkning för annat ändamål</t>
        </is>
      </c>
      <c r="D77" s="1" t="n">
        <v>45630</v>
      </c>
      <c r="E77" s="1" t="n">
        <v>46217</v>
      </c>
      <c r="F77" t="inlineStr">
        <is>
          <t>DALARNAS LÄN</t>
        </is>
      </c>
      <c r="G77" t="inlineStr">
        <is>
          <t>ÄLVDALEN</t>
        </is>
      </c>
      <c r="H77" t="inlineStr">
        <is>
          <t>Allmännings- och besparingsskogar</t>
        </is>
      </c>
      <c r="I77" t="n">
        <v>2.3</v>
      </c>
      <c r="J77" t="n">
        <v>2</v>
      </c>
      <c r="K77" t="n">
        <v>2</v>
      </c>
      <c r="L77" t="n">
        <v>6</v>
      </c>
      <c r="M77" t="n">
        <v>1</v>
      </c>
      <c r="N77" t="n">
        <v>0</v>
      </c>
      <c r="O77" t="n">
        <v>0</v>
      </c>
      <c r="P77" t="n">
        <v>0</v>
      </c>
      <c r="Q77" t="n">
        <v>7</v>
      </c>
      <c r="R77" t="n">
        <v>1</v>
      </c>
      <c r="S77" t="n">
        <v>9</v>
      </c>
      <c r="T77" t="n">
        <v>19</v>
      </c>
      <c r="U77" s="2" t="inlineStr">
        <is>
          <t>Garnlav
Knottrig blåslav
Skrovellav
Talltita
Tretåig hackspett
Vedflamlav
Vedskivlav
Bronshjon
Vågbandad barkbock</t>
        </is>
      </c>
      <c r="V77">
        <f>HYPERLINK("https://klasma.github.io/Logging_2039/artfynd/A 57505-2024 artfynd.xlsx", "A 57505-2024")</f>
        <v/>
      </c>
      <c r="W77">
        <f>HYPERLINK("https://klasma.github.io/Logging_2039/kartor/A 57505-2024 karta.png", "A 57505-2024")</f>
        <v/>
      </c>
      <c r="Y77">
        <f>HYPERLINK("https://klasma.github.io/Logging_2039/klagomål/A 57505-2024 FSC-klagomål.docx", "A 57505-2024")</f>
        <v/>
      </c>
      <c r="Z77">
        <f>HYPERLINK("https://klasma.github.io/Logging_2039/klagomålsmail/A 57505-2024 FSC-klagomål mail.docx", "A 57505-2024")</f>
        <v/>
      </c>
      <c r="AA77">
        <f>HYPERLINK("https://klasma.github.io/Logging_2039/tillsyn/A 57505-2024 tillsynsbegäran.docx", "A 57505-2024")</f>
        <v/>
      </c>
      <c r="AB77">
        <f>HYPERLINK("https://klasma.github.io/Logging_2039/tillsynsmail/A 57505-2024 tillsynsbegäran mail.docx", "A 57505-2024")</f>
        <v/>
      </c>
      <c r="AC77">
        <f>HYPERLINK("https://klasma.github.io/Logging_2039/fåglar/A 57505-2024 prioriterade fågelarter.docx", "A 57505-2024")</f>
        <v/>
      </c>
    </row>
    <row r="78" ht="15" customHeight="1">
      <c r="A78" t="inlineStr">
        <is>
          <t>A 45783-2022</t>
        </is>
      </c>
      <c r="B78" t="inlineStr">
        <is>
          <t>avverkningsanmälan</t>
        </is>
      </c>
      <c r="C78" t="inlineStr">
        <is>
          <t>Föryngringsavverkning</t>
        </is>
      </c>
      <c r="D78" s="1" t="n">
        <v>44846</v>
      </c>
      <c r="E78" s="1" t="n">
        <v>46217</v>
      </c>
      <c r="F78" t="inlineStr">
        <is>
          <t>DALARNAS LÄN</t>
        </is>
      </c>
      <c r="G78" t="inlineStr">
        <is>
          <t>ÄLVDALEN</t>
        </is>
      </c>
      <c r="I78" t="n">
        <v>9.1</v>
      </c>
      <c r="J78" t="n">
        <v>4</v>
      </c>
      <c r="K78" t="n">
        <v>2</v>
      </c>
      <c r="L78" t="n">
        <v>3</v>
      </c>
      <c r="M78" t="n">
        <v>1</v>
      </c>
      <c r="N78" t="n">
        <v>0</v>
      </c>
      <c r="O78" t="n">
        <v>0</v>
      </c>
      <c r="P78" t="n">
        <v>0</v>
      </c>
      <c r="Q78" t="n">
        <v>4</v>
      </c>
      <c r="R78" t="n">
        <v>1</v>
      </c>
      <c r="S78" t="n">
        <v>8</v>
      </c>
      <c r="T78" t="n">
        <v>50</v>
      </c>
      <c r="U78" s="2" t="inlineStr">
        <is>
          <t>Garnlav
Lunglav
Tretåig hackspett
Violettgrå tagellav
Korallrot
Spindelblomster
Torta
Fläcknycklar</t>
        </is>
      </c>
      <c r="V78">
        <f>HYPERLINK("https://klasma.github.io/Logging_2039/artfynd/A 45783-2022 artfynd.xlsx", "A 45783-2022")</f>
        <v/>
      </c>
      <c r="W78">
        <f>HYPERLINK("https://klasma.github.io/Logging_2039/kartor/A 45783-2022 karta.png", "A 45783-2022")</f>
        <v/>
      </c>
      <c r="Y78">
        <f>HYPERLINK("https://klasma.github.io/Logging_2039/klagomål/A 45783-2022 FSC-klagomål.docx", "A 45783-2022")</f>
        <v/>
      </c>
      <c r="Z78">
        <f>HYPERLINK("https://klasma.github.io/Logging_2039/klagomålsmail/A 45783-2022 FSC-klagomål mail.docx", "A 45783-2022")</f>
        <v/>
      </c>
      <c r="AA78">
        <f>HYPERLINK("https://klasma.github.io/Logging_2039/tillsyn/A 45783-2022 tillsynsbegäran.docx", "A 45783-2022")</f>
        <v/>
      </c>
      <c r="AB78">
        <f>HYPERLINK("https://klasma.github.io/Logging_2039/tillsynsmail/A 45783-2022 tillsynsbegäran mail.docx", "A 45783-2022")</f>
        <v/>
      </c>
      <c r="AC78">
        <f>HYPERLINK("https://klasma.github.io/Logging_2039/fåglar/A 45783-2022 prioriterade fågelarter.docx", "A 45783-2022")</f>
        <v/>
      </c>
    </row>
    <row r="79" ht="15" customHeight="1">
      <c r="A79" t="inlineStr">
        <is>
          <t>A 62355-2022</t>
        </is>
      </c>
      <c r="B79" t="inlineStr">
        <is>
          <t>avverkningsanmälan</t>
        </is>
      </c>
      <c r="C79" t="inlineStr">
        <is>
          <t>Föryngringsavverkning</t>
        </is>
      </c>
      <c r="D79" s="1" t="n">
        <v>44923</v>
      </c>
      <c r="E79" s="1" t="n">
        <v>46217</v>
      </c>
      <c r="F79" t="inlineStr">
        <is>
          <t>DALARNAS LÄN</t>
        </is>
      </c>
      <c r="G79" t="inlineStr">
        <is>
          <t>ÄLVDALEN</t>
        </is>
      </c>
      <c r="I79" t="n">
        <v>4.3</v>
      </c>
      <c r="J79" t="n">
        <v>4</v>
      </c>
      <c r="K79" t="n">
        <v>1</v>
      </c>
      <c r="L79" t="n">
        <v>3</v>
      </c>
      <c r="M79" t="n">
        <v>2</v>
      </c>
      <c r="N79" t="n">
        <v>0</v>
      </c>
      <c r="O79" t="n">
        <v>0</v>
      </c>
      <c r="P79" t="n">
        <v>0</v>
      </c>
      <c r="Q79" t="n">
        <v>5</v>
      </c>
      <c r="R79" t="n">
        <v>2</v>
      </c>
      <c r="S79" t="n">
        <v>8</v>
      </c>
      <c r="T79" t="n">
        <v>15</v>
      </c>
      <c r="U79" s="2" t="inlineStr">
        <is>
          <t>Garnlav
Knärot
Kortskaftad ärgspik
Tretåig hackspett
Ullticka
Källmossa
Tjäder
Revlummer</t>
        </is>
      </c>
      <c r="V79">
        <f>HYPERLINK("https://klasma.github.io/Logging_2039/artfynd/A 62355-2022 artfynd.xlsx", "A 62355-2022")</f>
        <v/>
      </c>
      <c r="W79">
        <f>HYPERLINK("https://klasma.github.io/Logging_2039/kartor/A 62355-2022 karta.png", "A 62355-2022")</f>
        <v/>
      </c>
      <c r="X79">
        <f>HYPERLINK("https://klasma.github.io/Logging_2039/knärot/A 62355-2022 karta knärot.png", "A 62355-2022")</f>
        <v/>
      </c>
      <c r="Y79">
        <f>HYPERLINK("https://klasma.github.io/Logging_2039/klagomål/A 62355-2022 FSC-klagomål.docx", "A 62355-2022")</f>
        <v/>
      </c>
      <c r="Z79">
        <f>HYPERLINK("https://klasma.github.io/Logging_2039/klagomålsmail/A 62355-2022 FSC-klagomål mail.docx", "A 62355-2022")</f>
        <v/>
      </c>
      <c r="AA79">
        <f>HYPERLINK("https://klasma.github.io/Logging_2039/tillsyn/A 62355-2022 tillsynsbegäran.docx", "A 62355-2022")</f>
        <v/>
      </c>
      <c r="AB79">
        <f>HYPERLINK("https://klasma.github.io/Logging_2039/tillsynsmail/A 62355-2022 tillsynsbegäran mail.docx", "A 62355-2022")</f>
        <v/>
      </c>
      <c r="AC79">
        <f>HYPERLINK("https://klasma.github.io/Logging_2039/fåglar/A 62355-2022 prioriterade fågelarter.docx", "A 62355-2022")</f>
        <v/>
      </c>
    </row>
    <row r="80" ht="15" customHeight="1">
      <c r="A80" t="inlineStr">
        <is>
          <t>A 41750-2025</t>
        </is>
      </c>
      <c r="B80" t="inlineStr">
        <is>
          <t>avverkningsanmälan</t>
        </is>
      </c>
      <c r="C80" t="inlineStr">
        <is>
          <t>Föryngringsavverkning</t>
        </is>
      </c>
      <c r="D80" s="1" t="n">
        <v>45902</v>
      </c>
      <c r="E80" s="1" t="n">
        <v>46217</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s="2" t="inlineStr">
        <is>
          <t>Gräddporing
Skrovlig taggsvamp
Blanksvart spiklav
Dropptaggsvamp
Dvärgbägarlav
Kolflarnlav
Mörk kolflarnlav
Vedflamlav</t>
        </is>
      </c>
      <c r="V80">
        <f>HYPERLINK("https://klasma.github.io/Logging_2039/artfynd/A 41750-2025 artfynd.xlsx", "A 41750-2025")</f>
        <v/>
      </c>
      <c r="W80">
        <f>HYPERLINK("https://klasma.github.io/Logging_2039/kartor/A 41750-2025 karta.png", "A 41750-2025")</f>
        <v/>
      </c>
      <c r="Y80">
        <f>HYPERLINK("https://klasma.github.io/Logging_2039/klagomål/A 41750-2025 FSC-klagomål.docx", "A 41750-2025")</f>
        <v/>
      </c>
      <c r="Z80">
        <f>HYPERLINK("https://klasma.github.io/Logging_2039/klagomålsmail/A 41750-2025 FSC-klagomål mail.docx", "A 41750-2025")</f>
        <v/>
      </c>
      <c r="AA80">
        <f>HYPERLINK("https://klasma.github.io/Logging_2039/tillsyn/A 41750-2025 tillsynsbegäran.docx", "A 41750-2025")</f>
        <v/>
      </c>
      <c r="AB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46217</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s="2" t="inlineStr">
        <is>
          <t>Garnlav
Kolflarnlav
Vedskivlav
Bronshjon
Mindre märgborre
Spillkråka
Kungsfågel
Revlummer</t>
        </is>
      </c>
      <c r="V81">
        <f>HYPERLINK("https://klasma.github.io/Logging_2039/artfynd/A 54840-2025 artfynd.xlsx", "A 54840-2025")</f>
        <v/>
      </c>
      <c r="W81">
        <f>HYPERLINK("https://klasma.github.io/Logging_2039/kartor/A 54840-2025 karta.png", "A 54840-2025")</f>
        <v/>
      </c>
      <c r="Y81">
        <f>HYPERLINK("https://klasma.github.io/Logging_2039/klagomål/A 54840-2025 FSC-klagomål.docx", "A 54840-2025")</f>
        <v/>
      </c>
      <c r="Z81">
        <f>HYPERLINK("https://klasma.github.io/Logging_2039/klagomålsmail/A 54840-2025 FSC-klagomål mail.docx", "A 54840-2025")</f>
        <v/>
      </c>
      <c r="AA81">
        <f>HYPERLINK("https://klasma.github.io/Logging_2039/tillsyn/A 54840-2025 tillsynsbegäran.docx", "A 54840-2025")</f>
        <v/>
      </c>
      <c r="AB81">
        <f>HYPERLINK("https://klasma.github.io/Logging_2039/tillsynsmail/A 54840-2025 tillsynsbegäran mail.docx", "A 54840-2025")</f>
        <v/>
      </c>
      <c r="AC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46217</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s="2" t="inlineStr">
        <is>
          <t>Garnlav
Kolflarnlav
Mörk kolflarnlav
Tallticka
Varglav
Vedskivlav
Spillkråka
Tjäder</t>
        </is>
      </c>
      <c r="V82">
        <f>HYPERLINK("https://klasma.github.io/Logging_2039/artfynd/A 50070-2025 artfynd.xlsx", "A 50070-2025")</f>
        <v/>
      </c>
      <c r="W82">
        <f>HYPERLINK("https://klasma.github.io/Logging_2039/kartor/A 50070-2025 karta.png", "A 50070-2025")</f>
        <v/>
      </c>
      <c r="Y82">
        <f>HYPERLINK("https://klasma.github.io/Logging_2039/klagomål/A 50070-2025 FSC-klagomål.docx", "A 50070-2025")</f>
        <v/>
      </c>
      <c r="Z82">
        <f>HYPERLINK("https://klasma.github.io/Logging_2039/klagomålsmail/A 50070-2025 FSC-klagomål mail.docx", "A 50070-2025")</f>
        <v/>
      </c>
      <c r="AA82">
        <f>HYPERLINK("https://klasma.github.io/Logging_2039/tillsyn/A 50070-2025 tillsynsbegäran.docx", "A 50070-2025")</f>
        <v/>
      </c>
      <c r="AB82">
        <f>HYPERLINK("https://klasma.github.io/Logging_2039/tillsynsmail/A 50070-2025 tillsynsbegäran mail.docx", "A 50070-2025")</f>
        <v/>
      </c>
      <c r="AC82">
        <f>HYPERLINK("https://klasma.github.io/Logging_2039/fåglar/A 50070-2025 prioriterade fågelarter.docx", "A 50070-2025")</f>
        <v/>
      </c>
    </row>
    <row r="83" ht="15" customHeight="1">
      <c r="A83" t="inlineStr">
        <is>
          <t>A 66887-2021</t>
        </is>
      </c>
      <c r="B83" t="inlineStr">
        <is>
          <t>avverkningsanmälan</t>
        </is>
      </c>
      <c r="C83" t="inlineStr">
        <is>
          <t>Föryngringsavverkning</t>
        </is>
      </c>
      <c r="D83" s="1" t="n">
        <v>44522</v>
      </c>
      <c r="E83" s="1" t="n">
        <v>46217</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s="2" t="inlineStr">
        <is>
          <t>Knärot
Järnsparv
Ormbär
Spillkråka
Tjäder
Vanlig groda
Fläcknycklar
Revlummer</t>
        </is>
      </c>
      <c r="V83">
        <f>HYPERLINK("https://klasma.github.io/Logging_2039/artfynd/A 66887-2021 artfynd.xlsx", "A 66887-2021")</f>
        <v/>
      </c>
      <c r="W83">
        <f>HYPERLINK("https://klasma.github.io/Logging_2039/kartor/A 66887-2021 karta.png", "A 66887-2021")</f>
        <v/>
      </c>
      <c r="X83">
        <f>HYPERLINK("https://klasma.github.io/Logging_2039/knärot/A 66887-2021 karta knärot.png", "A 66887-2021")</f>
        <v/>
      </c>
      <c r="Y83">
        <f>HYPERLINK("https://klasma.github.io/Logging_2039/klagomål/A 66887-2021 FSC-klagomål.docx", "A 66887-2021")</f>
        <v/>
      </c>
      <c r="Z83">
        <f>HYPERLINK("https://klasma.github.io/Logging_2039/klagomålsmail/A 66887-2021 FSC-klagomål mail.docx", "A 66887-2021")</f>
        <v/>
      </c>
      <c r="AA83">
        <f>HYPERLINK("https://klasma.github.io/Logging_2039/tillsyn/A 66887-2021 tillsynsbegäran.docx", "A 66887-2021")</f>
        <v/>
      </c>
      <c r="AB83">
        <f>HYPERLINK("https://klasma.github.io/Logging_2039/tillsynsmail/A 66887-2021 tillsynsbegäran mail.docx", "A 66887-2021")</f>
        <v/>
      </c>
      <c r="AC83">
        <f>HYPERLINK("https://klasma.github.io/Logging_2039/fåglar/A 66887-2021 prioriterade fågelarter.docx", "A 66887-2021")</f>
        <v/>
      </c>
    </row>
    <row r="84" ht="15" customHeight="1">
      <c r="A84" t="inlineStr">
        <is>
          <t>A 33882-2024</t>
        </is>
      </c>
      <c r="B84" t="inlineStr">
        <is>
          <t>avverkningsanmälan</t>
        </is>
      </c>
      <c r="C84" t="inlineStr">
        <is>
          <t>Föryngringsavverkning</t>
        </is>
      </c>
      <c r="D84" s="1" t="n">
        <v>45522</v>
      </c>
      <c r="E84" s="1" t="n">
        <v>46217</v>
      </c>
      <c r="F84" t="inlineStr">
        <is>
          <t>DALARNAS LÄN</t>
        </is>
      </c>
      <c r="G84" t="inlineStr">
        <is>
          <t>ÄLVDALEN</t>
        </is>
      </c>
      <c r="I84" t="n">
        <v>53.8</v>
      </c>
      <c r="J84" t="n">
        <v>4</v>
      </c>
      <c r="K84" t="n">
        <v>1</v>
      </c>
      <c r="L84" t="n">
        <v>4</v>
      </c>
      <c r="M84" t="n">
        <v>2</v>
      </c>
      <c r="N84" t="n">
        <v>0</v>
      </c>
      <c r="O84" t="n">
        <v>0</v>
      </c>
      <c r="P84" t="n">
        <v>0</v>
      </c>
      <c r="Q84" t="n">
        <v>6</v>
      </c>
      <c r="R84" t="n">
        <v>2</v>
      </c>
      <c r="S84" t="n">
        <v>8</v>
      </c>
      <c r="T84" t="n">
        <v>18</v>
      </c>
      <c r="U84" s="2" t="inlineStr">
        <is>
          <t>Garnlav
Skuggnål
Lavskrika
Skrovellav
Tretåig hackspett
Vitplätt
Spindelblomster
Revlummer</t>
        </is>
      </c>
      <c r="V84">
        <f>HYPERLINK("https://klasma.github.io/Logging_2039/artfynd/A 33882-2024 artfynd.xlsx", "A 33882-2024")</f>
        <v/>
      </c>
      <c r="W84">
        <f>HYPERLINK("https://klasma.github.io/Logging_2039/kartor/A 33882-2024 karta.png", "A 33882-2024")</f>
        <v/>
      </c>
      <c r="Y84">
        <f>HYPERLINK("https://klasma.github.io/Logging_2039/klagomål/A 33882-2024 FSC-klagomål.docx", "A 33882-2024")</f>
        <v/>
      </c>
      <c r="Z84">
        <f>HYPERLINK("https://klasma.github.io/Logging_2039/klagomålsmail/A 33882-2024 FSC-klagomål mail.docx", "A 33882-2024")</f>
        <v/>
      </c>
      <c r="AA84">
        <f>HYPERLINK("https://klasma.github.io/Logging_2039/tillsyn/A 33882-2024 tillsynsbegäran.docx", "A 33882-2024")</f>
        <v/>
      </c>
      <c r="AB84">
        <f>HYPERLINK("https://klasma.github.io/Logging_2039/tillsynsmail/A 33882-2024 tillsynsbegäran mail.docx", "A 33882-2024")</f>
        <v/>
      </c>
      <c r="AC84">
        <f>HYPERLINK("https://klasma.github.io/Logging_2039/fåglar/A 33882-2024 prioriterade fågelarter.docx", "A 33882-2024")</f>
        <v/>
      </c>
    </row>
    <row r="85" ht="15" customHeight="1">
      <c r="A85" t="inlineStr">
        <is>
          <t>A 24018-2026</t>
        </is>
      </c>
      <c r="B85" t="inlineStr">
        <is>
          <t>avverkningsanmälan</t>
        </is>
      </c>
      <c r="C85" t="inlineStr">
        <is>
          <t>Föryngringsavverkning</t>
        </is>
      </c>
      <c r="D85" s="1" t="n">
        <v>46167</v>
      </c>
      <c r="E85" s="1" t="n">
        <v>46217</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s="2" t="inlineStr">
        <is>
          <t>Knärot
Järnsparv
Ormbär
Spillkråka
Tjäder
Vanlig groda
Fläcknycklar
Revlummer</t>
        </is>
      </c>
      <c r="V85">
        <f>HYPERLINK("https://klasma.github.io/Logging_2039/artfynd/A 24018-2026 artfynd.xlsx", "A 24018-2026")</f>
        <v/>
      </c>
      <c r="W85">
        <f>HYPERLINK("https://klasma.github.io/Logging_2039/kartor/A 24018-2026 karta.png", "A 24018-2026")</f>
        <v/>
      </c>
      <c r="X85">
        <f>HYPERLINK("https://klasma.github.io/Logging_2039/knärot/A 24018-2026 karta knärot.png", "A 24018-2026")</f>
        <v/>
      </c>
      <c r="Y85">
        <f>HYPERLINK("https://klasma.github.io/Logging_2039/klagomål/A 24018-2026 FSC-klagomål.docx", "A 24018-2026")</f>
        <v/>
      </c>
      <c r="Z85">
        <f>HYPERLINK("https://klasma.github.io/Logging_2039/klagomålsmail/A 24018-2026 FSC-klagomål mail.docx", "A 24018-2026")</f>
        <v/>
      </c>
      <c r="AA85">
        <f>HYPERLINK("https://klasma.github.io/Logging_2039/tillsyn/A 24018-2026 tillsynsbegäran.docx", "A 24018-2026")</f>
        <v/>
      </c>
      <c r="AB85">
        <f>HYPERLINK("https://klasma.github.io/Logging_2039/tillsynsmail/A 24018-2026 tillsynsbegäran mail.docx", "A 24018-2026")</f>
        <v/>
      </c>
      <c r="AC85">
        <f>HYPERLINK("https://klasma.github.io/Logging_2039/fåglar/A 24018-2026 prioriterade fågelarter.docx", "A 24018-2026")</f>
        <v/>
      </c>
    </row>
    <row r="86" ht="15" customHeight="1">
      <c r="A86" t="inlineStr">
        <is>
          <t>A 59303-2025</t>
        </is>
      </c>
      <c r="B86" t="inlineStr">
        <is>
          <t>avverkningsanmälan</t>
        </is>
      </c>
      <c r="C86" t="inlineStr">
        <is>
          <t>Föryngringsavverkning</t>
        </is>
      </c>
      <c r="D86" s="1" t="n">
        <v>45988</v>
      </c>
      <c r="E86" s="1" t="n">
        <v>46217</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s="2" t="inlineStr">
        <is>
          <t>Garnlav
Blanksvart spiklav
Blågrå svartspik
Liten svartspik
Tretåig hackspett
Vedflamlav
Violettgrå tagellav
Vitgrynig nållav</t>
        </is>
      </c>
      <c r="V86">
        <f>HYPERLINK("https://klasma.github.io/Logging_2039/artfynd/A 59303-2025 artfynd.xlsx", "A 59303-2025")</f>
        <v/>
      </c>
      <c r="W86">
        <f>HYPERLINK("https://klasma.github.io/Logging_2039/kartor/A 59303-2025 karta.png", "A 59303-2025")</f>
        <v/>
      </c>
      <c r="Y86">
        <f>HYPERLINK("https://klasma.github.io/Logging_2039/klagomål/A 59303-2025 FSC-klagomål.docx", "A 59303-2025")</f>
        <v/>
      </c>
      <c r="Z86">
        <f>HYPERLINK("https://klasma.github.io/Logging_2039/klagomålsmail/A 59303-2025 FSC-klagomål mail.docx", "A 59303-2025")</f>
        <v/>
      </c>
      <c r="AA86">
        <f>HYPERLINK("https://klasma.github.io/Logging_2039/tillsyn/A 59303-2025 tillsynsbegäran.docx", "A 59303-2025")</f>
        <v/>
      </c>
      <c r="AB86">
        <f>HYPERLINK("https://klasma.github.io/Logging_2039/tillsynsmail/A 59303-2025 tillsynsbegäran mail.docx", "A 59303-2025")</f>
        <v/>
      </c>
      <c r="AC86">
        <f>HYPERLINK("https://klasma.github.io/Logging_2039/fåglar/A 59303-2025 prioriterade fågelarter.docx", "A 59303-2025")</f>
        <v/>
      </c>
    </row>
    <row r="87" ht="15" customHeight="1">
      <c r="A87" t="inlineStr">
        <is>
          <t>A 6823-2026</t>
        </is>
      </c>
      <c r="B87" t="inlineStr">
        <is>
          <t>avverkningsanmälan</t>
        </is>
      </c>
      <c r="C87" t="inlineStr">
        <is>
          <t>Föryngringsavverkning</t>
        </is>
      </c>
      <c r="D87" s="1" t="n">
        <v>46057</v>
      </c>
      <c r="E87" s="1" t="n">
        <v>46217</v>
      </c>
      <c r="F87" t="inlineStr">
        <is>
          <t>DALARNAS LÄN</t>
        </is>
      </c>
      <c r="G87" t="inlineStr">
        <is>
          <t>ÄLVDALEN</t>
        </is>
      </c>
      <c r="I87" t="n">
        <v>3.9</v>
      </c>
      <c r="J87" t="n">
        <v>4</v>
      </c>
      <c r="K87" t="n">
        <v>0</v>
      </c>
      <c r="L87" t="n">
        <v>3</v>
      </c>
      <c r="M87" t="n">
        <v>1</v>
      </c>
      <c r="N87" t="n">
        <v>0</v>
      </c>
      <c r="O87" t="n">
        <v>0</v>
      </c>
      <c r="P87" t="n">
        <v>0</v>
      </c>
      <c r="Q87" t="n">
        <v>4</v>
      </c>
      <c r="R87" t="n">
        <v>1</v>
      </c>
      <c r="S87" t="n">
        <v>8</v>
      </c>
      <c r="T87" t="n">
        <v>27</v>
      </c>
      <c r="U87" s="2" t="inlineStr">
        <is>
          <t>Garnlav
Tallticka
Tretåig hackspett
Ullticka
Järpe
Linnea
Spillkråka
Tjäder</t>
        </is>
      </c>
      <c r="V87">
        <f>HYPERLINK("https://klasma.github.io/Logging_2039/artfynd/A 6823-2026 artfynd.xlsx", "A 6823-2026")</f>
        <v/>
      </c>
      <c r="W87">
        <f>HYPERLINK("https://klasma.github.io/Logging_2039/kartor/A 6823-2026 karta.png", "A 6823-2026")</f>
        <v/>
      </c>
      <c r="Y87">
        <f>HYPERLINK("https://klasma.github.io/Logging_2039/klagomål/A 6823-2026 FSC-klagomål.docx", "A 6823-2026")</f>
        <v/>
      </c>
      <c r="Z87">
        <f>HYPERLINK("https://klasma.github.io/Logging_2039/klagomålsmail/A 6823-2026 FSC-klagomål mail.docx", "A 6823-2026")</f>
        <v/>
      </c>
      <c r="AA87">
        <f>HYPERLINK("https://klasma.github.io/Logging_2039/tillsyn/A 6823-2026 tillsynsbegäran.docx", "A 6823-2026")</f>
        <v/>
      </c>
      <c r="AB87">
        <f>HYPERLINK("https://klasma.github.io/Logging_2039/tillsynsmail/A 6823-2026 tillsynsbegäran mail.docx", "A 6823-2026")</f>
        <v/>
      </c>
      <c r="AC87">
        <f>HYPERLINK("https://klasma.github.io/Logging_2039/fåglar/A 6823-2026 prioriterade fågelarter.docx", "A 6823-2026")</f>
        <v/>
      </c>
    </row>
    <row r="88" ht="15" customHeight="1">
      <c r="A88" t="inlineStr">
        <is>
          <t>A 48552-2024</t>
        </is>
      </c>
      <c r="B88" t="inlineStr">
        <is>
          <t>avverkningsanmälan</t>
        </is>
      </c>
      <c r="C88" t="inlineStr">
        <is>
          <t>Föryngringsavverkning</t>
        </is>
      </c>
      <c r="D88" s="1" t="n">
        <v>45593</v>
      </c>
      <c r="E88" s="1" t="n">
        <v>46217</v>
      </c>
      <c r="F88" t="inlineStr">
        <is>
          <t>DALARNAS LÄN</t>
        </is>
      </c>
      <c r="G88" t="inlineStr">
        <is>
          <t>ÄLVDALEN</t>
        </is>
      </c>
      <c r="I88" t="n">
        <v>4.1</v>
      </c>
      <c r="J88" t="n">
        <v>4</v>
      </c>
      <c r="K88" t="n">
        <v>1</v>
      </c>
      <c r="L88" t="n">
        <v>3</v>
      </c>
      <c r="M88" t="n">
        <v>2</v>
      </c>
      <c r="N88" t="n">
        <v>0</v>
      </c>
      <c r="O88" t="n">
        <v>0</v>
      </c>
      <c r="P88" t="n">
        <v>0</v>
      </c>
      <c r="Q88" t="n">
        <v>5</v>
      </c>
      <c r="R88" t="n">
        <v>2</v>
      </c>
      <c r="S88" t="n">
        <v>8</v>
      </c>
      <c r="T88" t="n">
        <v>15</v>
      </c>
      <c r="U88" s="2" t="inlineStr">
        <is>
          <t>Garnlav
Knärot
Kortskaftad ärgspik
Tretåig hackspett
Ullticka
Källmossa
Tjäder
Revlummer</t>
        </is>
      </c>
      <c r="V88">
        <f>HYPERLINK("https://klasma.github.io/Logging_2039/artfynd/A 48552-2024 artfynd.xlsx", "A 48552-2024")</f>
        <v/>
      </c>
      <c r="W88">
        <f>HYPERLINK("https://klasma.github.io/Logging_2039/kartor/A 48552-2024 karta.png", "A 48552-2024")</f>
        <v/>
      </c>
      <c r="X88">
        <f>HYPERLINK("https://klasma.github.io/Logging_2039/knärot/A 48552-2024 karta knärot.png", "A 48552-2024")</f>
        <v/>
      </c>
      <c r="Y88">
        <f>HYPERLINK("https://klasma.github.io/Logging_2039/klagomål/A 48552-2024 FSC-klagomål.docx", "A 48552-2024")</f>
        <v/>
      </c>
      <c r="Z88">
        <f>HYPERLINK("https://klasma.github.io/Logging_2039/klagomålsmail/A 48552-2024 FSC-klagomål mail.docx", "A 48552-2024")</f>
        <v/>
      </c>
      <c r="AA88">
        <f>HYPERLINK("https://klasma.github.io/Logging_2039/tillsyn/A 48552-2024 tillsynsbegäran.docx", "A 48552-2024")</f>
        <v/>
      </c>
      <c r="AB88">
        <f>HYPERLINK("https://klasma.github.io/Logging_2039/tillsynsmail/A 48552-2024 tillsynsbegäran mail.docx", "A 48552-2024")</f>
        <v/>
      </c>
      <c r="AC88">
        <f>HYPERLINK("https://klasma.github.io/Logging_2039/fåglar/A 48552-2024 prioriterade fågelarter.docx", "A 48552-2024")</f>
        <v/>
      </c>
    </row>
    <row r="89" ht="15" customHeight="1">
      <c r="A89" t="inlineStr">
        <is>
          <t>A 25754-2025</t>
        </is>
      </c>
      <c r="B89" t="inlineStr">
        <is>
          <t>avverkningsanmälan</t>
        </is>
      </c>
      <c r="C89" t="inlineStr">
        <is>
          <t>Föryngringsavverkning</t>
        </is>
      </c>
      <c r="D89" s="1" t="n">
        <v>45804</v>
      </c>
      <c r="E89" s="1" t="n">
        <v>46217</v>
      </c>
      <c r="F89" t="inlineStr">
        <is>
          <t>DALARNAS LÄN</t>
        </is>
      </c>
      <c r="G89" t="inlineStr">
        <is>
          <t>ÄLVDALEN</t>
        </is>
      </c>
      <c r="H89" t="inlineStr">
        <is>
          <t>Kommuner</t>
        </is>
      </c>
      <c r="I89" t="n">
        <v>2.2</v>
      </c>
      <c r="J89" t="n">
        <v>4</v>
      </c>
      <c r="K89" t="n">
        <v>1</v>
      </c>
      <c r="L89" t="n">
        <v>3</v>
      </c>
      <c r="M89" t="n">
        <v>1</v>
      </c>
      <c r="N89" t="n">
        <v>0</v>
      </c>
      <c r="O89" t="n">
        <v>0</v>
      </c>
      <c r="P89" t="n">
        <v>0</v>
      </c>
      <c r="Q89" t="n">
        <v>4</v>
      </c>
      <c r="R89" t="n">
        <v>1</v>
      </c>
      <c r="S89" t="n">
        <v>8</v>
      </c>
      <c r="T89" t="n">
        <v>15</v>
      </c>
      <c r="U89" s="2" t="inlineStr">
        <is>
          <t>Garnlav
Dropptaggsvamp
Sotvaxskivling
Talltita
Mindre märgborre
Spillkråka
Kungsfågel
Revlummer</t>
        </is>
      </c>
      <c r="V89">
        <f>HYPERLINK("https://klasma.github.io/Logging_2039/artfynd/A 25754-2025 artfynd.xlsx", "A 25754-2025")</f>
        <v/>
      </c>
      <c r="W89">
        <f>HYPERLINK("https://klasma.github.io/Logging_2039/kartor/A 25754-2025 karta.png", "A 25754-2025")</f>
        <v/>
      </c>
      <c r="Y89">
        <f>HYPERLINK("https://klasma.github.io/Logging_2039/klagomål/A 25754-2025 FSC-klagomål.docx", "A 25754-2025")</f>
        <v/>
      </c>
      <c r="Z89">
        <f>HYPERLINK("https://klasma.github.io/Logging_2039/klagomålsmail/A 25754-2025 FSC-klagomål mail.docx", "A 25754-2025")</f>
        <v/>
      </c>
      <c r="AA89">
        <f>HYPERLINK("https://klasma.github.io/Logging_2039/tillsyn/A 25754-2025 tillsynsbegäran.docx", "A 25754-2025")</f>
        <v/>
      </c>
      <c r="AB89">
        <f>HYPERLINK("https://klasma.github.io/Logging_2039/tillsynsmail/A 25754-2025 tillsynsbegäran mail.docx", "A 25754-2025")</f>
        <v/>
      </c>
      <c r="AC89">
        <f>HYPERLINK("https://klasma.github.io/Logging_2039/fåglar/A 25754-2025 prioriterade fågelarter.docx", "A 25754-2025")</f>
        <v/>
      </c>
    </row>
    <row r="90" ht="15" customHeight="1">
      <c r="A90" t="inlineStr">
        <is>
          <t>A 50385-2024</t>
        </is>
      </c>
      <c r="B90" t="inlineStr">
        <is>
          <t>avverkningsanmälan</t>
        </is>
      </c>
      <c r="C90" t="inlineStr">
        <is>
          <t>Föryngringsavverkning</t>
        </is>
      </c>
      <c r="D90" s="1" t="n">
        <v>45600</v>
      </c>
      <c r="E90" s="1" t="n">
        <v>46217</v>
      </c>
      <c r="F90" t="inlineStr">
        <is>
          <t>DALARNAS LÄN</t>
        </is>
      </c>
      <c r="G90" t="inlineStr">
        <is>
          <t>ÄLVDALEN</t>
        </is>
      </c>
      <c r="H90" t="inlineStr">
        <is>
          <t>Övriga statliga verk och myndigheter</t>
        </is>
      </c>
      <c r="I90" t="n">
        <v>13.9</v>
      </c>
      <c r="J90" t="n">
        <v>2</v>
      </c>
      <c r="K90" t="n">
        <v>2</v>
      </c>
      <c r="L90" t="n">
        <v>5</v>
      </c>
      <c r="M90" t="n">
        <v>1</v>
      </c>
      <c r="N90" t="n">
        <v>0</v>
      </c>
      <c r="O90" t="n">
        <v>0</v>
      </c>
      <c r="P90" t="n">
        <v>0</v>
      </c>
      <c r="Q90" t="n">
        <v>6</v>
      </c>
      <c r="R90" t="n">
        <v>1</v>
      </c>
      <c r="S90" t="n">
        <v>8</v>
      </c>
      <c r="T90" t="n">
        <v>9</v>
      </c>
      <c r="U90" s="2" t="inlineStr">
        <is>
          <t>Garnlav
Duvhök
Gammelgransskål
Lavskrika
Liten svartspik
Violettgrå tagellav
Bronshjon
Vågbandad barkbock</t>
        </is>
      </c>
      <c r="V90">
        <f>HYPERLINK("https://klasma.github.io/Logging_2039/artfynd/A 50385-2024 artfynd.xlsx", "A 50385-2024")</f>
        <v/>
      </c>
      <c r="W90">
        <f>HYPERLINK("https://klasma.github.io/Logging_2039/kartor/A 50385-2024 karta.png", "A 50385-2024")</f>
        <v/>
      </c>
      <c r="Y90">
        <f>HYPERLINK("https://klasma.github.io/Logging_2039/klagomål/A 50385-2024 FSC-klagomål.docx", "A 50385-2024")</f>
        <v/>
      </c>
      <c r="Z90">
        <f>HYPERLINK("https://klasma.github.io/Logging_2039/klagomålsmail/A 50385-2024 FSC-klagomål mail.docx", "A 50385-2024")</f>
        <v/>
      </c>
      <c r="AA90">
        <f>HYPERLINK("https://klasma.github.io/Logging_2039/tillsyn/A 50385-2024 tillsynsbegäran.docx", "A 50385-2024")</f>
        <v/>
      </c>
      <c r="AB90">
        <f>HYPERLINK("https://klasma.github.io/Logging_2039/tillsynsmail/A 50385-2024 tillsynsbegäran mail.docx", "A 50385-2024")</f>
        <v/>
      </c>
      <c r="AC90">
        <f>HYPERLINK("https://klasma.github.io/Logging_2039/fåglar/A 50385-2024 prioriterade fågelarter.docx", "A 50385-2024")</f>
        <v/>
      </c>
    </row>
    <row r="91" ht="15" customHeight="1">
      <c r="A91" t="inlineStr">
        <is>
          <t>A 49052-2023</t>
        </is>
      </c>
      <c r="B91" t="inlineStr">
        <is>
          <t>avverkningsanmälan</t>
        </is>
      </c>
      <c r="C91" t="inlineStr">
        <is>
          <t>Föryngringsavverkning</t>
        </is>
      </c>
      <c r="D91" s="1" t="n">
        <v>45210</v>
      </c>
      <c r="E91" s="1" t="n">
        <v>46217</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s="2" t="inlineStr">
        <is>
          <t>Blanksvart spiklav
Dropptaggsvamp
Kolflarnlav
Mörk kolflarnlav
Skarp dropptaggsvamp
Varglav
Vedflamlav</t>
        </is>
      </c>
      <c r="V91">
        <f>HYPERLINK("https://klasma.github.io/Logging_2039/artfynd/A 49052-2023 artfynd.xlsx", "A 49052-2023")</f>
        <v/>
      </c>
      <c r="W91">
        <f>HYPERLINK("https://klasma.github.io/Logging_2039/kartor/A 49052-2023 karta.png", "A 49052-2023")</f>
        <v/>
      </c>
      <c r="Y91">
        <f>HYPERLINK("https://klasma.github.io/Logging_2039/klagomål/A 49052-2023 FSC-klagomål.docx", "A 49052-2023")</f>
        <v/>
      </c>
      <c r="Z91">
        <f>HYPERLINK("https://klasma.github.io/Logging_2039/klagomålsmail/A 49052-2023 FSC-klagomål mail.docx", "A 49052-2023")</f>
        <v/>
      </c>
      <c r="AA91">
        <f>HYPERLINK("https://klasma.github.io/Logging_2039/tillsyn/A 49052-2023 tillsynsbegäran.docx", "A 49052-2023")</f>
        <v/>
      </c>
      <c r="AB91">
        <f>HYPERLINK("https://klasma.github.io/Logging_2039/tillsynsmail/A 49052-2023 tillsynsbegäran mail.docx", "A 49052-2023")</f>
        <v/>
      </c>
    </row>
    <row r="92" ht="15" customHeight="1">
      <c r="A92" t="inlineStr">
        <is>
          <t>A 40417-2025</t>
        </is>
      </c>
      <c r="B92" t="inlineStr">
        <is>
          <t>avverkningsanmälan</t>
        </is>
      </c>
      <c r="C92" t="inlineStr">
        <is>
          <t>Föryngringsavverkning</t>
        </is>
      </c>
      <c r="D92" s="1" t="n">
        <v>45895</v>
      </c>
      <c r="E92" s="1" t="n">
        <v>46217</v>
      </c>
      <c r="F92" t="inlineStr">
        <is>
          <t>DALARNAS LÄN</t>
        </is>
      </c>
      <c r="G92" t="inlineStr">
        <is>
          <t>ÄLVDALEN</t>
        </is>
      </c>
      <c r="I92" t="n">
        <v>14.2</v>
      </c>
      <c r="J92" t="n">
        <v>2</v>
      </c>
      <c r="K92" t="n">
        <v>1</v>
      </c>
      <c r="L92" t="n">
        <v>4</v>
      </c>
      <c r="M92" t="n">
        <v>1</v>
      </c>
      <c r="N92" t="n">
        <v>0</v>
      </c>
      <c r="O92" t="n">
        <v>0</v>
      </c>
      <c r="P92" t="n">
        <v>0</v>
      </c>
      <c r="Q92" t="n">
        <v>5</v>
      </c>
      <c r="R92" t="n">
        <v>1</v>
      </c>
      <c r="S92" t="n">
        <v>7</v>
      </c>
      <c r="T92" t="n">
        <v>23</v>
      </c>
      <c r="U92" s="2" t="inlineStr">
        <is>
          <t>Garnlav
Kolflarnlav
Mörk kolflarnlav
Talltagel
Vedskivlav
Plattlummer
Tjäder</t>
        </is>
      </c>
      <c r="V92">
        <f>HYPERLINK("https://klasma.github.io/Logging_2039/artfynd/A 40417-2025 artfynd.xlsx", "A 40417-2025")</f>
        <v/>
      </c>
      <c r="W92">
        <f>HYPERLINK("https://klasma.github.io/Logging_2039/kartor/A 40417-2025 karta.png", "A 40417-2025")</f>
        <v/>
      </c>
      <c r="Y92">
        <f>HYPERLINK("https://klasma.github.io/Logging_2039/klagomål/A 40417-2025 FSC-klagomål.docx", "A 40417-2025")</f>
        <v/>
      </c>
      <c r="Z92">
        <f>HYPERLINK("https://klasma.github.io/Logging_2039/klagomålsmail/A 40417-2025 FSC-klagomål mail.docx", "A 40417-2025")</f>
        <v/>
      </c>
      <c r="AA92">
        <f>HYPERLINK("https://klasma.github.io/Logging_2039/tillsyn/A 40417-2025 tillsynsbegäran.docx", "A 40417-2025")</f>
        <v/>
      </c>
      <c r="AB92">
        <f>HYPERLINK("https://klasma.github.io/Logging_2039/tillsynsmail/A 40417-2025 tillsynsbegäran mail.docx", "A 40417-2025")</f>
        <v/>
      </c>
      <c r="AC92">
        <f>HYPERLINK("https://klasma.github.io/Logging_2039/fåglar/A 40417-2025 prioriterade fågelarter.docx", "A 40417-2025")</f>
        <v/>
      </c>
    </row>
    <row r="93" ht="15" customHeight="1">
      <c r="A93" t="inlineStr">
        <is>
          <t>A 55222-2025</t>
        </is>
      </c>
      <c r="B93" t="inlineStr">
        <is>
          <t>avverkningsanmälan</t>
        </is>
      </c>
      <c r="C93" t="inlineStr">
        <is>
          <t>Föryngringsavverkning</t>
        </is>
      </c>
      <c r="D93" s="1" t="n">
        <v>45968</v>
      </c>
      <c r="E93" s="1" t="n">
        <v>46217</v>
      </c>
      <c r="F93" t="inlineStr">
        <is>
          <t>DALARNAS LÄN</t>
        </is>
      </c>
      <c r="G93" t="inlineStr">
        <is>
          <t>ÄLVDALEN</t>
        </is>
      </c>
      <c r="H93" t="inlineStr">
        <is>
          <t>Sveaskog</t>
        </is>
      </c>
      <c r="I93" t="n">
        <v>2.8</v>
      </c>
      <c r="J93" t="n">
        <v>0</v>
      </c>
      <c r="K93" t="n">
        <v>0</v>
      </c>
      <c r="L93" t="n">
        <v>5</v>
      </c>
      <c r="M93" t="n">
        <v>1</v>
      </c>
      <c r="N93" t="n">
        <v>1</v>
      </c>
      <c r="O93" t="n">
        <v>0</v>
      </c>
      <c r="P93" t="n">
        <v>0</v>
      </c>
      <c r="Q93" t="n">
        <v>7</v>
      </c>
      <c r="R93" t="n">
        <v>2</v>
      </c>
      <c r="S93" t="n">
        <v>7</v>
      </c>
      <c r="T93" t="n">
        <v>8</v>
      </c>
      <c r="U93" s="2" t="inlineStr">
        <is>
          <t>Urskogsticka
Gräddporing
Dvärgbägarlav
Kolflarnlav
Mörk kolflarnlav
Nordtagging
Vedflamlav</t>
        </is>
      </c>
      <c r="V93">
        <f>HYPERLINK("https://klasma.github.io/Logging_2039/artfynd/A 55222-2025 artfynd.xlsx", "A 55222-2025")</f>
        <v/>
      </c>
      <c r="W93">
        <f>HYPERLINK("https://klasma.github.io/Logging_2039/kartor/A 55222-2025 karta.png", "A 55222-2025")</f>
        <v/>
      </c>
      <c r="Y93">
        <f>HYPERLINK("https://klasma.github.io/Logging_2039/klagomål/A 55222-2025 FSC-klagomål.docx", "A 55222-2025")</f>
        <v/>
      </c>
      <c r="Z93">
        <f>HYPERLINK("https://klasma.github.io/Logging_2039/klagomålsmail/A 55222-2025 FSC-klagomål mail.docx", "A 55222-2025")</f>
        <v/>
      </c>
      <c r="AA93">
        <f>HYPERLINK("https://klasma.github.io/Logging_2039/tillsyn/A 55222-2025 tillsynsbegäran.docx", "A 55222-2025")</f>
        <v/>
      </c>
      <c r="AB93">
        <f>HYPERLINK("https://klasma.github.io/Logging_2039/tillsynsmail/A 55222-2025 tillsynsbegäran mail.docx", "A 55222-2025")</f>
        <v/>
      </c>
    </row>
    <row r="94" ht="15" customHeight="1">
      <c r="A94" t="inlineStr">
        <is>
          <t>A 58889-2025</t>
        </is>
      </c>
      <c r="B94" t="inlineStr">
        <is>
          <t>avverkningsanmälan</t>
        </is>
      </c>
      <c r="C94" t="inlineStr">
        <is>
          <t>Föryngringsavverkning</t>
        </is>
      </c>
      <c r="D94" s="1" t="n">
        <v>45987</v>
      </c>
      <c r="E94" s="1" t="n">
        <v>46217</v>
      </c>
      <c r="F94" t="inlineStr">
        <is>
          <t>DALARNAS LÄN</t>
        </is>
      </c>
      <c r="G94" t="inlineStr">
        <is>
          <t>ÄLVDALEN</t>
        </is>
      </c>
      <c r="H94" t="inlineStr">
        <is>
          <t>Sveaskog</t>
        </is>
      </c>
      <c r="I94" t="n">
        <v>6.6</v>
      </c>
      <c r="J94" t="n">
        <v>1</v>
      </c>
      <c r="K94" t="n">
        <v>1</v>
      </c>
      <c r="L94" t="n">
        <v>6</v>
      </c>
      <c r="M94" t="n">
        <v>0</v>
      </c>
      <c r="N94" t="n">
        <v>0</v>
      </c>
      <c r="O94" t="n">
        <v>0</v>
      </c>
      <c r="P94" t="n">
        <v>0</v>
      </c>
      <c r="Q94" t="n">
        <v>6</v>
      </c>
      <c r="R94" t="n">
        <v>0</v>
      </c>
      <c r="S94" t="n">
        <v>7</v>
      </c>
      <c r="T94" t="n">
        <v>7</v>
      </c>
      <c r="U94" s="2" t="inlineStr">
        <is>
          <t>Dropptaggsvamp
Dvärgbägarlav
Kolflarnlav
Lunglav
Mörk kolflarnlav
Vedflamlav
Plattlummer</t>
        </is>
      </c>
      <c r="V94">
        <f>HYPERLINK("https://klasma.github.io/Logging_2039/artfynd/A 58889-2025 artfynd.xlsx", "A 58889-2025")</f>
        <v/>
      </c>
      <c r="W94">
        <f>HYPERLINK("https://klasma.github.io/Logging_2039/kartor/A 58889-2025 karta.png", "A 58889-2025")</f>
        <v/>
      </c>
      <c r="Y94">
        <f>HYPERLINK("https://klasma.github.io/Logging_2039/klagomål/A 58889-2025 FSC-klagomål.docx", "A 58889-2025")</f>
        <v/>
      </c>
      <c r="Z94">
        <f>HYPERLINK("https://klasma.github.io/Logging_2039/klagomålsmail/A 58889-2025 FSC-klagomål mail.docx", "A 58889-2025")</f>
        <v/>
      </c>
      <c r="AA94">
        <f>HYPERLINK("https://klasma.github.io/Logging_2039/tillsyn/A 58889-2025 tillsynsbegäran.docx", "A 58889-2025")</f>
        <v/>
      </c>
      <c r="AB94">
        <f>HYPERLINK("https://klasma.github.io/Logging_2039/tillsynsmail/A 58889-2025 tillsynsbegäran mail.docx", "A 58889-2025")</f>
        <v/>
      </c>
    </row>
    <row r="95" ht="15" customHeight="1">
      <c r="A95" t="inlineStr">
        <is>
          <t>A 38585-2023</t>
        </is>
      </c>
      <c r="B95" t="inlineStr">
        <is>
          <t>avverkningsanmälan</t>
        </is>
      </c>
      <c r="C95" t="inlineStr">
        <is>
          <t>Föryngringsavverkning</t>
        </is>
      </c>
      <c r="D95" s="1" t="n">
        <v>45162</v>
      </c>
      <c r="E95" s="1" t="n">
        <v>46217</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s="2" t="inlineStr">
        <is>
          <t>Blanksvart spiklav
Blå taggsvamp
Dropptaggsvamp
Dvärgbägarlav
Kolflarnlav
Skarp dropptaggsvamp
Plattlummer</t>
        </is>
      </c>
      <c r="V95">
        <f>HYPERLINK("https://klasma.github.io/Logging_2039/artfynd/A 38585-2023 artfynd.xlsx", "A 38585-2023")</f>
        <v/>
      </c>
      <c r="W95">
        <f>HYPERLINK("https://klasma.github.io/Logging_2039/kartor/A 38585-2023 karta.png", "A 38585-2023")</f>
        <v/>
      </c>
      <c r="Y95">
        <f>HYPERLINK("https://klasma.github.io/Logging_2039/klagomål/A 38585-2023 FSC-klagomål.docx", "A 38585-2023")</f>
        <v/>
      </c>
      <c r="Z95">
        <f>HYPERLINK("https://klasma.github.io/Logging_2039/klagomålsmail/A 38585-2023 FSC-klagomål mail.docx", "A 38585-2023")</f>
        <v/>
      </c>
      <c r="AA95">
        <f>HYPERLINK("https://klasma.github.io/Logging_2039/tillsyn/A 38585-2023 tillsynsbegäran.docx", "A 38585-2023")</f>
        <v/>
      </c>
      <c r="AB95">
        <f>HYPERLINK("https://klasma.github.io/Logging_2039/tillsynsmail/A 38585-2023 tillsynsbegäran mail.docx", "A 38585-2023")</f>
        <v/>
      </c>
    </row>
    <row r="96" ht="15" customHeight="1">
      <c r="A96" t="inlineStr">
        <is>
          <t>A 63327-2025</t>
        </is>
      </c>
      <c r="B96" t="inlineStr">
        <is>
          <t>avverkningsanmälan</t>
        </is>
      </c>
      <c r="C96" t="inlineStr">
        <is>
          <t>Föryngringsavverkning</t>
        </is>
      </c>
      <c r="D96" s="1" t="n">
        <v>46010</v>
      </c>
      <c r="E96" s="1" t="n">
        <v>46217</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s="2" t="inlineStr">
        <is>
          <t>Garnlav
Mörk kolflarnlav
Tallticka
Vedskivlav
Mindre märgborre
Spillkråka
Tjäder</t>
        </is>
      </c>
      <c r="V96">
        <f>HYPERLINK("https://klasma.github.io/Logging_2039/artfynd/A 63327-2025 artfynd.xlsx", "A 63327-2025")</f>
        <v/>
      </c>
      <c r="W96">
        <f>HYPERLINK("https://klasma.github.io/Logging_2039/kartor/A 63327-2025 karta.png", "A 63327-2025")</f>
        <v/>
      </c>
      <c r="Y96">
        <f>HYPERLINK("https://klasma.github.io/Logging_2039/klagomål/A 63327-2025 FSC-klagomål.docx", "A 63327-2025")</f>
        <v/>
      </c>
      <c r="Z96">
        <f>HYPERLINK("https://klasma.github.io/Logging_2039/klagomålsmail/A 63327-2025 FSC-klagomål mail.docx", "A 63327-2025")</f>
        <v/>
      </c>
      <c r="AA96">
        <f>HYPERLINK("https://klasma.github.io/Logging_2039/tillsyn/A 63327-2025 tillsynsbegäran.docx", "A 63327-2025")</f>
        <v/>
      </c>
      <c r="AB96">
        <f>HYPERLINK("https://klasma.github.io/Logging_2039/tillsynsmail/A 63327-2025 tillsynsbegäran mail.docx", "A 63327-2025")</f>
        <v/>
      </c>
      <c r="AC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46217</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s="2" t="inlineStr">
        <is>
          <t>Garnlav
Talltita
Grovticka
Mindre märgborre
Spillkråka
Orre
Revlummer</t>
        </is>
      </c>
      <c r="V97">
        <f>HYPERLINK("https://klasma.github.io/Logging_2039/artfynd/A 62684-2025 artfynd.xlsx", "A 62684-2025")</f>
        <v/>
      </c>
      <c r="W97">
        <f>HYPERLINK("https://klasma.github.io/Logging_2039/kartor/A 62684-2025 karta.png", "A 62684-2025")</f>
        <v/>
      </c>
      <c r="Y97">
        <f>HYPERLINK("https://klasma.github.io/Logging_2039/klagomål/A 62684-2025 FSC-klagomål.docx", "A 62684-2025")</f>
        <v/>
      </c>
      <c r="Z97">
        <f>HYPERLINK("https://klasma.github.io/Logging_2039/klagomålsmail/A 62684-2025 FSC-klagomål mail.docx", "A 62684-2025")</f>
        <v/>
      </c>
      <c r="AA97">
        <f>HYPERLINK("https://klasma.github.io/Logging_2039/tillsyn/A 62684-2025 tillsynsbegäran.docx", "A 62684-2025")</f>
        <v/>
      </c>
      <c r="AB97">
        <f>HYPERLINK("https://klasma.github.io/Logging_2039/tillsynsmail/A 62684-2025 tillsynsbegäran mail.docx", "A 62684-2025")</f>
        <v/>
      </c>
      <c r="AC97">
        <f>HYPERLINK("https://klasma.github.io/Logging_2039/fåglar/A 62684-2025 prioriterade fågelarter.docx", "A 62684-2025")</f>
        <v/>
      </c>
    </row>
    <row r="98" ht="15" customHeight="1">
      <c r="A98" t="inlineStr">
        <is>
          <t>A 6847-2026</t>
        </is>
      </c>
      <c r="B98" t="inlineStr">
        <is>
          <t>avverkningsanmälan</t>
        </is>
      </c>
      <c r="C98" t="inlineStr">
        <is>
          <t>Föryngringsavverkning</t>
        </is>
      </c>
      <c r="D98" s="1" t="n">
        <v>46057</v>
      </c>
      <c r="E98" s="1" t="n">
        <v>46217</v>
      </c>
      <c r="F98" t="inlineStr">
        <is>
          <t>DALARNAS LÄN</t>
        </is>
      </c>
      <c r="G98" t="inlineStr">
        <is>
          <t>ÄLVDALEN</t>
        </is>
      </c>
      <c r="I98" t="n">
        <v>3.6</v>
      </c>
      <c r="J98" t="n">
        <v>2</v>
      </c>
      <c r="K98" t="n">
        <v>1</v>
      </c>
      <c r="L98" t="n">
        <v>3</v>
      </c>
      <c r="M98" t="n">
        <v>1</v>
      </c>
      <c r="N98" t="n">
        <v>0</v>
      </c>
      <c r="O98" t="n">
        <v>0</v>
      </c>
      <c r="P98" t="n">
        <v>0</v>
      </c>
      <c r="Q98" t="n">
        <v>4</v>
      </c>
      <c r="R98" t="n">
        <v>1</v>
      </c>
      <c r="S98" t="n">
        <v>7</v>
      </c>
      <c r="T98" t="n">
        <v>64</v>
      </c>
      <c r="U98" s="2" t="inlineStr">
        <is>
          <t>Garnlav
Apelsinticka
Vedskivlav
Älg
Mindre märgborre
Spillkråka
Tjäder</t>
        </is>
      </c>
      <c r="V98">
        <f>HYPERLINK("https://klasma.github.io/Logging_2039/artfynd/A 6847-2026 artfynd.xlsx", "A 6847-2026")</f>
        <v/>
      </c>
      <c r="W98">
        <f>HYPERLINK("https://klasma.github.io/Logging_2039/kartor/A 6847-2026 karta.png", "A 6847-2026")</f>
        <v/>
      </c>
      <c r="Y98">
        <f>HYPERLINK("https://klasma.github.io/Logging_2039/klagomål/A 6847-2026 FSC-klagomål.docx", "A 6847-2026")</f>
        <v/>
      </c>
      <c r="Z98">
        <f>HYPERLINK("https://klasma.github.io/Logging_2039/klagomålsmail/A 6847-2026 FSC-klagomål mail.docx", "A 6847-2026")</f>
        <v/>
      </c>
      <c r="AA98">
        <f>HYPERLINK("https://klasma.github.io/Logging_2039/tillsyn/A 6847-2026 tillsynsbegäran.docx", "A 6847-2026")</f>
        <v/>
      </c>
      <c r="AB98">
        <f>HYPERLINK("https://klasma.github.io/Logging_2039/tillsynsmail/A 6847-2026 tillsynsbegäran mail.docx", "A 6847-2026")</f>
        <v/>
      </c>
      <c r="AC98">
        <f>HYPERLINK("https://klasma.github.io/Logging_2039/fåglar/A 6847-2026 prioriterade fågelarter.docx", "A 6847-2026")</f>
        <v/>
      </c>
    </row>
    <row r="99" ht="15" customHeight="1">
      <c r="A99" t="inlineStr">
        <is>
          <t>A 31821-2025</t>
        </is>
      </c>
      <c r="B99" t="inlineStr">
        <is>
          <t>avverkningsanmälan</t>
        </is>
      </c>
      <c r="C99" t="inlineStr">
        <is>
          <t>Föryngringsavverkning</t>
        </is>
      </c>
      <c r="D99" s="1" t="n">
        <v>45834</v>
      </c>
      <c r="E99" s="1" t="n">
        <v>46217</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s="2" t="inlineStr">
        <is>
          <t>Fläckporing
Blanksvart spiklav
Kolflarnlav
Varglav
Vedflamlav
Vedskivlav
Mindre märgborre</t>
        </is>
      </c>
      <c r="V99">
        <f>HYPERLINK("https://klasma.github.io/Logging_2039/artfynd/A 31821-2025 artfynd.xlsx", "A 31821-2025")</f>
        <v/>
      </c>
      <c r="W99">
        <f>HYPERLINK("https://klasma.github.io/Logging_2039/kartor/A 31821-2025 karta.png", "A 31821-2025")</f>
        <v/>
      </c>
      <c r="Y99">
        <f>HYPERLINK("https://klasma.github.io/Logging_2039/klagomål/A 31821-2025 FSC-klagomål.docx", "A 31821-2025")</f>
        <v/>
      </c>
      <c r="Z99">
        <f>HYPERLINK("https://klasma.github.io/Logging_2039/klagomålsmail/A 31821-2025 FSC-klagomål mail.docx", "A 31821-2025")</f>
        <v/>
      </c>
      <c r="AA99">
        <f>HYPERLINK("https://klasma.github.io/Logging_2039/tillsyn/A 31821-2025 tillsynsbegäran.docx", "A 31821-2025")</f>
        <v/>
      </c>
      <c r="AB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46217</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s="2" t="inlineStr">
        <is>
          <t>Vedskivlav
Mindre märgborre
Plattlummer
Linnea
Spillkråka
Tjäder
Revlummer</t>
        </is>
      </c>
      <c r="V100">
        <f>HYPERLINK("https://klasma.github.io/Logging_2039/artfynd/S 824-2022 artfynd.xlsx", "S 824-2022")</f>
        <v/>
      </c>
      <c r="W100">
        <f>HYPERLINK("https://klasma.github.io/Logging_2039/kartor/S 824-2022 karta.png", "S 824-2022")</f>
        <v/>
      </c>
      <c r="Y100">
        <f>HYPERLINK("https://klasma.github.io/Logging_2039/klagomål/S 824-2022 FSC-klagomål.docx", "S 824-2022")</f>
        <v/>
      </c>
      <c r="Z100">
        <f>HYPERLINK("https://klasma.github.io/Logging_2039/klagomålsmail/S 824-2022 FSC-klagomål mail.docx", "S 824-2022")</f>
        <v/>
      </c>
      <c r="AA100">
        <f>HYPERLINK("https://klasma.github.io/Logging_2039/tillsyn/S 824-2022 tillsynsbegäran.docx", "S 824-2022")</f>
        <v/>
      </c>
      <c r="AB100">
        <f>HYPERLINK("https://klasma.github.io/Logging_2039/tillsynsmail/S 824-2022 tillsynsbegäran mail.docx", "S 824-2022")</f>
        <v/>
      </c>
      <c r="AC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46217</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s="2" t="inlineStr">
        <is>
          <t>Garnlav
Rosenticka
Rynkskinn
Tallticka
Violettgrå tagellav
Vitgrynig nållav
Vågbandad barkbock</t>
        </is>
      </c>
      <c r="V101">
        <f>HYPERLINK("https://klasma.github.io/Logging_2039/artfynd/S 5342-2022 artfynd.xlsx", "S 5342-2022")</f>
        <v/>
      </c>
      <c r="W101">
        <f>HYPERLINK("https://klasma.github.io/Logging_2039/kartor/S 5342-2022 karta.png", "S 5342-2022")</f>
        <v/>
      </c>
      <c r="Y101">
        <f>HYPERLINK("https://klasma.github.io/Logging_2039/klagomål/S 5342-2022 FSC-klagomål.docx", "S 5342-2022")</f>
        <v/>
      </c>
      <c r="Z101">
        <f>HYPERLINK("https://klasma.github.io/Logging_2039/klagomålsmail/S 5342-2022 FSC-klagomål mail.docx", "S 5342-2022")</f>
        <v/>
      </c>
      <c r="AA101">
        <f>HYPERLINK("https://klasma.github.io/Logging_2039/tillsyn/S 5342-2022 tillsynsbegäran.docx", "S 5342-2022")</f>
        <v/>
      </c>
      <c r="AB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46217</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s="2" t="inlineStr">
        <is>
          <t>Vedskivlav
Mindre märgborre
Plattlummer
Linnea
Spillkråka
Tjäder
Revlummer</t>
        </is>
      </c>
      <c r="V102">
        <f>HYPERLINK("https://klasma.github.io/Logging_2039/artfynd/S 669-2023 artfynd.xlsx", "S 669-2023")</f>
        <v/>
      </c>
      <c r="W102">
        <f>HYPERLINK("https://klasma.github.io/Logging_2039/kartor/S 669-2023 karta.png", "S 669-2023")</f>
        <v/>
      </c>
      <c r="Y102">
        <f>HYPERLINK("https://klasma.github.io/Logging_2039/klagomål/S 669-2023 FSC-klagomål.docx", "S 669-2023")</f>
        <v/>
      </c>
      <c r="Z102">
        <f>HYPERLINK("https://klasma.github.io/Logging_2039/klagomålsmail/S 669-2023 FSC-klagomål mail.docx", "S 669-2023")</f>
        <v/>
      </c>
      <c r="AA102">
        <f>HYPERLINK("https://klasma.github.io/Logging_2039/tillsyn/S 669-2023 tillsynsbegäran.docx", "S 669-2023")</f>
        <v/>
      </c>
      <c r="AB102">
        <f>HYPERLINK("https://klasma.github.io/Logging_2039/tillsynsmail/S 669-2023 tillsynsbegäran mail.docx", "S 669-2023")</f>
        <v/>
      </c>
      <c r="AC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46217</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s="2" t="inlineStr">
        <is>
          <t>Garnlav
Mörk kolflarnlav
Vedflamlav
Vedskivlav
Violettgrå tagellav
Mindre märgborre</t>
        </is>
      </c>
      <c r="V103">
        <f>HYPERLINK("https://klasma.github.io/Logging_2039/artfynd/A 54314-2021 artfynd.xlsx", "A 54314-2021")</f>
        <v/>
      </c>
      <c r="W103">
        <f>HYPERLINK("https://klasma.github.io/Logging_2039/kartor/A 54314-2021 karta.png", "A 54314-2021")</f>
        <v/>
      </c>
      <c r="Y103">
        <f>HYPERLINK("https://klasma.github.io/Logging_2039/klagomål/A 54314-2021 FSC-klagomål.docx", "A 54314-2021")</f>
        <v/>
      </c>
      <c r="Z103">
        <f>HYPERLINK("https://klasma.github.io/Logging_2039/klagomålsmail/A 54314-2021 FSC-klagomål mail.docx", "A 54314-2021")</f>
        <v/>
      </c>
      <c r="AA103">
        <f>HYPERLINK("https://klasma.github.io/Logging_2039/tillsyn/A 54314-2021 tillsynsbegäran.docx", "A 54314-2021")</f>
        <v/>
      </c>
      <c r="AB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46217</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s="2" t="inlineStr">
        <is>
          <t>Smalfotad taggsvamp
Tajgataggsvamp
Tallstocksticka
Dropptaggsvamp
Dvärgbägarlav
Skarp dropptaggsvamp</t>
        </is>
      </c>
      <c r="V104">
        <f>HYPERLINK("https://klasma.github.io/Logging_2039/artfynd/A 22701-2024 artfynd.xlsx", "A 22701-2024")</f>
        <v/>
      </c>
      <c r="W104">
        <f>HYPERLINK("https://klasma.github.io/Logging_2039/kartor/A 22701-2024 karta.png", "A 22701-2024")</f>
        <v/>
      </c>
      <c r="Y104">
        <f>HYPERLINK("https://klasma.github.io/Logging_2039/klagomål/A 22701-2024 FSC-klagomål.docx", "A 22701-2024")</f>
        <v/>
      </c>
      <c r="Z104">
        <f>HYPERLINK("https://klasma.github.io/Logging_2039/klagomålsmail/A 22701-2024 FSC-klagomål mail.docx", "A 22701-2024")</f>
        <v/>
      </c>
      <c r="AA104">
        <f>HYPERLINK("https://klasma.github.io/Logging_2039/tillsyn/A 22701-2024 tillsynsbegäran.docx", "A 22701-2024")</f>
        <v/>
      </c>
      <c r="AB104">
        <f>HYPERLINK("https://klasma.github.io/Logging_2039/tillsynsmail/A 22701-2024 tillsynsbegäran mail.docx", "A 22701-2024")</f>
        <v/>
      </c>
    </row>
    <row r="105" ht="15" customHeight="1">
      <c r="A105" t="inlineStr">
        <is>
          <t>A 61585-2025</t>
        </is>
      </c>
      <c r="B105" t="inlineStr">
        <is>
          <t>avverkningsanmälan</t>
        </is>
      </c>
      <c r="C105" t="inlineStr">
        <is>
          <t>Föryngringsavverkning</t>
        </is>
      </c>
      <c r="D105" s="1" t="n">
        <v>46002</v>
      </c>
      <c r="E105" s="1" t="n">
        <v>46217</v>
      </c>
      <c r="F105" t="inlineStr">
        <is>
          <t>DALARNAS LÄN</t>
        </is>
      </c>
      <c r="G105" t="inlineStr">
        <is>
          <t>ÄLVDALEN</t>
        </is>
      </c>
      <c r="H105" t="inlineStr">
        <is>
          <t>Sveaskog</t>
        </is>
      </c>
      <c r="I105" t="n">
        <v>11.2</v>
      </c>
      <c r="J105" t="n">
        <v>1</v>
      </c>
      <c r="K105" t="n">
        <v>1</v>
      </c>
      <c r="L105" t="n">
        <v>4</v>
      </c>
      <c r="M105" t="n">
        <v>1</v>
      </c>
      <c r="N105" t="n">
        <v>0</v>
      </c>
      <c r="O105" t="n">
        <v>0</v>
      </c>
      <c r="P105" t="n">
        <v>0</v>
      </c>
      <c r="Q105" t="n">
        <v>5</v>
      </c>
      <c r="R105" t="n">
        <v>1</v>
      </c>
      <c r="S105" t="n">
        <v>6</v>
      </c>
      <c r="T105" t="n">
        <v>10</v>
      </c>
      <c r="U105" s="2" t="inlineStr">
        <is>
          <t>Garnlav
Dvärgbägarlav
Kolflarnlav
Skrovellav
Vedflamlav
Plattlummer</t>
        </is>
      </c>
      <c r="V105">
        <f>HYPERLINK("https://klasma.github.io/Logging_2039/artfynd/A 61585-2025 artfynd.xlsx", "A 61585-2025")</f>
        <v/>
      </c>
      <c r="W105">
        <f>HYPERLINK("https://klasma.github.io/Logging_2039/kartor/A 61585-2025 karta.png", "A 61585-2025")</f>
        <v/>
      </c>
      <c r="Y105">
        <f>HYPERLINK("https://klasma.github.io/Logging_2039/klagomål/A 61585-2025 FSC-klagomål.docx", "A 61585-2025")</f>
        <v/>
      </c>
      <c r="Z105">
        <f>HYPERLINK("https://klasma.github.io/Logging_2039/klagomålsmail/A 61585-2025 FSC-klagomål mail.docx", "A 61585-2025")</f>
        <v/>
      </c>
      <c r="AA105">
        <f>HYPERLINK("https://klasma.github.io/Logging_2039/tillsyn/A 61585-2025 tillsynsbegäran.docx", "A 61585-2025")</f>
        <v/>
      </c>
      <c r="AB105">
        <f>HYPERLINK("https://klasma.github.io/Logging_2039/tillsynsmail/A 61585-2025 tillsynsbegäran mail.docx", "A 61585-2025")</f>
        <v/>
      </c>
    </row>
    <row r="106" ht="15" customHeight="1">
      <c r="A106" t="inlineStr">
        <is>
          <t>A 61591-2025</t>
        </is>
      </c>
      <c r="B106" t="inlineStr">
        <is>
          <t>avverkningsanmälan</t>
        </is>
      </c>
      <c r="C106" t="inlineStr">
        <is>
          <t>Föryngringsavverkning</t>
        </is>
      </c>
      <c r="D106" s="1" t="n">
        <v>46002</v>
      </c>
      <c r="E106" s="1" t="n">
        <v>46217</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s="2" t="inlineStr">
        <is>
          <t>Dropptaggsvamp
Dvärgbägarlav
Kolflarnlav
Mörk kolflarnlav
Vedflamlav
Plattlummer</t>
        </is>
      </c>
      <c r="V106">
        <f>HYPERLINK("https://klasma.github.io/Logging_2039/artfynd/A 61591-2025 artfynd.xlsx", "A 61591-2025")</f>
        <v/>
      </c>
      <c r="W106">
        <f>HYPERLINK("https://klasma.github.io/Logging_2039/kartor/A 61591-2025 karta.png", "A 61591-2025")</f>
        <v/>
      </c>
      <c r="Y106">
        <f>HYPERLINK("https://klasma.github.io/Logging_2039/klagomål/A 61591-2025 FSC-klagomål.docx", "A 61591-2025")</f>
        <v/>
      </c>
      <c r="Z106">
        <f>HYPERLINK("https://klasma.github.io/Logging_2039/klagomålsmail/A 61591-2025 FSC-klagomål mail.docx", "A 61591-2025")</f>
        <v/>
      </c>
      <c r="AA106">
        <f>HYPERLINK("https://klasma.github.io/Logging_2039/tillsyn/A 61591-2025 tillsynsbegäran.docx", "A 61591-2025")</f>
        <v/>
      </c>
      <c r="AB106">
        <f>HYPERLINK("https://klasma.github.io/Logging_2039/tillsynsmail/A 61591-2025 tillsynsbegäran mail.docx", "A 61591-2025")</f>
        <v/>
      </c>
    </row>
    <row r="107" ht="15" customHeight="1">
      <c r="A107" t="inlineStr">
        <is>
          <t>A 49053-2023</t>
        </is>
      </c>
      <c r="B107" t="inlineStr">
        <is>
          <t>avverkningsanmälan</t>
        </is>
      </c>
      <c r="C107" t="inlineStr">
        <is>
          <t>Föryngringsavverkning</t>
        </is>
      </c>
      <c r="D107" s="1" t="n">
        <v>45210</v>
      </c>
      <c r="E107" s="1" t="n">
        <v>46217</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s="2" t="inlineStr">
        <is>
          <t>Gräddporing
Dropptaggsvamp
Kolflarnlav
Nordtagging
Skarp dropptaggsvamp
Vedflamlav</t>
        </is>
      </c>
      <c r="V107">
        <f>HYPERLINK("https://klasma.github.io/Logging_2039/artfynd/A 49053-2023 artfynd.xlsx", "A 49053-2023")</f>
        <v/>
      </c>
      <c r="W107">
        <f>HYPERLINK("https://klasma.github.io/Logging_2039/kartor/A 49053-2023 karta.png", "A 49053-2023")</f>
        <v/>
      </c>
      <c r="Y107">
        <f>HYPERLINK("https://klasma.github.io/Logging_2039/klagomål/A 49053-2023 FSC-klagomål.docx", "A 49053-2023")</f>
        <v/>
      </c>
      <c r="Z107">
        <f>HYPERLINK("https://klasma.github.io/Logging_2039/klagomålsmail/A 49053-2023 FSC-klagomål mail.docx", "A 49053-2023")</f>
        <v/>
      </c>
      <c r="AA107">
        <f>HYPERLINK("https://klasma.github.io/Logging_2039/tillsyn/A 49053-2023 tillsynsbegäran.docx", "A 49053-2023")</f>
        <v/>
      </c>
      <c r="AB107">
        <f>HYPERLINK("https://klasma.github.io/Logging_2039/tillsynsmail/A 49053-2023 tillsynsbegäran mail.docx", "A 49053-2023")</f>
        <v/>
      </c>
    </row>
    <row r="108" ht="15" customHeight="1">
      <c r="A108" t="inlineStr">
        <is>
          <t>A 19262-2025</t>
        </is>
      </c>
      <c r="B108" t="inlineStr">
        <is>
          <t>avverkningsanmälan</t>
        </is>
      </c>
      <c r="C108" t="inlineStr">
        <is>
          <t>Föryngringsavverkning</t>
        </is>
      </c>
      <c r="D108" s="1" t="n">
        <v>45769</v>
      </c>
      <c r="E108" s="1" t="n">
        <v>46217</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s="2" t="inlineStr">
        <is>
          <t>Broktagel
Garnlav
Gräddporing
Dvärgbägarlav
Nordtagging
Skuggblåslav</t>
        </is>
      </c>
      <c r="V108">
        <f>HYPERLINK("https://klasma.github.io/Logging_2039/artfynd/A 19262-2025 artfynd.xlsx", "A 19262-2025")</f>
        <v/>
      </c>
      <c r="W108">
        <f>HYPERLINK("https://klasma.github.io/Logging_2039/kartor/A 19262-2025 karta.png", "A 19262-2025")</f>
        <v/>
      </c>
      <c r="Y108">
        <f>HYPERLINK("https://klasma.github.io/Logging_2039/klagomål/A 19262-2025 FSC-klagomål.docx", "A 19262-2025")</f>
        <v/>
      </c>
      <c r="Z108">
        <f>HYPERLINK("https://klasma.github.io/Logging_2039/klagomålsmail/A 19262-2025 FSC-klagomål mail.docx", "A 19262-2025")</f>
        <v/>
      </c>
      <c r="AA108">
        <f>HYPERLINK("https://klasma.github.io/Logging_2039/tillsyn/A 19262-2025 tillsynsbegäran.docx", "A 19262-2025")</f>
        <v/>
      </c>
      <c r="AB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46217</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s="2" t="inlineStr">
        <is>
          <t>Garnlav
Talltita
Älg
Mindre märgborre
Spillkråka
Revlummer</t>
        </is>
      </c>
      <c r="V109">
        <f>HYPERLINK("https://klasma.github.io/Logging_2039/artfynd/A 19686-2026 artfynd.xlsx", "A 19686-2026")</f>
        <v/>
      </c>
      <c r="W109">
        <f>HYPERLINK("https://klasma.github.io/Logging_2039/kartor/A 19686-2026 karta.png", "A 19686-2026")</f>
        <v/>
      </c>
      <c r="Y109">
        <f>HYPERLINK("https://klasma.github.io/Logging_2039/klagomål/A 19686-2026 FSC-klagomål.docx", "A 19686-2026")</f>
        <v/>
      </c>
      <c r="Z109">
        <f>HYPERLINK("https://klasma.github.io/Logging_2039/klagomålsmail/A 19686-2026 FSC-klagomål mail.docx", "A 19686-2026")</f>
        <v/>
      </c>
      <c r="AA109">
        <f>HYPERLINK("https://klasma.github.io/Logging_2039/tillsyn/A 19686-2026 tillsynsbegäran.docx", "A 19686-2026")</f>
        <v/>
      </c>
      <c r="AB109">
        <f>HYPERLINK("https://klasma.github.io/Logging_2039/tillsynsmail/A 19686-2026 tillsynsbegäran mail.docx", "A 19686-2026")</f>
        <v/>
      </c>
      <c r="AC109">
        <f>HYPERLINK("https://klasma.github.io/Logging_2039/fåglar/A 19686-2026 prioriterade fågelarter.docx", "A 19686-2026")</f>
        <v/>
      </c>
    </row>
    <row r="110" ht="15" customHeight="1">
      <c r="A110" t="inlineStr">
        <is>
          <t>A 10282-2024</t>
        </is>
      </c>
      <c r="B110" t="inlineStr">
        <is>
          <t>avverkningsanmälan</t>
        </is>
      </c>
      <c r="C110" t="inlineStr">
        <is>
          <t>Föryngringsavverkning</t>
        </is>
      </c>
      <c r="D110" s="1" t="n">
        <v>45365</v>
      </c>
      <c r="E110" s="1" t="n">
        <v>46217</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s="2" t="inlineStr">
        <is>
          <t>Garnlav
Knärot
Tretåig hackspett
Ullticka
Violettgrå tagellav
Vedticka</t>
        </is>
      </c>
      <c r="V110">
        <f>HYPERLINK("https://klasma.github.io/Logging_2039/artfynd/A 10282-2024 artfynd.xlsx", "A 10282-2024")</f>
        <v/>
      </c>
      <c r="W110">
        <f>HYPERLINK("https://klasma.github.io/Logging_2039/kartor/A 10282-2024 karta.png", "A 10282-2024")</f>
        <v/>
      </c>
      <c r="X110">
        <f>HYPERLINK("https://klasma.github.io/Logging_2039/knärot/A 10282-2024 karta knärot.png", "A 10282-2024")</f>
        <v/>
      </c>
      <c r="Y110">
        <f>HYPERLINK("https://klasma.github.io/Logging_2039/klagomål/A 10282-2024 FSC-klagomål.docx", "A 10282-2024")</f>
        <v/>
      </c>
      <c r="Z110">
        <f>HYPERLINK("https://klasma.github.io/Logging_2039/klagomålsmail/A 10282-2024 FSC-klagomål mail.docx", "A 10282-2024")</f>
        <v/>
      </c>
      <c r="AA110">
        <f>HYPERLINK("https://klasma.github.io/Logging_2039/tillsyn/A 10282-2024 tillsynsbegäran.docx", "A 10282-2024")</f>
        <v/>
      </c>
      <c r="AB110">
        <f>HYPERLINK("https://klasma.github.io/Logging_2039/tillsynsmail/A 10282-2024 tillsynsbegäran mail.docx", "A 10282-2024")</f>
        <v/>
      </c>
      <c r="AC110">
        <f>HYPERLINK("https://klasma.github.io/Logging_2039/fåglar/A 10282-2024 prioriterade fågelarter.docx", "A 10282-2024")</f>
        <v/>
      </c>
    </row>
    <row r="111" ht="15" customHeight="1">
      <c r="A111" t="inlineStr">
        <is>
          <t>A 25758-2025</t>
        </is>
      </c>
      <c r="B111" t="inlineStr">
        <is>
          <t>avverkningsanmälan</t>
        </is>
      </c>
      <c r="C111" t="inlineStr">
        <is>
          <t>Föryngringsavverkning</t>
        </is>
      </c>
      <c r="D111" s="1" t="n">
        <v>45804</v>
      </c>
      <c r="E111" s="1" t="n">
        <v>46217</v>
      </c>
      <c r="F111" t="inlineStr">
        <is>
          <t>DALARNAS LÄN</t>
        </is>
      </c>
      <c r="G111" t="inlineStr">
        <is>
          <t>ÄLVDALEN</t>
        </is>
      </c>
      <c r="H111" t="inlineStr">
        <is>
          <t>Kommuner</t>
        </is>
      </c>
      <c r="I111" t="n">
        <v>2.2</v>
      </c>
      <c r="J111" t="n">
        <v>2</v>
      </c>
      <c r="K111" t="n">
        <v>1</v>
      </c>
      <c r="L111" t="n">
        <v>3</v>
      </c>
      <c r="M111" t="n">
        <v>1</v>
      </c>
      <c r="N111" t="n">
        <v>0</v>
      </c>
      <c r="O111" t="n">
        <v>0</v>
      </c>
      <c r="P111" t="n">
        <v>0</v>
      </c>
      <c r="Q111" t="n">
        <v>4</v>
      </c>
      <c r="R111" t="n">
        <v>1</v>
      </c>
      <c r="S111" t="n">
        <v>6</v>
      </c>
      <c r="T111" t="n">
        <v>12</v>
      </c>
      <c r="U111" s="2" t="inlineStr">
        <is>
          <t>Garnlav
Dropptaggsvamp
Rödvingetrast
Tallticka
Mindre märgborre
Spillkråka</t>
        </is>
      </c>
      <c r="V111">
        <f>HYPERLINK("https://klasma.github.io/Logging_2039/artfynd/A 25758-2025 artfynd.xlsx", "A 25758-2025")</f>
        <v/>
      </c>
      <c r="W111">
        <f>HYPERLINK("https://klasma.github.io/Logging_2039/kartor/A 25758-2025 karta.png", "A 25758-2025")</f>
        <v/>
      </c>
      <c r="Y111">
        <f>HYPERLINK("https://klasma.github.io/Logging_2039/klagomål/A 25758-2025 FSC-klagomål.docx", "A 25758-2025")</f>
        <v/>
      </c>
      <c r="Z111">
        <f>HYPERLINK("https://klasma.github.io/Logging_2039/klagomålsmail/A 25758-2025 FSC-klagomål mail.docx", "A 25758-2025")</f>
        <v/>
      </c>
      <c r="AA111">
        <f>HYPERLINK("https://klasma.github.io/Logging_2039/tillsyn/A 25758-2025 tillsynsbegäran.docx", "A 25758-2025")</f>
        <v/>
      </c>
      <c r="AB111">
        <f>HYPERLINK("https://klasma.github.io/Logging_2039/tillsynsmail/A 25758-2025 tillsynsbegäran mail.docx", "A 25758-2025")</f>
        <v/>
      </c>
      <c r="AC111">
        <f>HYPERLINK("https://klasma.github.io/Logging_2039/fåglar/A 25758-2025 prioriterade fågelarter.docx", "A 25758-2025")</f>
        <v/>
      </c>
    </row>
    <row r="112" ht="15" customHeight="1">
      <c r="A112" t="inlineStr">
        <is>
          <t>A 33638-2025</t>
        </is>
      </c>
      <c r="B112" t="inlineStr">
        <is>
          <t>avverkningsanmälan</t>
        </is>
      </c>
      <c r="C112" t="inlineStr">
        <is>
          <t>Föryngringsavverkning</t>
        </is>
      </c>
      <c r="D112" s="1" t="n">
        <v>45841</v>
      </c>
      <c r="E112" s="1" t="n">
        <v>46217</v>
      </c>
      <c r="F112" t="inlineStr">
        <is>
          <t>DALARNAS LÄN</t>
        </is>
      </c>
      <c r="G112" t="inlineStr">
        <is>
          <t>ÄLVDALEN</t>
        </is>
      </c>
      <c r="H112" t="inlineStr">
        <is>
          <t>Sveaskog</t>
        </is>
      </c>
      <c r="I112" t="n">
        <v>2.1</v>
      </c>
      <c r="J112" t="n">
        <v>0</v>
      </c>
      <c r="K112" t="n">
        <v>0</v>
      </c>
      <c r="L112" t="n">
        <v>5</v>
      </c>
      <c r="M112" t="n">
        <v>1</v>
      </c>
      <c r="N112" t="n">
        <v>0</v>
      </c>
      <c r="O112" t="n">
        <v>0</v>
      </c>
      <c r="P112" t="n">
        <v>0</v>
      </c>
      <c r="Q112" t="n">
        <v>6</v>
      </c>
      <c r="R112" t="n">
        <v>1</v>
      </c>
      <c r="S112" t="n">
        <v>6</v>
      </c>
      <c r="T112" t="n">
        <v>6</v>
      </c>
      <c r="U112" s="2" t="inlineStr">
        <is>
          <t>Gräddporing
Blanksvart spiklav
Dropptaggsvamp
Dvärgbägarlav
Kolflarnlav
Mörk kolflarnlav</t>
        </is>
      </c>
      <c r="V112">
        <f>HYPERLINK("https://klasma.github.io/Logging_2039/artfynd/A 33638-2025 artfynd.xlsx", "A 33638-2025")</f>
        <v/>
      </c>
      <c r="W112">
        <f>HYPERLINK("https://klasma.github.io/Logging_2039/kartor/A 33638-2025 karta.png", "A 33638-2025")</f>
        <v/>
      </c>
      <c r="Y112">
        <f>HYPERLINK("https://klasma.github.io/Logging_2039/klagomål/A 33638-2025 FSC-klagomål.docx", "A 33638-2025")</f>
        <v/>
      </c>
      <c r="Z112">
        <f>HYPERLINK("https://klasma.github.io/Logging_2039/klagomålsmail/A 33638-2025 FSC-klagomål mail.docx", "A 33638-2025")</f>
        <v/>
      </c>
      <c r="AA112">
        <f>HYPERLINK("https://klasma.github.io/Logging_2039/tillsyn/A 33638-2025 tillsynsbegäran.docx", "A 33638-2025")</f>
        <v/>
      </c>
      <c r="AB112">
        <f>HYPERLINK("https://klasma.github.io/Logging_2039/tillsynsmail/A 33638-2025 tillsynsbegäran mail.docx", "A 33638-2025")</f>
        <v/>
      </c>
    </row>
    <row r="113" ht="15" customHeight="1">
      <c r="A113" t="inlineStr">
        <is>
          <t>A 32206-2024</t>
        </is>
      </c>
      <c r="B113" t="inlineStr">
        <is>
          <t>avverkningsanmälan</t>
        </is>
      </c>
      <c r="C113" t="inlineStr">
        <is>
          <t>Föryngringsavverkning</t>
        </is>
      </c>
      <c r="D113" s="1" t="n">
        <v>45511</v>
      </c>
      <c r="E113" s="1" t="n">
        <v>46217</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s="2" t="inlineStr">
        <is>
          <t>Blanksvart spiklav
Dvärgbägarlav
Kolflarnlav
Mörk kolflarnlav
Vedflamlav</t>
        </is>
      </c>
      <c r="V113">
        <f>HYPERLINK("https://klasma.github.io/Logging_2039/artfynd/A 32206-2024 artfynd.xlsx", "A 32206-2024")</f>
        <v/>
      </c>
      <c r="W113">
        <f>HYPERLINK("https://klasma.github.io/Logging_2039/kartor/A 32206-2024 karta.png", "A 32206-2024")</f>
        <v/>
      </c>
      <c r="Y113">
        <f>HYPERLINK("https://klasma.github.io/Logging_2039/klagomål/A 32206-2024 FSC-klagomål.docx", "A 32206-2024")</f>
        <v/>
      </c>
      <c r="Z113">
        <f>HYPERLINK("https://klasma.github.io/Logging_2039/klagomålsmail/A 32206-2024 FSC-klagomål mail.docx", "A 32206-2024")</f>
        <v/>
      </c>
      <c r="AA113">
        <f>HYPERLINK("https://klasma.github.io/Logging_2039/tillsyn/A 32206-2024 tillsynsbegäran.docx", "A 32206-2024")</f>
        <v/>
      </c>
      <c r="AB113">
        <f>HYPERLINK("https://klasma.github.io/Logging_2039/tillsynsmail/A 32206-2024 tillsynsbegäran mail.docx", "A 32206-2024")</f>
        <v/>
      </c>
    </row>
    <row r="114" ht="15" customHeight="1">
      <c r="A114" t="inlineStr">
        <is>
          <t>A 16894-2025</t>
        </is>
      </c>
      <c r="B114" t="inlineStr">
        <is>
          <t>avverkningsanmälan</t>
        </is>
      </c>
      <c r="C114" t="inlineStr">
        <is>
          <t>Föryngringsavverkning</t>
        </is>
      </c>
      <c r="D114" s="1" t="n">
        <v>45755</v>
      </c>
      <c r="E114" s="1" t="n">
        <v>46217</v>
      </c>
      <c r="F114" t="inlineStr">
        <is>
          <t>DALARNAS LÄN</t>
        </is>
      </c>
      <c r="G114" t="inlineStr">
        <is>
          <t>ÄLVDALEN</t>
        </is>
      </c>
      <c r="H114" t="inlineStr">
        <is>
          <t>Sveaskog</t>
        </is>
      </c>
      <c r="I114" t="n">
        <v>17.3</v>
      </c>
      <c r="J114" t="n">
        <v>0</v>
      </c>
      <c r="K114" t="n">
        <v>0</v>
      </c>
      <c r="L114" t="n">
        <v>5</v>
      </c>
      <c r="M114" t="n">
        <v>0</v>
      </c>
      <c r="N114" t="n">
        <v>0</v>
      </c>
      <c r="O114" t="n">
        <v>0</v>
      </c>
      <c r="P114" t="n">
        <v>0</v>
      </c>
      <c r="Q114" t="n">
        <v>5</v>
      </c>
      <c r="R114" t="n">
        <v>0</v>
      </c>
      <c r="S114" t="n">
        <v>5</v>
      </c>
      <c r="T114" t="n">
        <v>5</v>
      </c>
      <c r="U114" s="2" t="inlineStr">
        <is>
          <t>Dropptaggsvamp
Dvärgbägarlav
Kolflarnlav
Mörk kolflarnlav
Vedflamlav</t>
        </is>
      </c>
      <c r="V114">
        <f>HYPERLINK("https://klasma.github.io/Logging_2039/artfynd/A 16894-2025 artfynd.xlsx", "A 16894-2025")</f>
        <v/>
      </c>
      <c r="W114">
        <f>HYPERLINK("https://klasma.github.io/Logging_2039/kartor/A 16894-2025 karta.png", "A 16894-2025")</f>
        <v/>
      </c>
      <c r="Y114">
        <f>HYPERLINK("https://klasma.github.io/Logging_2039/klagomål/A 16894-2025 FSC-klagomål.docx", "A 16894-2025")</f>
        <v/>
      </c>
      <c r="Z114">
        <f>HYPERLINK("https://klasma.github.io/Logging_2039/klagomålsmail/A 16894-2025 FSC-klagomål mail.docx", "A 16894-2025")</f>
        <v/>
      </c>
      <c r="AA114">
        <f>HYPERLINK("https://klasma.github.io/Logging_2039/tillsyn/A 16894-2025 tillsynsbegäran.docx", "A 16894-2025")</f>
        <v/>
      </c>
      <c r="AB114">
        <f>HYPERLINK("https://klasma.github.io/Logging_2039/tillsynsmail/A 16894-2025 tillsynsbegäran mail.docx", "A 16894-2025")</f>
        <v/>
      </c>
    </row>
    <row r="115" ht="15" customHeight="1">
      <c r="A115" t="inlineStr">
        <is>
          <t>A 25532-2026</t>
        </is>
      </c>
      <c r="B115" t="inlineStr">
        <is>
          <t>avverkningsanmälan</t>
        </is>
      </c>
      <c r="C115" t="inlineStr">
        <is>
          <t>Föryngringsavverkning</t>
        </is>
      </c>
      <c r="D115" s="1" t="n">
        <v>46177</v>
      </c>
      <c r="E115" s="1" t="n">
        <v>46217</v>
      </c>
      <c r="F115" t="inlineStr">
        <is>
          <t>DALARNAS LÄN</t>
        </is>
      </c>
      <c r="G115" t="inlineStr">
        <is>
          <t>ÄLVDALEN</t>
        </is>
      </c>
      <c r="H115" t="inlineStr">
        <is>
          <t>Sveaskog</t>
        </is>
      </c>
      <c r="I115" t="n">
        <v>16.8</v>
      </c>
      <c r="J115" t="n">
        <v>1</v>
      </c>
      <c r="K115" t="n">
        <v>0</v>
      </c>
      <c r="L115" t="n">
        <v>5</v>
      </c>
      <c r="M115" t="n">
        <v>0</v>
      </c>
      <c r="N115" t="n">
        <v>0</v>
      </c>
      <c r="O115" t="n">
        <v>0</v>
      </c>
      <c r="P115" t="n">
        <v>0</v>
      </c>
      <c r="Q115" t="n">
        <v>5</v>
      </c>
      <c r="R115" t="n">
        <v>0</v>
      </c>
      <c r="S115" t="n">
        <v>5</v>
      </c>
      <c r="T115" t="n">
        <v>8</v>
      </c>
      <c r="U115" s="2" t="inlineStr">
        <is>
          <t>Blanksvart spiklav
Kolflarnlav
Mörk kolflarnlav
Varglav
Vedflamlav</t>
        </is>
      </c>
      <c r="V115">
        <f>HYPERLINK("https://klasma.github.io/Logging_2039/artfynd/A 25532-2026 artfynd.xlsx", "A 25532-2026")</f>
        <v/>
      </c>
      <c r="W115">
        <f>HYPERLINK("https://klasma.github.io/Logging_2039/kartor/A 25532-2026 karta.png", "A 25532-2026")</f>
        <v/>
      </c>
      <c r="Y115">
        <f>HYPERLINK("https://klasma.github.io/Logging_2039/klagomål/A 25532-2026 FSC-klagomål.docx", "A 25532-2026")</f>
        <v/>
      </c>
      <c r="Z115">
        <f>HYPERLINK("https://klasma.github.io/Logging_2039/klagomålsmail/A 25532-2026 FSC-klagomål mail.docx", "A 25532-2026")</f>
        <v/>
      </c>
      <c r="AA115">
        <f>HYPERLINK("https://klasma.github.io/Logging_2039/tillsyn/A 25532-2026 tillsynsbegäran.docx", "A 25532-2026")</f>
        <v/>
      </c>
      <c r="AB115">
        <f>HYPERLINK("https://klasma.github.io/Logging_2039/tillsynsmail/A 25532-2026 tillsynsbegäran mail.docx", "A 25532-2026")</f>
        <v/>
      </c>
    </row>
    <row r="116" ht="15" customHeight="1">
      <c r="A116" t="inlineStr">
        <is>
          <t>A 41782-2025</t>
        </is>
      </c>
      <c r="B116" t="inlineStr">
        <is>
          <t>avverkningsanmälan</t>
        </is>
      </c>
      <c r="C116" t="inlineStr">
        <is>
          <t>Föryngringsavverkning</t>
        </is>
      </c>
      <c r="D116" s="1" t="n">
        <v>45902</v>
      </c>
      <c r="E116" s="1" t="n">
        <v>46217</v>
      </c>
      <c r="F116" t="inlineStr">
        <is>
          <t>DALARNAS LÄN</t>
        </is>
      </c>
      <c r="G116" t="inlineStr">
        <is>
          <t>ÄLVDALEN</t>
        </is>
      </c>
      <c r="H116" t="inlineStr">
        <is>
          <t>Sveaskog</t>
        </is>
      </c>
      <c r="I116" t="n">
        <v>22.8</v>
      </c>
      <c r="J116" t="n">
        <v>2</v>
      </c>
      <c r="K116" t="n">
        <v>1</v>
      </c>
      <c r="L116" t="n">
        <v>4</v>
      </c>
      <c r="M116" t="n">
        <v>0</v>
      </c>
      <c r="N116" t="n">
        <v>0</v>
      </c>
      <c r="O116" t="n">
        <v>0</v>
      </c>
      <c r="P116" t="n">
        <v>0</v>
      </c>
      <c r="Q116" t="n">
        <v>4</v>
      </c>
      <c r="R116" t="n">
        <v>0</v>
      </c>
      <c r="S116" t="n">
        <v>5</v>
      </c>
      <c r="T116" t="n">
        <v>23</v>
      </c>
      <c r="U116" s="2" t="inlineStr">
        <is>
          <t>Blå taggsvamp
Dropptaggsvamp
Skarp dropptaggsvamp
Talltita
Plattlummer</t>
        </is>
      </c>
      <c r="V116">
        <f>HYPERLINK("https://klasma.github.io/Logging_2039/artfynd/A 41782-2025 artfynd.xlsx", "A 41782-2025")</f>
        <v/>
      </c>
      <c r="W116">
        <f>HYPERLINK("https://klasma.github.io/Logging_2039/kartor/A 41782-2025 karta.png", "A 41782-2025")</f>
        <v/>
      </c>
      <c r="Y116">
        <f>HYPERLINK("https://klasma.github.io/Logging_2039/klagomål/A 41782-2025 FSC-klagomål.docx", "A 41782-2025")</f>
        <v/>
      </c>
      <c r="Z116">
        <f>HYPERLINK("https://klasma.github.io/Logging_2039/klagomålsmail/A 41782-2025 FSC-klagomål mail.docx", "A 41782-2025")</f>
        <v/>
      </c>
      <c r="AA116">
        <f>HYPERLINK("https://klasma.github.io/Logging_2039/tillsyn/A 41782-2025 tillsynsbegäran.docx", "A 41782-2025")</f>
        <v/>
      </c>
      <c r="AB116">
        <f>HYPERLINK("https://klasma.github.io/Logging_2039/tillsynsmail/A 41782-2025 tillsynsbegäran mail.docx", "A 41782-2025")</f>
        <v/>
      </c>
      <c r="AC116">
        <f>HYPERLINK("https://klasma.github.io/Logging_2039/fåglar/A 41782-2025 prioriterade fågelarter.docx", "A 41782-2025")</f>
        <v/>
      </c>
    </row>
    <row r="117" ht="15" customHeight="1">
      <c r="A117" t="inlineStr">
        <is>
          <t>A 20945-2026</t>
        </is>
      </c>
      <c r="B117" t="inlineStr">
        <is>
          <t>avverkningsanmälan</t>
        </is>
      </c>
      <c r="C117" t="inlineStr">
        <is>
          <t>Föryngringsavverkning</t>
        </is>
      </c>
      <c r="D117" s="1" t="n">
        <v>46142</v>
      </c>
      <c r="E117" s="1" t="n">
        <v>46217</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s="2" t="inlineStr">
        <is>
          <t>Garnlav
Järnsparv
Kärrviol
Ormbär
Fläcknycklar</t>
        </is>
      </c>
      <c r="V117">
        <f>HYPERLINK("https://klasma.github.io/Logging_2039/artfynd/A 20945-2026 artfynd.xlsx", "A 20945-2026")</f>
        <v/>
      </c>
      <c r="W117">
        <f>HYPERLINK("https://klasma.github.io/Logging_2039/kartor/A 20945-2026 karta.png", "A 20945-2026")</f>
        <v/>
      </c>
      <c r="Y117">
        <f>HYPERLINK("https://klasma.github.io/Logging_2039/klagomål/A 20945-2026 FSC-klagomål.docx", "A 20945-2026")</f>
        <v/>
      </c>
      <c r="Z117">
        <f>HYPERLINK("https://klasma.github.io/Logging_2039/klagomålsmail/A 20945-2026 FSC-klagomål mail.docx", "A 20945-2026")</f>
        <v/>
      </c>
      <c r="AA117">
        <f>HYPERLINK("https://klasma.github.io/Logging_2039/tillsyn/A 20945-2026 tillsynsbegäran.docx", "A 20945-2026")</f>
        <v/>
      </c>
      <c r="AB117">
        <f>HYPERLINK("https://klasma.github.io/Logging_2039/tillsynsmail/A 20945-2026 tillsynsbegäran mail.docx", "A 20945-2026")</f>
        <v/>
      </c>
      <c r="AC117">
        <f>HYPERLINK("https://klasma.github.io/Logging_2039/fåglar/A 20945-2026 prioriterade fågelarter.docx", "A 20945-2026")</f>
        <v/>
      </c>
    </row>
    <row r="118" ht="15" customHeight="1">
      <c r="A118" t="inlineStr">
        <is>
          <t>A 20947-2026</t>
        </is>
      </c>
      <c r="B118" t="inlineStr">
        <is>
          <t>avverkningsanmälan</t>
        </is>
      </c>
      <c r="C118" t="inlineStr">
        <is>
          <t>Föryngringsavverkning</t>
        </is>
      </c>
      <c r="D118" s="1" t="n">
        <v>46142</v>
      </c>
      <c r="E118" s="1" t="n">
        <v>46217</v>
      </c>
      <c r="F118" t="inlineStr">
        <is>
          <t>DALARNAS LÄN</t>
        </is>
      </c>
      <c r="G118" t="inlineStr">
        <is>
          <t>ÄLVDALEN</t>
        </is>
      </c>
      <c r="H118" t="inlineStr">
        <is>
          <t>Bergvik skog väst AB</t>
        </is>
      </c>
      <c r="I118" t="n">
        <v>3.7</v>
      </c>
      <c r="J118" t="n">
        <v>4</v>
      </c>
      <c r="K118" t="n">
        <v>0</v>
      </c>
      <c r="L118" t="n">
        <v>1</v>
      </c>
      <c r="M118" t="n">
        <v>1</v>
      </c>
      <c r="N118" t="n">
        <v>0</v>
      </c>
      <c r="O118" t="n">
        <v>0</v>
      </c>
      <c r="P118" t="n">
        <v>0</v>
      </c>
      <c r="Q118" t="n">
        <v>2</v>
      </c>
      <c r="R118" t="n">
        <v>1</v>
      </c>
      <c r="S118" t="n">
        <v>5</v>
      </c>
      <c r="T118" t="n">
        <v>9</v>
      </c>
      <c r="U118" s="2" t="inlineStr">
        <is>
          <t>Garnlav
Järnsparv
Mattlummer
Tjäder
Revlummer</t>
        </is>
      </c>
      <c r="V118">
        <f>HYPERLINK("https://klasma.github.io/Logging_2039/artfynd/A 20947-2026 artfynd.xlsx", "A 20947-2026")</f>
        <v/>
      </c>
      <c r="W118">
        <f>HYPERLINK("https://klasma.github.io/Logging_2039/kartor/A 20947-2026 karta.png", "A 20947-2026")</f>
        <v/>
      </c>
      <c r="Y118">
        <f>HYPERLINK("https://klasma.github.io/Logging_2039/klagomål/A 20947-2026 FSC-klagomål.docx", "A 20947-2026")</f>
        <v/>
      </c>
      <c r="Z118">
        <f>HYPERLINK("https://klasma.github.io/Logging_2039/klagomålsmail/A 20947-2026 FSC-klagomål mail.docx", "A 20947-2026")</f>
        <v/>
      </c>
      <c r="AA118">
        <f>HYPERLINK("https://klasma.github.io/Logging_2039/tillsyn/A 20947-2026 tillsynsbegäran.docx", "A 20947-2026")</f>
        <v/>
      </c>
      <c r="AB118">
        <f>HYPERLINK("https://klasma.github.io/Logging_2039/tillsynsmail/A 20947-2026 tillsynsbegäran mail.docx", "A 20947-2026")</f>
        <v/>
      </c>
      <c r="AC118">
        <f>HYPERLINK("https://klasma.github.io/Logging_2039/fåglar/A 20947-2026 prioriterade fågelarter.docx", "A 20947-2026")</f>
        <v/>
      </c>
    </row>
    <row r="119" ht="15" customHeight="1">
      <c r="A119" t="inlineStr">
        <is>
          <t>A 26215-2026</t>
        </is>
      </c>
      <c r="B119" t="inlineStr">
        <is>
          <t>avverkningsanmälan</t>
        </is>
      </c>
      <c r="C119" t="inlineStr">
        <is>
          <t>Avverkning för annat ändamål</t>
        </is>
      </c>
      <c r="D119" s="1" t="n">
        <v>46181</v>
      </c>
      <c r="E119" s="1" t="n">
        <v>46217</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s="2" t="inlineStr">
        <is>
          <t>Dvärgbägarlav
Kolflarnlav
Mörk kolflarnlav
Talltagel
Vedflamlav</t>
        </is>
      </c>
      <c r="V119">
        <f>HYPERLINK("https://klasma.github.io/Logging_2039/artfynd/A 26215-2026 artfynd.xlsx", "A 26215-2026")</f>
        <v/>
      </c>
      <c r="W119">
        <f>HYPERLINK("https://klasma.github.io/Logging_2039/kartor/A 26215-2026 karta.png", "A 26215-2026")</f>
        <v/>
      </c>
      <c r="Y119">
        <f>HYPERLINK("https://klasma.github.io/Logging_2039/klagomål/A 26215-2026 FSC-klagomål.docx", "A 26215-2026")</f>
        <v/>
      </c>
      <c r="Z119">
        <f>HYPERLINK("https://klasma.github.io/Logging_2039/klagomålsmail/A 26215-2026 FSC-klagomål mail.docx", "A 26215-2026")</f>
        <v/>
      </c>
      <c r="AA119">
        <f>HYPERLINK("https://klasma.github.io/Logging_2039/tillsyn/A 26215-2026 tillsynsbegäran.docx", "A 26215-2026")</f>
        <v/>
      </c>
      <c r="AB119">
        <f>HYPERLINK("https://klasma.github.io/Logging_2039/tillsynsmail/A 26215-2026 tillsynsbegäran mail.docx", "A 26215-2026")</f>
        <v/>
      </c>
    </row>
    <row r="120" ht="15" customHeight="1">
      <c r="A120" t="inlineStr">
        <is>
          <t>A 52483-2023</t>
        </is>
      </c>
      <c r="B120" t="inlineStr">
        <is>
          <t>avverkningsanmälan</t>
        </is>
      </c>
      <c r="C120" t="inlineStr">
        <is>
          <t>Föryngringsavverkning</t>
        </is>
      </c>
      <c r="D120" s="1" t="n">
        <v>45225</v>
      </c>
      <c r="E120" s="1" t="n">
        <v>46217</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s="2" t="inlineStr">
        <is>
          <t>Garnlav
Dropptaggsvamp
Kolflarnlav
Mörk kolflarnlav
Skrovellav</t>
        </is>
      </c>
      <c r="V120">
        <f>HYPERLINK("https://klasma.github.io/Logging_2039/artfynd/A 52483-2023 artfynd.xlsx", "A 52483-2023")</f>
        <v/>
      </c>
      <c r="W120">
        <f>HYPERLINK("https://klasma.github.io/Logging_2039/kartor/A 52483-2023 karta.png", "A 52483-2023")</f>
        <v/>
      </c>
      <c r="X120">
        <f>HYPERLINK("https://klasma.github.io/Logging_2039/knärot/A 52483-2023 karta knärot.png", "A 52483-2023")</f>
        <v/>
      </c>
      <c r="Y120">
        <f>HYPERLINK("https://klasma.github.io/Logging_2039/klagomål/A 52483-2023 FSC-klagomål.docx", "A 52483-2023")</f>
        <v/>
      </c>
      <c r="Z120">
        <f>HYPERLINK("https://klasma.github.io/Logging_2039/klagomålsmail/A 52483-2023 FSC-klagomål mail.docx", "A 52483-2023")</f>
        <v/>
      </c>
      <c r="AA120">
        <f>HYPERLINK("https://klasma.github.io/Logging_2039/tillsyn/A 52483-2023 tillsynsbegäran.docx", "A 52483-2023")</f>
        <v/>
      </c>
      <c r="AB120">
        <f>HYPERLINK("https://klasma.github.io/Logging_2039/tillsynsmail/A 52483-2023 tillsynsbegäran mail.docx", "A 52483-2023")</f>
        <v/>
      </c>
    </row>
    <row r="121" ht="15" customHeight="1">
      <c r="A121" t="inlineStr">
        <is>
          <t>A 29319-2026</t>
        </is>
      </c>
      <c r="B121" t="inlineStr">
        <is>
          <t>avverkningsanmälan</t>
        </is>
      </c>
      <c r="C121" t="inlineStr">
        <is>
          <t>Föryngringsavverkning</t>
        </is>
      </c>
      <c r="D121" s="1" t="n">
        <v>46202</v>
      </c>
      <c r="E121" s="1" t="n">
        <v>46217</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s="2" t="inlineStr">
        <is>
          <t>Spindelblomster
Järpe
Spillkråka
Fläcknycklar
Revlummer</t>
        </is>
      </c>
      <c r="V121">
        <f>HYPERLINK("https://klasma.github.io/Logging_2039/artfynd/A 29319-2026 artfynd.xlsx", "A 29319-2026")</f>
        <v/>
      </c>
      <c r="W121">
        <f>HYPERLINK("https://klasma.github.io/Logging_2039/kartor/A 29319-2026 karta.png", "A 29319-2026")</f>
        <v/>
      </c>
      <c r="Y121">
        <f>HYPERLINK("https://klasma.github.io/Logging_2039/klagomål/A 29319-2026 FSC-klagomål.docx", "A 29319-2026")</f>
        <v/>
      </c>
      <c r="Z121">
        <f>HYPERLINK("https://klasma.github.io/Logging_2039/klagomålsmail/A 29319-2026 FSC-klagomål mail.docx", "A 29319-2026")</f>
        <v/>
      </c>
      <c r="AA121">
        <f>HYPERLINK("https://klasma.github.io/Logging_2039/tillsyn/A 29319-2026 tillsynsbegäran.docx", "A 29319-2026")</f>
        <v/>
      </c>
      <c r="AB121">
        <f>HYPERLINK("https://klasma.github.io/Logging_2039/tillsynsmail/A 29319-2026 tillsynsbegäran mail.docx", "A 29319-2026")</f>
        <v/>
      </c>
      <c r="AC121">
        <f>HYPERLINK("https://klasma.github.io/Logging_2039/fåglar/A 29319-2026 prioriterade fågelarter.docx", "A 29319-2026")</f>
        <v/>
      </c>
    </row>
    <row r="122" ht="15" customHeight="1">
      <c r="A122" t="inlineStr">
        <is>
          <t>A 41004-2023</t>
        </is>
      </c>
      <c r="B122" t="inlineStr">
        <is>
          <t>avverkningsanmälan</t>
        </is>
      </c>
      <c r="C122" t="inlineStr">
        <is>
          <t>Föryngringsavverkning</t>
        </is>
      </c>
      <c r="D122" s="1" t="n">
        <v>45173</v>
      </c>
      <c r="E122" s="1" t="n">
        <v>46217</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s="2" t="inlineStr">
        <is>
          <t>Stare
Björktrast
Ladusvala
Rödvingetrast
Talltita</t>
        </is>
      </c>
      <c r="V122">
        <f>HYPERLINK("https://klasma.github.io/Logging_2039/artfynd/A 41004-2023 artfynd.xlsx", "A 41004-2023")</f>
        <v/>
      </c>
      <c r="W122">
        <f>HYPERLINK("https://klasma.github.io/Logging_2039/kartor/A 41004-2023 karta.png", "A 41004-2023")</f>
        <v/>
      </c>
      <c r="Y122">
        <f>HYPERLINK("https://klasma.github.io/Logging_2039/klagomål/A 41004-2023 FSC-klagomål.docx", "A 41004-2023")</f>
        <v/>
      </c>
      <c r="Z122">
        <f>HYPERLINK("https://klasma.github.io/Logging_2039/klagomålsmail/A 41004-2023 FSC-klagomål mail.docx", "A 41004-2023")</f>
        <v/>
      </c>
      <c r="AA122">
        <f>HYPERLINK("https://klasma.github.io/Logging_2039/tillsyn/A 41004-2023 tillsynsbegäran.docx", "A 41004-2023")</f>
        <v/>
      </c>
      <c r="AB122">
        <f>HYPERLINK("https://klasma.github.io/Logging_2039/tillsynsmail/A 41004-2023 tillsynsbegäran mail.docx", "A 41004-2023")</f>
        <v/>
      </c>
      <c r="AC122">
        <f>HYPERLINK("https://klasma.github.io/Logging_2039/fåglar/A 41004-2023 prioriterade fågelarter.docx", "A 41004-2023")</f>
        <v/>
      </c>
    </row>
    <row r="123" ht="15" customHeight="1">
      <c r="A123" t="inlineStr">
        <is>
          <t>A 19616-2024</t>
        </is>
      </c>
      <c r="B123" t="inlineStr">
        <is>
          <t>avverkningsanmälan</t>
        </is>
      </c>
      <c r="C123" t="inlineStr">
        <is>
          <t>Föryngringsavverkning</t>
        </is>
      </c>
      <c r="D123" s="1" t="n">
        <v>45432</v>
      </c>
      <c r="E123" s="1" t="n">
        <v>46217</v>
      </c>
      <c r="F123" t="inlineStr">
        <is>
          <t>DALARNAS LÄN</t>
        </is>
      </c>
      <c r="G123" t="inlineStr">
        <is>
          <t>ÄLVDALEN</t>
        </is>
      </c>
      <c r="H123" t="inlineStr">
        <is>
          <t>Sveaskog</t>
        </is>
      </c>
      <c r="I123" t="n">
        <v>6.5</v>
      </c>
      <c r="J123" t="n">
        <v>1</v>
      </c>
      <c r="K123" t="n">
        <v>0</v>
      </c>
      <c r="L123" t="n">
        <v>5</v>
      </c>
      <c r="M123" t="n">
        <v>0</v>
      </c>
      <c r="N123" t="n">
        <v>0</v>
      </c>
      <c r="O123" t="n">
        <v>0</v>
      </c>
      <c r="P123" t="n">
        <v>0</v>
      </c>
      <c r="Q123" t="n">
        <v>5</v>
      </c>
      <c r="R123" t="n">
        <v>0</v>
      </c>
      <c r="S123" t="n">
        <v>5</v>
      </c>
      <c r="T123" t="n">
        <v>9</v>
      </c>
      <c r="U123" s="2" t="inlineStr">
        <is>
          <t>Blanksvart spiklav
Kolflarnlav
Mörk kolflarnlav
Varglav
Vedflamlav</t>
        </is>
      </c>
      <c r="V123">
        <f>HYPERLINK("https://klasma.github.io/Logging_2039/artfynd/A 19616-2024 artfynd.xlsx", "A 19616-2024")</f>
        <v/>
      </c>
      <c r="W123">
        <f>HYPERLINK("https://klasma.github.io/Logging_2039/kartor/A 19616-2024 karta.png", "A 19616-2024")</f>
        <v/>
      </c>
      <c r="Y123">
        <f>HYPERLINK("https://klasma.github.io/Logging_2039/klagomål/A 19616-2024 FSC-klagomål.docx", "A 19616-2024")</f>
        <v/>
      </c>
      <c r="Z123">
        <f>HYPERLINK("https://klasma.github.io/Logging_2039/klagomålsmail/A 19616-2024 FSC-klagomål mail.docx", "A 19616-2024")</f>
        <v/>
      </c>
      <c r="AA123">
        <f>HYPERLINK("https://klasma.github.io/Logging_2039/tillsyn/A 19616-2024 tillsynsbegäran.docx", "A 19616-2024")</f>
        <v/>
      </c>
      <c r="AB123">
        <f>HYPERLINK("https://klasma.github.io/Logging_2039/tillsynsmail/A 19616-2024 tillsynsbegäran mail.docx", "A 19616-2024")</f>
        <v/>
      </c>
    </row>
    <row r="124" ht="15" customHeight="1">
      <c r="A124" t="inlineStr">
        <is>
          <t>A 25089-2024</t>
        </is>
      </c>
      <c r="B124" t="inlineStr">
        <is>
          <t>avverkningsanmälan</t>
        </is>
      </c>
      <c r="C124" t="inlineStr">
        <is>
          <t>Föryngringsavverkning</t>
        </is>
      </c>
      <c r="D124" s="1" t="n">
        <v>45462</v>
      </c>
      <c r="E124" s="1" t="n">
        <v>46217</v>
      </c>
      <c r="F124" t="inlineStr">
        <is>
          <t>DALARNAS LÄN</t>
        </is>
      </c>
      <c r="G124" t="inlineStr">
        <is>
          <t>ÄLVDALEN</t>
        </is>
      </c>
      <c r="H124" t="inlineStr">
        <is>
          <t>Sveaskog</t>
        </is>
      </c>
      <c r="I124" t="n">
        <v>3.9</v>
      </c>
      <c r="J124" t="n">
        <v>0</v>
      </c>
      <c r="K124" t="n">
        <v>0</v>
      </c>
      <c r="L124" t="n">
        <v>5</v>
      </c>
      <c r="M124" t="n">
        <v>0</v>
      </c>
      <c r="N124" t="n">
        <v>0</v>
      </c>
      <c r="O124" t="n">
        <v>0</v>
      </c>
      <c r="P124" t="n">
        <v>0</v>
      </c>
      <c r="Q124" t="n">
        <v>5</v>
      </c>
      <c r="R124" t="n">
        <v>0</v>
      </c>
      <c r="S124" t="n">
        <v>5</v>
      </c>
      <c r="T124" t="n">
        <v>5</v>
      </c>
      <c r="U124" s="2" t="inlineStr">
        <is>
          <t>Blanksvart spiklav
Kolflarnlav
Mörk kolflarnlav
Skarp dropptaggsvamp
Vedflamlav</t>
        </is>
      </c>
      <c r="V124">
        <f>HYPERLINK("https://klasma.github.io/Logging_2039/artfynd/A 25089-2024 artfynd.xlsx", "A 25089-2024")</f>
        <v/>
      </c>
      <c r="W124">
        <f>HYPERLINK("https://klasma.github.io/Logging_2039/kartor/A 25089-2024 karta.png", "A 25089-2024")</f>
        <v/>
      </c>
      <c r="Y124">
        <f>HYPERLINK("https://klasma.github.io/Logging_2039/klagomål/A 25089-2024 FSC-klagomål.docx", "A 25089-2024")</f>
        <v/>
      </c>
      <c r="Z124">
        <f>HYPERLINK("https://klasma.github.io/Logging_2039/klagomålsmail/A 25089-2024 FSC-klagomål mail.docx", "A 25089-2024")</f>
        <v/>
      </c>
      <c r="AA124">
        <f>HYPERLINK("https://klasma.github.io/Logging_2039/tillsyn/A 25089-2024 tillsynsbegäran.docx", "A 25089-2024")</f>
        <v/>
      </c>
      <c r="AB124">
        <f>HYPERLINK("https://klasma.github.io/Logging_2039/tillsynsmail/A 25089-2024 tillsynsbegäran mail.docx", "A 25089-2024")</f>
        <v/>
      </c>
    </row>
    <row r="125" ht="15" customHeight="1">
      <c r="A125" t="inlineStr">
        <is>
          <t>A 24950-2025</t>
        </is>
      </c>
      <c r="B125" t="inlineStr">
        <is>
          <t>avverkningsanmälan</t>
        </is>
      </c>
      <c r="C125" t="inlineStr">
        <is>
          <t>Avverkning för annat ändamål</t>
        </is>
      </c>
      <c r="D125" s="1" t="n">
        <v>45799</v>
      </c>
      <c r="E125" s="1" t="n">
        <v>46217</v>
      </c>
      <c r="F125" t="inlineStr">
        <is>
          <t>DALARNAS LÄN</t>
        </is>
      </c>
      <c r="G125" t="inlineStr">
        <is>
          <t>ÄLVDALEN</t>
        </is>
      </c>
      <c r="H125" t="inlineStr">
        <is>
          <t>Sveaskog</t>
        </is>
      </c>
      <c r="I125" t="n">
        <v>0.4</v>
      </c>
      <c r="J125" t="n">
        <v>0</v>
      </c>
      <c r="K125" t="n">
        <v>0</v>
      </c>
      <c r="L125" t="n">
        <v>5</v>
      </c>
      <c r="M125" t="n">
        <v>0</v>
      </c>
      <c r="N125" t="n">
        <v>0</v>
      </c>
      <c r="O125" t="n">
        <v>0</v>
      </c>
      <c r="P125" t="n">
        <v>0</v>
      </c>
      <c r="Q125" t="n">
        <v>5</v>
      </c>
      <c r="R125" t="n">
        <v>0</v>
      </c>
      <c r="S125" t="n">
        <v>5</v>
      </c>
      <c r="T125" t="n">
        <v>13</v>
      </c>
      <c r="U125" s="2" t="inlineStr">
        <is>
          <t>Blanksvart spiklav
Blå taggsvamp
Dropptaggsvamp
Kolflarnlav
Skarp dropptaggsvamp</t>
        </is>
      </c>
      <c r="V125">
        <f>HYPERLINK("https://klasma.github.io/Logging_2039/artfynd/A 24950-2025 artfynd.xlsx", "A 24950-2025")</f>
        <v/>
      </c>
      <c r="W125">
        <f>HYPERLINK("https://klasma.github.io/Logging_2039/kartor/A 24950-2025 karta.png", "A 24950-2025")</f>
        <v/>
      </c>
      <c r="Y125">
        <f>HYPERLINK("https://klasma.github.io/Logging_2039/klagomål/A 24950-2025 FSC-klagomål.docx", "A 24950-2025")</f>
        <v/>
      </c>
      <c r="Z125">
        <f>HYPERLINK("https://klasma.github.io/Logging_2039/klagomålsmail/A 24950-2025 FSC-klagomål mail.docx", "A 24950-2025")</f>
        <v/>
      </c>
      <c r="AA125">
        <f>HYPERLINK("https://klasma.github.io/Logging_2039/tillsyn/A 24950-2025 tillsynsbegäran.docx", "A 24950-2025")</f>
        <v/>
      </c>
      <c r="AB125">
        <f>HYPERLINK("https://klasma.github.io/Logging_2039/tillsynsmail/A 24950-2025 tillsynsbegäran mail.docx", "A 24950-2025")</f>
        <v/>
      </c>
    </row>
    <row r="126" ht="15" customHeight="1">
      <c r="A126" t="inlineStr">
        <is>
          <t>A 41921-2022</t>
        </is>
      </c>
      <c r="B126" t="inlineStr">
        <is>
          <t>avverkningsanmälan</t>
        </is>
      </c>
      <c r="C126" t="inlineStr">
        <is>
          <t>Föryngringsavverkning</t>
        </is>
      </c>
      <c r="D126" s="1" t="n">
        <v>44830</v>
      </c>
      <c r="E126" s="1" t="n">
        <v>46217</v>
      </c>
      <c r="F126" t="inlineStr">
        <is>
          <t>DALARNAS LÄN</t>
        </is>
      </c>
      <c r="G126" t="inlineStr">
        <is>
          <t>ÄLVDALEN</t>
        </is>
      </c>
      <c r="H126" t="inlineStr">
        <is>
          <t>Sveaskog</t>
        </is>
      </c>
      <c r="I126" t="n">
        <v>5.4</v>
      </c>
      <c r="J126" t="n">
        <v>2</v>
      </c>
      <c r="K126" t="n">
        <v>0</v>
      </c>
      <c r="L126" t="n">
        <v>3</v>
      </c>
      <c r="M126" t="n">
        <v>0</v>
      </c>
      <c r="N126" t="n">
        <v>0</v>
      </c>
      <c r="O126" t="n">
        <v>0</v>
      </c>
      <c r="P126" t="n">
        <v>0</v>
      </c>
      <c r="Q126" t="n">
        <v>3</v>
      </c>
      <c r="R126" t="n">
        <v>0</v>
      </c>
      <c r="S126" t="n">
        <v>4</v>
      </c>
      <c r="T126" t="n">
        <v>4</v>
      </c>
      <c r="U126" s="2" t="inlineStr">
        <is>
          <t>Blågrå svartspik
Tretåig hackspett
Vedskivlav
Tjäder</t>
        </is>
      </c>
      <c r="V126">
        <f>HYPERLINK("https://klasma.github.io/Logging_2039/artfynd/A 41921-2022 artfynd.xlsx", "A 41921-2022")</f>
        <v/>
      </c>
      <c r="W126">
        <f>HYPERLINK("https://klasma.github.io/Logging_2039/kartor/A 41921-2022 karta.png", "A 41921-2022")</f>
        <v/>
      </c>
      <c r="Y126">
        <f>HYPERLINK("https://klasma.github.io/Logging_2039/klagomål/A 41921-2022 FSC-klagomål.docx", "A 41921-2022")</f>
        <v/>
      </c>
      <c r="Z126">
        <f>HYPERLINK("https://klasma.github.io/Logging_2039/klagomålsmail/A 41921-2022 FSC-klagomål mail.docx", "A 41921-2022")</f>
        <v/>
      </c>
      <c r="AA126">
        <f>HYPERLINK("https://klasma.github.io/Logging_2039/tillsyn/A 41921-2022 tillsynsbegäran.docx", "A 41921-2022")</f>
        <v/>
      </c>
      <c r="AB126">
        <f>HYPERLINK("https://klasma.github.io/Logging_2039/tillsynsmail/A 41921-2022 tillsynsbegäran mail.docx", "A 41921-2022")</f>
        <v/>
      </c>
      <c r="AC126">
        <f>HYPERLINK("https://klasma.github.io/Logging_2039/fåglar/A 41921-2022 prioriterade fågelarter.docx", "A 41921-2022")</f>
        <v/>
      </c>
    </row>
    <row r="127" ht="15" customHeight="1">
      <c r="A127" t="inlineStr">
        <is>
          <t>A 36580-2024</t>
        </is>
      </c>
      <c r="B127" t="inlineStr">
        <is>
          <t>avverkningsanmälan</t>
        </is>
      </c>
      <c r="C127" t="inlineStr">
        <is>
          <t>Föryngringsavverkning</t>
        </is>
      </c>
      <c r="D127" s="1" t="n">
        <v>45537</v>
      </c>
      <c r="E127" s="1" t="n">
        <v>46217</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s="2" t="inlineStr">
        <is>
          <t>Garnlav
Kolflarnlav
Mörk kolflarnlav
Vedflamlav</t>
        </is>
      </c>
      <c r="V127">
        <f>HYPERLINK("https://klasma.github.io/Logging_2039/artfynd/A 36580-2024 artfynd.xlsx", "A 36580-2024")</f>
        <v/>
      </c>
      <c r="W127">
        <f>HYPERLINK("https://klasma.github.io/Logging_2039/kartor/A 36580-2024 karta.png", "A 36580-2024")</f>
        <v/>
      </c>
      <c r="Y127">
        <f>HYPERLINK("https://klasma.github.io/Logging_2039/klagomål/A 36580-2024 FSC-klagomål.docx", "A 36580-2024")</f>
        <v/>
      </c>
      <c r="Z127">
        <f>HYPERLINK("https://klasma.github.io/Logging_2039/klagomålsmail/A 36580-2024 FSC-klagomål mail.docx", "A 36580-2024")</f>
        <v/>
      </c>
      <c r="AA127">
        <f>HYPERLINK("https://klasma.github.io/Logging_2039/tillsyn/A 36580-2024 tillsynsbegäran.docx", "A 36580-2024")</f>
        <v/>
      </c>
      <c r="AB127">
        <f>HYPERLINK("https://klasma.github.io/Logging_2039/tillsynsmail/A 36580-2024 tillsynsbegäran mail.docx", "A 36580-2024")</f>
        <v/>
      </c>
    </row>
    <row r="128" ht="15" customHeight="1">
      <c r="A128" t="inlineStr">
        <is>
          <t>A 44128-2023</t>
        </is>
      </c>
      <c r="B128" t="inlineStr">
        <is>
          <t>avverkningsanmälan</t>
        </is>
      </c>
      <c r="C128" t="inlineStr">
        <is>
          <t>Föryngringsavverkning</t>
        </is>
      </c>
      <c r="D128" s="1" t="n">
        <v>45188</v>
      </c>
      <c r="E128" s="1" t="n">
        <v>46217</v>
      </c>
      <c r="F128" t="inlineStr">
        <is>
          <t>DALARNAS LÄN</t>
        </is>
      </c>
      <c r="G128" t="inlineStr">
        <is>
          <t>ÄLVDALEN</t>
        </is>
      </c>
      <c r="H128" t="inlineStr">
        <is>
          <t>Sveaskog</t>
        </is>
      </c>
      <c r="I128" t="n">
        <v>1.8</v>
      </c>
      <c r="J128" t="n">
        <v>0</v>
      </c>
      <c r="K128" t="n">
        <v>0</v>
      </c>
      <c r="L128" t="n">
        <v>4</v>
      </c>
      <c r="M128" t="n">
        <v>0</v>
      </c>
      <c r="N128" t="n">
        <v>0</v>
      </c>
      <c r="O128" t="n">
        <v>0</v>
      </c>
      <c r="P128" t="n">
        <v>0</v>
      </c>
      <c r="Q128" t="n">
        <v>4</v>
      </c>
      <c r="R128" t="n">
        <v>0</v>
      </c>
      <c r="S128" t="n">
        <v>4</v>
      </c>
      <c r="T128" t="n">
        <v>6</v>
      </c>
      <c r="U128" s="2" t="inlineStr">
        <is>
          <t>Blanksvart spiklav
Blå taggsvamp
Skarp dropptaggsvamp
Talltaggsvamp</t>
        </is>
      </c>
      <c r="V128">
        <f>HYPERLINK("https://klasma.github.io/Logging_2039/artfynd/A 44128-2023 artfynd.xlsx", "A 44128-2023")</f>
        <v/>
      </c>
      <c r="W128">
        <f>HYPERLINK("https://klasma.github.io/Logging_2039/kartor/A 44128-2023 karta.png", "A 44128-2023")</f>
        <v/>
      </c>
      <c r="Y128">
        <f>HYPERLINK("https://klasma.github.io/Logging_2039/klagomål/A 44128-2023 FSC-klagomål.docx", "A 44128-2023")</f>
        <v/>
      </c>
      <c r="Z128">
        <f>HYPERLINK("https://klasma.github.io/Logging_2039/klagomålsmail/A 44128-2023 FSC-klagomål mail.docx", "A 44128-2023")</f>
        <v/>
      </c>
      <c r="AA128">
        <f>HYPERLINK("https://klasma.github.io/Logging_2039/tillsyn/A 44128-2023 tillsynsbegäran.docx", "A 44128-2023")</f>
        <v/>
      </c>
      <c r="AB128">
        <f>HYPERLINK("https://klasma.github.io/Logging_2039/tillsynsmail/A 44128-2023 tillsynsbegäran mail.docx", "A 44128-2023")</f>
        <v/>
      </c>
    </row>
    <row r="129" ht="15" customHeight="1">
      <c r="A129" t="inlineStr">
        <is>
          <t>A 51732-2021</t>
        </is>
      </c>
      <c r="B129" t="inlineStr">
        <is>
          <t>avverkningsanmälan</t>
        </is>
      </c>
      <c r="C129" t="inlineStr">
        <is>
          <t>Föryngringsavverkning</t>
        </is>
      </c>
      <c r="D129" s="1" t="n">
        <v>44461</v>
      </c>
      <c r="E129" s="1" t="n">
        <v>46217</v>
      </c>
      <c r="F129" t="inlineStr">
        <is>
          <t>DALARNAS LÄN</t>
        </is>
      </c>
      <c r="G129" t="inlineStr">
        <is>
          <t>ÄLVDALEN</t>
        </is>
      </c>
      <c r="H129" t="inlineStr">
        <is>
          <t>Övriga statliga verk och myndigheter</t>
        </is>
      </c>
      <c r="I129" t="n">
        <v>5</v>
      </c>
      <c r="J129" t="n">
        <v>1</v>
      </c>
      <c r="K129" t="n">
        <v>2</v>
      </c>
      <c r="L129" t="n">
        <v>0</v>
      </c>
      <c r="M129" t="n">
        <v>1</v>
      </c>
      <c r="N129" t="n">
        <v>1</v>
      </c>
      <c r="O129" t="n">
        <v>0</v>
      </c>
      <c r="P129" t="n">
        <v>0</v>
      </c>
      <c r="Q129" t="n">
        <v>2</v>
      </c>
      <c r="R129" t="n">
        <v>2</v>
      </c>
      <c r="S129" t="n">
        <v>4</v>
      </c>
      <c r="T129" t="n">
        <v>5</v>
      </c>
      <c r="U129" s="2" t="inlineStr">
        <is>
          <t>Mosippa
Garnlav
Svavelriska
Vedticka</t>
        </is>
      </c>
      <c r="V129">
        <f>HYPERLINK("https://klasma.github.io/Logging_2039/artfynd/A 51732-2021 artfynd.xlsx", "A 51732-2021")</f>
        <v/>
      </c>
      <c r="W129">
        <f>HYPERLINK("https://klasma.github.io/Logging_2039/kartor/A 51732-2021 karta.png", "A 51732-2021")</f>
        <v/>
      </c>
      <c r="Y129">
        <f>HYPERLINK("https://klasma.github.io/Logging_2039/klagomål/A 51732-2021 FSC-klagomål.docx", "A 51732-2021")</f>
        <v/>
      </c>
      <c r="Z129">
        <f>HYPERLINK("https://klasma.github.io/Logging_2039/klagomålsmail/A 51732-2021 FSC-klagomål mail.docx", "A 51732-2021")</f>
        <v/>
      </c>
      <c r="AA129">
        <f>HYPERLINK("https://klasma.github.io/Logging_2039/tillsyn/A 51732-2021 tillsynsbegäran.docx", "A 51732-2021")</f>
        <v/>
      </c>
      <c r="AB129">
        <f>HYPERLINK("https://klasma.github.io/Logging_2039/tillsynsmail/A 51732-2021 tillsynsbegäran mail.docx", "A 51732-2021")</f>
        <v/>
      </c>
    </row>
    <row r="130" ht="15" customHeight="1">
      <c r="A130" t="inlineStr">
        <is>
          <t>A 19870-2026</t>
        </is>
      </c>
      <c r="B130" t="inlineStr">
        <is>
          <t>avverkningsanmälan</t>
        </is>
      </c>
      <c r="C130" t="inlineStr">
        <is>
          <t>Föryngringsavverkning</t>
        </is>
      </c>
      <c r="D130" s="1" t="n">
        <v>46135</v>
      </c>
      <c r="E130" s="1" t="n">
        <v>46217</v>
      </c>
      <c r="F130" t="inlineStr">
        <is>
          <t>DALARNAS LÄN</t>
        </is>
      </c>
      <c r="G130" t="inlineStr">
        <is>
          <t>ÄLVDALEN</t>
        </is>
      </c>
      <c r="H130" t="inlineStr">
        <is>
          <t>Sveaskog</t>
        </is>
      </c>
      <c r="I130" t="n">
        <v>31.7</v>
      </c>
      <c r="J130" t="n">
        <v>0</v>
      </c>
      <c r="K130" t="n">
        <v>0</v>
      </c>
      <c r="L130" t="n">
        <v>4</v>
      </c>
      <c r="M130" t="n">
        <v>0</v>
      </c>
      <c r="N130" t="n">
        <v>0</v>
      </c>
      <c r="O130" t="n">
        <v>0</v>
      </c>
      <c r="P130" t="n">
        <v>0</v>
      </c>
      <c r="Q130" t="n">
        <v>4</v>
      </c>
      <c r="R130" t="n">
        <v>0</v>
      </c>
      <c r="S130" t="n">
        <v>4</v>
      </c>
      <c r="T130" t="n">
        <v>7</v>
      </c>
      <c r="U130" s="2" t="inlineStr">
        <is>
          <t>Dropptaggsvamp
Kolflarnlav
Mörk kolflarnlav
Vedflamlav</t>
        </is>
      </c>
      <c r="V130">
        <f>HYPERLINK("https://klasma.github.io/Logging_2039/artfynd/A 19870-2026 artfynd.xlsx", "A 19870-2026")</f>
        <v/>
      </c>
      <c r="W130">
        <f>HYPERLINK("https://klasma.github.io/Logging_2039/kartor/A 19870-2026 karta.png", "A 19870-2026")</f>
        <v/>
      </c>
      <c r="Y130">
        <f>HYPERLINK("https://klasma.github.io/Logging_2039/klagomål/A 19870-2026 FSC-klagomål.docx", "A 19870-2026")</f>
        <v/>
      </c>
      <c r="Z130">
        <f>HYPERLINK("https://klasma.github.io/Logging_2039/klagomålsmail/A 19870-2026 FSC-klagomål mail.docx", "A 19870-2026")</f>
        <v/>
      </c>
      <c r="AA130">
        <f>HYPERLINK("https://klasma.github.io/Logging_2039/tillsyn/A 19870-2026 tillsynsbegäran.docx", "A 19870-2026")</f>
        <v/>
      </c>
      <c r="AB130">
        <f>HYPERLINK("https://klasma.github.io/Logging_2039/tillsynsmail/A 19870-2026 tillsynsbegäran mail.docx", "A 19870-2026")</f>
        <v/>
      </c>
    </row>
    <row r="131" ht="15" customHeight="1">
      <c r="A131" t="inlineStr">
        <is>
          <t>A 49125-2025</t>
        </is>
      </c>
      <c r="B131" t="inlineStr">
        <is>
          <t>avverkningsanmälan</t>
        </is>
      </c>
      <c r="C131" t="inlineStr">
        <is>
          <t>Föryngringsavverkning</t>
        </is>
      </c>
      <c r="D131" s="1" t="n">
        <v>45937</v>
      </c>
      <c r="E131" s="1" t="n">
        <v>46217</v>
      </c>
      <c r="F131" t="inlineStr">
        <is>
          <t>DALARNAS LÄN</t>
        </is>
      </c>
      <c r="G131" t="inlineStr">
        <is>
          <t>ÄLVDALEN</t>
        </is>
      </c>
      <c r="H131" t="inlineStr">
        <is>
          <t>Sveaskog</t>
        </is>
      </c>
      <c r="I131" t="n">
        <v>1.8</v>
      </c>
      <c r="J131" t="n">
        <v>0</v>
      </c>
      <c r="K131" t="n">
        <v>0</v>
      </c>
      <c r="L131" t="n">
        <v>3</v>
      </c>
      <c r="M131" t="n">
        <v>1</v>
      </c>
      <c r="N131" t="n">
        <v>0</v>
      </c>
      <c r="O131" t="n">
        <v>0</v>
      </c>
      <c r="P131" t="n">
        <v>0</v>
      </c>
      <c r="Q131" t="n">
        <v>4</v>
      </c>
      <c r="R131" t="n">
        <v>1</v>
      </c>
      <c r="S131" t="n">
        <v>4</v>
      </c>
      <c r="T131" t="n">
        <v>4</v>
      </c>
      <c r="U131" s="2" t="inlineStr">
        <is>
          <t>Garnlav
Blanksvart spiklav
Kolflarnlav
Mörk kolflarnlav</t>
        </is>
      </c>
      <c r="V131">
        <f>HYPERLINK("https://klasma.github.io/Logging_2039/artfynd/A 49125-2025 artfynd.xlsx", "A 49125-2025")</f>
        <v/>
      </c>
      <c r="W131">
        <f>HYPERLINK("https://klasma.github.io/Logging_2039/kartor/A 49125-2025 karta.png", "A 49125-2025")</f>
        <v/>
      </c>
      <c r="Y131">
        <f>HYPERLINK("https://klasma.github.io/Logging_2039/klagomål/A 49125-2025 FSC-klagomål.docx", "A 49125-2025")</f>
        <v/>
      </c>
      <c r="Z131">
        <f>HYPERLINK("https://klasma.github.io/Logging_2039/klagomålsmail/A 49125-2025 FSC-klagomål mail.docx", "A 49125-2025")</f>
        <v/>
      </c>
      <c r="AA131">
        <f>HYPERLINK("https://klasma.github.io/Logging_2039/tillsyn/A 49125-2025 tillsynsbegäran.docx", "A 49125-2025")</f>
        <v/>
      </c>
      <c r="AB131">
        <f>HYPERLINK("https://klasma.github.io/Logging_2039/tillsynsmail/A 49125-2025 tillsynsbegäran mail.docx", "A 49125-2025")</f>
        <v/>
      </c>
    </row>
    <row r="132" ht="15" customHeight="1">
      <c r="A132" t="inlineStr">
        <is>
          <t>A 32207-2024</t>
        </is>
      </c>
      <c r="B132" t="inlineStr">
        <is>
          <t>avverkningsanmälan</t>
        </is>
      </c>
      <c r="C132" t="inlineStr">
        <is>
          <t>Föryngringsavverkning</t>
        </is>
      </c>
      <c r="D132" s="1" t="n">
        <v>45511</v>
      </c>
      <c r="E132" s="1" t="n">
        <v>46217</v>
      </c>
      <c r="F132" t="inlineStr">
        <is>
          <t>DALARNAS LÄN</t>
        </is>
      </c>
      <c r="G132" t="inlineStr">
        <is>
          <t>ÄLVDALEN</t>
        </is>
      </c>
      <c r="H132" t="inlineStr">
        <is>
          <t>Sveaskog</t>
        </is>
      </c>
      <c r="I132" t="n">
        <v>2.5</v>
      </c>
      <c r="J132" t="n">
        <v>0</v>
      </c>
      <c r="K132" t="n">
        <v>0</v>
      </c>
      <c r="L132" t="n">
        <v>4</v>
      </c>
      <c r="M132" t="n">
        <v>0</v>
      </c>
      <c r="N132" t="n">
        <v>0</v>
      </c>
      <c r="O132" t="n">
        <v>0</v>
      </c>
      <c r="P132" t="n">
        <v>0</v>
      </c>
      <c r="Q132" t="n">
        <v>4</v>
      </c>
      <c r="R132" t="n">
        <v>0</v>
      </c>
      <c r="S132" t="n">
        <v>4</v>
      </c>
      <c r="T132" t="n">
        <v>4</v>
      </c>
      <c r="U132" s="2" t="inlineStr">
        <is>
          <t>Dvärgbägarlav
Kolflarnlav
Mörk kolflarnlav
Vedflamlav</t>
        </is>
      </c>
      <c r="V132">
        <f>HYPERLINK("https://klasma.github.io/Logging_2039/artfynd/A 32207-2024 artfynd.xlsx", "A 32207-2024")</f>
        <v/>
      </c>
      <c r="W132">
        <f>HYPERLINK("https://klasma.github.io/Logging_2039/kartor/A 32207-2024 karta.png", "A 32207-2024")</f>
        <v/>
      </c>
      <c r="Y132">
        <f>HYPERLINK("https://klasma.github.io/Logging_2039/klagomål/A 32207-2024 FSC-klagomål.docx", "A 32207-2024")</f>
        <v/>
      </c>
      <c r="Z132">
        <f>HYPERLINK("https://klasma.github.io/Logging_2039/klagomålsmail/A 32207-2024 FSC-klagomål mail.docx", "A 32207-2024")</f>
        <v/>
      </c>
      <c r="AA132">
        <f>HYPERLINK("https://klasma.github.io/Logging_2039/tillsyn/A 32207-2024 tillsynsbegäran.docx", "A 32207-2024")</f>
        <v/>
      </c>
      <c r="AB132">
        <f>HYPERLINK("https://klasma.github.io/Logging_2039/tillsynsmail/A 32207-2024 tillsynsbegäran mail.docx", "A 32207-2024")</f>
        <v/>
      </c>
    </row>
    <row r="133" ht="15" customHeight="1">
      <c r="A133" t="inlineStr">
        <is>
          <t>A 23872-2023</t>
        </is>
      </c>
      <c r="B133" t="inlineStr">
        <is>
          <t>avverkningsanmälan</t>
        </is>
      </c>
      <c r="C133" t="inlineStr">
        <is>
          <t>Föryngringsavverkning</t>
        </is>
      </c>
      <c r="D133" s="1" t="n">
        <v>45078</v>
      </c>
      <c r="E133" s="1" t="n">
        <v>46217</v>
      </c>
      <c r="F133" t="inlineStr">
        <is>
          <t>DALARNAS LÄN</t>
        </is>
      </c>
      <c r="G133" t="inlineStr">
        <is>
          <t>ÄLVDALEN</t>
        </is>
      </c>
      <c r="H133" t="inlineStr">
        <is>
          <t>Allmännings- och besparingsskogar</t>
        </is>
      </c>
      <c r="I133" t="n">
        <v>79.5</v>
      </c>
      <c r="J133" t="n">
        <v>3</v>
      </c>
      <c r="K133" t="n">
        <v>0</v>
      </c>
      <c r="L133" t="n">
        <v>2</v>
      </c>
      <c r="M133" t="n">
        <v>0</v>
      </c>
      <c r="N133" t="n">
        <v>0</v>
      </c>
      <c r="O133" t="n">
        <v>0</v>
      </c>
      <c r="P133" t="n">
        <v>0</v>
      </c>
      <c r="Q133" t="n">
        <v>2</v>
      </c>
      <c r="R133" t="n">
        <v>0</v>
      </c>
      <c r="S133" t="n">
        <v>4</v>
      </c>
      <c r="T133" t="n">
        <v>14</v>
      </c>
      <c r="U133" s="2" t="inlineStr">
        <is>
          <t>Kolflarnlav
Varglav
Vanlig groda
Fläcknycklar</t>
        </is>
      </c>
      <c r="V133">
        <f>HYPERLINK("https://klasma.github.io/Logging_2039/artfynd/A 23872-2023 artfynd.xlsx", "A 23872-2023")</f>
        <v/>
      </c>
      <c r="W133">
        <f>HYPERLINK("https://klasma.github.io/Logging_2039/kartor/A 23872-2023 karta.png", "A 23872-2023")</f>
        <v/>
      </c>
      <c r="Y133">
        <f>HYPERLINK("https://klasma.github.io/Logging_2039/klagomål/A 23872-2023 FSC-klagomål.docx", "A 23872-2023")</f>
        <v/>
      </c>
      <c r="Z133">
        <f>HYPERLINK("https://klasma.github.io/Logging_2039/klagomålsmail/A 23872-2023 FSC-klagomål mail.docx", "A 23872-2023")</f>
        <v/>
      </c>
      <c r="AA133">
        <f>HYPERLINK("https://klasma.github.io/Logging_2039/tillsyn/A 23872-2023 tillsynsbegäran.docx", "A 23872-2023")</f>
        <v/>
      </c>
      <c r="AB133">
        <f>HYPERLINK("https://klasma.github.io/Logging_2039/tillsynsmail/A 23872-2023 tillsynsbegäran mail.docx", "A 23872-2023")</f>
        <v/>
      </c>
    </row>
    <row r="134" ht="15" customHeight="1">
      <c r="A134" t="inlineStr">
        <is>
          <t>A 59429-2024</t>
        </is>
      </c>
      <c r="B134" t="inlineStr">
        <is>
          <t>avverkningsanmälan</t>
        </is>
      </c>
      <c r="C134" t="inlineStr">
        <is>
          <t>Föryngringsavverkning</t>
        </is>
      </c>
      <c r="D134" s="1" t="n">
        <v>45638</v>
      </c>
      <c r="E134" s="1" t="n">
        <v>46217</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s="2" t="inlineStr">
        <is>
          <t>Garnlav
Lunglav
Skrovellav
Platt fjädermossa</t>
        </is>
      </c>
      <c r="V134">
        <f>HYPERLINK("https://klasma.github.io/Logging_2039/artfynd/A 59429-2024 artfynd.xlsx", "A 59429-2024")</f>
        <v/>
      </c>
      <c r="W134">
        <f>HYPERLINK("https://klasma.github.io/Logging_2039/kartor/A 59429-2024 karta.png", "A 59429-2024")</f>
        <v/>
      </c>
      <c r="Y134">
        <f>HYPERLINK("https://klasma.github.io/Logging_2039/klagomål/A 59429-2024 FSC-klagomål.docx", "A 59429-2024")</f>
        <v/>
      </c>
      <c r="Z134">
        <f>HYPERLINK("https://klasma.github.io/Logging_2039/klagomålsmail/A 59429-2024 FSC-klagomål mail.docx", "A 59429-2024")</f>
        <v/>
      </c>
      <c r="AA134">
        <f>HYPERLINK("https://klasma.github.io/Logging_2039/tillsyn/A 59429-2024 tillsynsbegäran.docx", "A 59429-2024")</f>
        <v/>
      </c>
      <c r="AB134">
        <f>HYPERLINK("https://klasma.github.io/Logging_2039/tillsynsmail/A 59429-2024 tillsynsbegäran mail.docx", "A 59429-2024")</f>
        <v/>
      </c>
    </row>
    <row r="135" ht="15" customHeight="1">
      <c r="A135" t="inlineStr">
        <is>
          <t>A 27373-2026</t>
        </is>
      </c>
      <c r="B135" t="inlineStr">
        <is>
          <t>avverkningsanmälan</t>
        </is>
      </c>
      <c r="C135" t="inlineStr">
        <is>
          <t>Föryngringsavverkning</t>
        </is>
      </c>
      <c r="D135" s="1" t="n">
        <v>46189</v>
      </c>
      <c r="E135" s="1" t="n">
        <v>46217</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s="2" t="inlineStr">
        <is>
          <t>Blanksvart spiklav
Kolflarnlav
Mörk kolflarnlav
Plattlummer</t>
        </is>
      </c>
      <c r="V135">
        <f>HYPERLINK("https://klasma.github.io/Logging_2039/artfynd/A 27373-2026 artfynd.xlsx", "A 27373-2026")</f>
        <v/>
      </c>
      <c r="W135">
        <f>HYPERLINK("https://klasma.github.io/Logging_2039/kartor/A 27373-2026 karta.png", "A 27373-2026")</f>
        <v/>
      </c>
      <c r="Y135">
        <f>HYPERLINK("https://klasma.github.io/Logging_2039/klagomål/A 27373-2026 FSC-klagomål.docx", "A 27373-2026")</f>
        <v/>
      </c>
      <c r="Z135">
        <f>HYPERLINK("https://klasma.github.io/Logging_2039/klagomålsmail/A 27373-2026 FSC-klagomål mail.docx", "A 27373-2026")</f>
        <v/>
      </c>
      <c r="AA135">
        <f>HYPERLINK("https://klasma.github.io/Logging_2039/tillsyn/A 27373-2026 tillsynsbegäran.docx", "A 27373-2026")</f>
        <v/>
      </c>
      <c r="AB135">
        <f>HYPERLINK("https://klasma.github.io/Logging_2039/tillsynsmail/A 27373-2026 tillsynsbegäran mail.docx", "A 27373-2026")</f>
        <v/>
      </c>
    </row>
    <row r="136" ht="15" customHeight="1">
      <c r="A136" t="inlineStr">
        <is>
          <t>A 32204-2024</t>
        </is>
      </c>
      <c r="B136" t="inlineStr">
        <is>
          <t>avverkningsanmälan</t>
        </is>
      </c>
      <c r="C136" t="inlineStr">
        <is>
          <t>Föryngringsavverkning</t>
        </is>
      </c>
      <c r="D136" s="1" t="n">
        <v>45511</v>
      </c>
      <c r="E136" s="1" t="n">
        <v>46217</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s="2" t="inlineStr">
        <is>
          <t>Blanksvart spiklav
Kolflarnlav
Mörk kolflarnlav
Vedflamlav</t>
        </is>
      </c>
      <c r="V136">
        <f>HYPERLINK("https://klasma.github.io/Logging_2039/artfynd/A 32204-2024 artfynd.xlsx", "A 32204-2024")</f>
        <v/>
      </c>
      <c r="W136">
        <f>HYPERLINK("https://klasma.github.io/Logging_2039/kartor/A 32204-2024 karta.png", "A 32204-2024")</f>
        <v/>
      </c>
      <c r="Y136">
        <f>HYPERLINK("https://klasma.github.io/Logging_2039/klagomål/A 32204-2024 FSC-klagomål.docx", "A 32204-2024")</f>
        <v/>
      </c>
      <c r="Z136">
        <f>HYPERLINK("https://klasma.github.io/Logging_2039/klagomålsmail/A 32204-2024 FSC-klagomål mail.docx", "A 32204-2024")</f>
        <v/>
      </c>
      <c r="AA136">
        <f>HYPERLINK("https://klasma.github.io/Logging_2039/tillsyn/A 32204-2024 tillsynsbegäran.docx", "A 32204-2024")</f>
        <v/>
      </c>
      <c r="AB136">
        <f>HYPERLINK("https://klasma.github.io/Logging_2039/tillsynsmail/A 32204-2024 tillsynsbegäran mail.docx", "A 32204-2024")</f>
        <v/>
      </c>
    </row>
    <row r="137" ht="15" customHeight="1">
      <c r="A137" t="inlineStr">
        <is>
          <t>A 6820-2026</t>
        </is>
      </c>
      <c r="B137" t="inlineStr">
        <is>
          <t>avverkningsanmälan</t>
        </is>
      </c>
      <c r="C137" t="inlineStr">
        <is>
          <t>Föryngringsavverkning</t>
        </is>
      </c>
      <c r="D137" s="1" t="n">
        <v>46057</v>
      </c>
      <c r="E137" s="1" t="n">
        <v>46217</v>
      </c>
      <c r="F137" t="inlineStr">
        <is>
          <t>DALARNAS LÄN</t>
        </is>
      </c>
      <c r="G137" t="inlineStr">
        <is>
          <t>ÄLVDALEN</t>
        </is>
      </c>
      <c r="I137" t="n">
        <v>0.8</v>
      </c>
      <c r="J137" t="n">
        <v>2</v>
      </c>
      <c r="K137" t="n">
        <v>0</v>
      </c>
      <c r="L137" t="n">
        <v>0</v>
      </c>
      <c r="M137" t="n">
        <v>1</v>
      </c>
      <c r="N137" t="n">
        <v>0</v>
      </c>
      <c r="O137" t="n">
        <v>0</v>
      </c>
      <c r="P137" t="n">
        <v>0</v>
      </c>
      <c r="Q137" t="n">
        <v>1</v>
      </c>
      <c r="R137" t="n">
        <v>1</v>
      </c>
      <c r="S137" t="n">
        <v>4</v>
      </c>
      <c r="T137" t="n">
        <v>6</v>
      </c>
      <c r="U137" s="2" t="inlineStr">
        <is>
          <t>Garnlav
Linnea
Spillkråka
Tofsmes</t>
        </is>
      </c>
      <c r="V137">
        <f>HYPERLINK("https://klasma.github.io/Logging_2039/artfynd/A 6820-2026 artfynd.xlsx", "A 6820-2026")</f>
        <v/>
      </c>
      <c r="W137">
        <f>HYPERLINK("https://klasma.github.io/Logging_2039/kartor/A 6820-2026 karta.png", "A 6820-2026")</f>
        <v/>
      </c>
      <c r="Y137">
        <f>HYPERLINK("https://klasma.github.io/Logging_2039/klagomål/A 6820-2026 FSC-klagomål.docx", "A 6820-2026")</f>
        <v/>
      </c>
      <c r="Z137">
        <f>HYPERLINK("https://klasma.github.io/Logging_2039/klagomålsmail/A 6820-2026 FSC-klagomål mail.docx", "A 6820-2026")</f>
        <v/>
      </c>
      <c r="AA137">
        <f>HYPERLINK("https://klasma.github.io/Logging_2039/tillsyn/A 6820-2026 tillsynsbegäran.docx", "A 6820-2026")</f>
        <v/>
      </c>
      <c r="AB137">
        <f>HYPERLINK("https://klasma.github.io/Logging_2039/tillsynsmail/A 6820-2026 tillsynsbegäran mail.docx", "A 6820-2026")</f>
        <v/>
      </c>
      <c r="AC137">
        <f>HYPERLINK("https://klasma.github.io/Logging_2039/fåglar/A 6820-2026 prioriterade fågelarter.docx", "A 6820-2026")</f>
        <v/>
      </c>
    </row>
    <row r="138" ht="15" customHeight="1">
      <c r="A138" t="inlineStr">
        <is>
          <t>A 38819-2024</t>
        </is>
      </c>
      <c r="B138" t="inlineStr">
        <is>
          <t>avverkningsanmälan</t>
        </is>
      </c>
      <c r="C138" t="inlineStr">
        <is>
          <t>Föryngringsavverkning</t>
        </is>
      </c>
      <c r="D138" s="1" t="n">
        <v>45547</v>
      </c>
      <c r="E138" s="1" t="n">
        <v>46217</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s="2" t="inlineStr">
        <is>
          <t>Dvärgbägarlav
Kolflarnlav
Mörk kolflarnlav
Vedflamlav</t>
        </is>
      </c>
      <c r="V138">
        <f>HYPERLINK("https://klasma.github.io/Logging_2039/artfynd/A 38819-2024 artfynd.xlsx", "A 38819-2024")</f>
        <v/>
      </c>
      <c r="W138">
        <f>HYPERLINK("https://klasma.github.io/Logging_2039/kartor/A 38819-2024 karta.png", "A 38819-2024")</f>
        <v/>
      </c>
      <c r="Y138">
        <f>HYPERLINK("https://klasma.github.io/Logging_2039/klagomål/A 38819-2024 FSC-klagomål.docx", "A 38819-2024")</f>
        <v/>
      </c>
      <c r="Z138">
        <f>HYPERLINK("https://klasma.github.io/Logging_2039/klagomålsmail/A 38819-2024 FSC-klagomål mail.docx", "A 38819-2024")</f>
        <v/>
      </c>
      <c r="AA138">
        <f>HYPERLINK("https://klasma.github.io/Logging_2039/tillsyn/A 38819-2024 tillsynsbegäran.docx", "A 38819-2024")</f>
        <v/>
      </c>
      <c r="AB138">
        <f>HYPERLINK("https://klasma.github.io/Logging_2039/tillsynsmail/A 38819-2024 tillsynsbegäran mail.docx", "A 38819-2024")</f>
        <v/>
      </c>
    </row>
    <row r="139" ht="15" customHeight="1">
      <c r="A139" t="inlineStr">
        <is>
          <t>A 42848-2023</t>
        </is>
      </c>
      <c r="B139" t="inlineStr">
        <is>
          <t>avverkningsanmälan</t>
        </is>
      </c>
      <c r="C139" t="inlineStr">
        <is>
          <t>Föryngringsavverkning</t>
        </is>
      </c>
      <c r="D139" s="1" t="n">
        <v>45182</v>
      </c>
      <c r="E139" s="1" t="n">
        <v>46217</v>
      </c>
      <c r="F139" t="inlineStr">
        <is>
          <t>DALARNAS LÄN</t>
        </is>
      </c>
      <c r="G139" t="inlineStr">
        <is>
          <t>ÄLVDALEN</t>
        </is>
      </c>
      <c r="H139" t="inlineStr">
        <is>
          <t>Allmännings- och besparingsskogar</t>
        </is>
      </c>
      <c r="I139" t="n">
        <v>1.9</v>
      </c>
      <c r="J139" t="n">
        <v>0</v>
      </c>
      <c r="K139" t="n">
        <v>0</v>
      </c>
      <c r="L139" t="n">
        <v>3</v>
      </c>
      <c r="M139" t="n">
        <v>1</v>
      </c>
      <c r="N139" t="n">
        <v>0</v>
      </c>
      <c r="O139" t="n">
        <v>0</v>
      </c>
      <c r="P139" t="n">
        <v>0</v>
      </c>
      <c r="Q139" t="n">
        <v>4</v>
      </c>
      <c r="R139" t="n">
        <v>1</v>
      </c>
      <c r="S139" t="n">
        <v>4</v>
      </c>
      <c r="T139" t="n">
        <v>7</v>
      </c>
      <c r="U139" s="2" t="inlineStr">
        <is>
          <t>Goliatmusseron
Blå taggsvamp
Dropptaggsvamp
Skarp dropptaggsvamp</t>
        </is>
      </c>
      <c r="V139">
        <f>HYPERLINK("https://klasma.github.io/Logging_2039/artfynd/A 42848-2023 artfynd.xlsx", "A 42848-2023")</f>
        <v/>
      </c>
      <c r="W139">
        <f>HYPERLINK("https://klasma.github.io/Logging_2039/kartor/A 42848-2023 karta.png", "A 42848-2023")</f>
        <v/>
      </c>
      <c r="Y139">
        <f>HYPERLINK("https://klasma.github.io/Logging_2039/klagomål/A 42848-2023 FSC-klagomål.docx", "A 42848-2023")</f>
        <v/>
      </c>
      <c r="Z139">
        <f>HYPERLINK("https://klasma.github.io/Logging_2039/klagomålsmail/A 42848-2023 FSC-klagomål mail.docx", "A 42848-2023")</f>
        <v/>
      </c>
      <c r="AA139">
        <f>HYPERLINK("https://klasma.github.io/Logging_2039/tillsyn/A 42848-2023 tillsynsbegäran.docx", "A 42848-2023")</f>
        <v/>
      </c>
      <c r="AB139">
        <f>HYPERLINK("https://klasma.github.io/Logging_2039/tillsynsmail/A 42848-2023 tillsynsbegäran mail.docx", "A 42848-2023")</f>
        <v/>
      </c>
    </row>
    <row r="140" ht="15" customHeight="1">
      <c r="A140" t="inlineStr">
        <is>
          <t>A 22291-2025</t>
        </is>
      </c>
      <c r="B140" t="inlineStr">
        <is>
          <t>avverkningsanmälan</t>
        </is>
      </c>
      <c r="C140" t="inlineStr">
        <is>
          <t>Föryngringsavverkning</t>
        </is>
      </c>
      <c r="D140" s="1" t="n">
        <v>45786</v>
      </c>
      <c r="E140" s="1" t="n">
        <v>46217</v>
      </c>
      <c r="F140" t="inlineStr">
        <is>
          <t>DALARNAS LÄN</t>
        </is>
      </c>
      <c r="G140" t="inlineStr">
        <is>
          <t>ÄLVDALEN</t>
        </is>
      </c>
      <c r="H140" t="inlineStr">
        <is>
          <t>Sveaskog</t>
        </is>
      </c>
      <c r="I140" t="n">
        <v>3.7</v>
      </c>
      <c r="J140" t="n">
        <v>0</v>
      </c>
      <c r="K140" t="n">
        <v>0</v>
      </c>
      <c r="L140" t="n">
        <v>4</v>
      </c>
      <c r="M140" t="n">
        <v>0</v>
      </c>
      <c r="N140" t="n">
        <v>0</v>
      </c>
      <c r="O140" t="n">
        <v>0</v>
      </c>
      <c r="P140" t="n">
        <v>0</v>
      </c>
      <c r="Q140" t="n">
        <v>4</v>
      </c>
      <c r="R140" t="n">
        <v>0</v>
      </c>
      <c r="S140" t="n">
        <v>4</v>
      </c>
      <c r="T140" t="n">
        <v>4</v>
      </c>
      <c r="U140" s="2" t="inlineStr">
        <is>
          <t>Dropptaggsvamp
Kolflarnlav
Mörk kolflarnlav
Vedflamlav</t>
        </is>
      </c>
      <c r="V140">
        <f>HYPERLINK("https://klasma.github.io/Logging_2039/artfynd/A 22291-2025 artfynd.xlsx", "A 22291-2025")</f>
        <v/>
      </c>
      <c r="W140">
        <f>HYPERLINK("https://klasma.github.io/Logging_2039/kartor/A 22291-2025 karta.png", "A 22291-2025")</f>
        <v/>
      </c>
      <c r="Y140">
        <f>HYPERLINK("https://klasma.github.io/Logging_2039/klagomål/A 22291-2025 FSC-klagomål.docx", "A 22291-2025")</f>
        <v/>
      </c>
      <c r="Z140">
        <f>HYPERLINK("https://klasma.github.io/Logging_2039/klagomålsmail/A 22291-2025 FSC-klagomål mail.docx", "A 22291-2025")</f>
        <v/>
      </c>
      <c r="AA140">
        <f>HYPERLINK("https://klasma.github.io/Logging_2039/tillsyn/A 22291-2025 tillsynsbegäran.docx", "A 22291-2025")</f>
        <v/>
      </c>
      <c r="AB140">
        <f>HYPERLINK("https://klasma.github.io/Logging_2039/tillsynsmail/A 22291-2025 tillsynsbegäran mail.docx", "A 22291-2025")</f>
        <v/>
      </c>
    </row>
    <row r="141" ht="15" customHeight="1">
      <c r="A141" t="inlineStr">
        <is>
          <t>A 25090-2025</t>
        </is>
      </c>
      <c r="B141" t="inlineStr">
        <is>
          <t>avverkningsanmälan</t>
        </is>
      </c>
      <c r="C141" t="inlineStr">
        <is>
          <t>Föryngringsavverkning</t>
        </is>
      </c>
      <c r="D141" s="1" t="n">
        <v>45800</v>
      </c>
      <c r="E141" s="1" t="n">
        <v>46217</v>
      </c>
      <c r="F141" t="inlineStr">
        <is>
          <t>DALARNAS LÄN</t>
        </is>
      </c>
      <c r="G141" t="inlineStr">
        <is>
          <t>ÄLVDALEN</t>
        </is>
      </c>
      <c r="H141" t="inlineStr">
        <is>
          <t>Sveaskog</t>
        </is>
      </c>
      <c r="I141" t="n">
        <v>12.5</v>
      </c>
      <c r="J141" t="n">
        <v>0</v>
      </c>
      <c r="K141" t="n">
        <v>0</v>
      </c>
      <c r="L141" t="n">
        <v>4</v>
      </c>
      <c r="M141" t="n">
        <v>0</v>
      </c>
      <c r="N141" t="n">
        <v>0</v>
      </c>
      <c r="O141" t="n">
        <v>0</v>
      </c>
      <c r="P141" t="n">
        <v>0</v>
      </c>
      <c r="Q141" t="n">
        <v>4</v>
      </c>
      <c r="R141" t="n">
        <v>0</v>
      </c>
      <c r="S141" t="n">
        <v>4</v>
      </c>
      <c r="T141" t="n">
        <v>4</v>
      </c>
      <c r="U141" s="2" t="inlineStr">
        <is>
          <t>Dvärgbägarlav
Kolflarnlav
Mörk kolflarnlav
Vedflamlav</t>
        </is>
      </c>
      <c r="V141">
        <f>HYPERLINK("https://klasma.github.io/Logging_2039/artfynd/A 25090-2025 artfynd.xlsx", "A 25090-2025")</f>
        <v/>
      </c>
      <c r="W141">
        <f>HYPERLINK("https://klasma.github.io/Logging_2039/kartor/A 25090-2025 karta.png", "A 25090-2025")</f>
        <v/>
      </c>
      <c r="Y141">
        <f>HYPERLINK("https://klasma.github.io/Logging_2039/klagomål/A 25090-2025 FSC-klagomål.docx", "A 25090-2025")</f>
        <v/>
      </c>
      <c r="Z141">
        <f>HYPERLINK("https://klasma.github.io/Logging_2039/klagomålsmail/A 25090-2025 FSC-klagomål mail.docx", "A 25090-2025")</f>
        <v/>
      </c>
      <c r="AA141">
        <f>HYPERLINK("https://klasma.github.io/Logging_2039/tillsyn/A 25090-2025 tillsynsbegäran.docx", "A 25090-2025")</f>
        <v/>
      </c>
      <c r="AB141">
        <f>HYPERLINK("https://klasma.github.io/Logging_2039/tillsynsmail/A 25090-2025 tillsynsbegäran mail.docx", "A 25090-2025")</f>
        <v/>
      </c>
    </row>
    <row r="142" ht="15" customHeight="1">
      <c r="A142" t="inlineStr">
        <is>
          <t>A 35141-2023</t>
        </is>
      </c>
      <c r="B142" t="inlineStr">
        <is>
          <t>avverkningsanmälan</t>
        </is>
      </c>
      <c r="C142" t="inlineStr">
        <is>
          <t>Föryngringsavverkning</t>
        </is>
      </c>
      <c r="D142" s="1" t="n">
        <v>45145</v>
      </c>
      <c r="E142" s="1" t="n">
        <v>46217</v>
      </c>
      <c r="F142" t="inlineStr">
        <is>
          <t>DALARNAS LÄN</t>
        </is>
      </c>
      <c r="G142" t="inlineStr">
        <is>
          <t>ÄLVDALEN</t>
        </is>
      </c>
      <c r="H142" t="inlineStr">
        <is>
          <t>Sveaskog</t>
        </is>
      </c>
      <c r="I142" t="n">
        <v>1.8</v>
      </c>
      <c r="J142" t="n">
        <v>1</v>
      </c>
      <c r="K142" t="n">
        <v>0</v>
      </c>
      <c r="L142" t="n">
        <v>2</v>
      </c>
      <c r="M142" t="n">
        <v>1</v>
      </c>
      <c r="N142" t="n">
        <v>0</v>
      </c>
      <c r="O142" t="n">
        <v>0</v>
      </c>
      <c r="P142" t="n">
        <v>0</v>
      </c>
      <c r="Q142" t="n">
        <v>3</v>
      </c>
      <c r="R142" t="n">
        <v>1</v>
      </c>
      <c r="S142" t="n">
        <v>3</v>
      </c>
      <c r="T142" t="n">
        <v>4</v>
      </c>
      <c r="U142" s="2" t="inlineStr">
        <is>
          <t>Garnlav
Kolflarnlav
Varglav</t>
        </is>
      </c>
      <c r="V142">
        <f>HYPERLINK("https://klasma.github.io/Logging_2039/artfynd/A 35141-2023 artfynd.xlsx", "A 35141-2023")</f>
        <v/>
      </c>
      <c r="W142">
        <f>HYPERLINK("https://klasma.github.io/Logging_2039/kartor/A 35141-2023 karta.png", "A 35141-2023")</f>
        <v/>
      </c>
      <c r="Y142">
        <f>HYPERLINK("https://klasma.github.io/Logging_2039/klagomål/A 35141-2023 FSC-klagomål.docx", "A 35141-2023")</f>
        <v/>
      </c>
      <c r="Z142">
        <f>HYPERLINK("https://klasma.github.io/Logging_2039/klagomålsmail/A 35141-2023 FSC-klagomål mail.docx", "A 35141-2023")</f>
        <v/>
      </c>
      <c r="AA142">
        <f>HYPERLINK("https://klasma.github.io/Logging_2039/tillsyn/A 35141-2023 tillsynsbegäran.docx", "A 35141-2023")</f>
        <v/>
      </c>
      <c r="AB142">
        <f>HYPERLINK("https://klasma.github.io/Logging_2039/tillsynsmail/A 35141-2023 tillsynsbegäran mail.docx", "A 35141-2023")</f>
        <v/>
      </c>
    </row>
    <row r="143" ht="15" customHeight="1">
      <c r="A143" t="inlineStr">
        <is>
          <t>A 58476-2025</t>
        </is>
      </c>
      <c r="B143" t="inlineStr">
        <is>
          <t>avverkningsanmälan</t>
        </is>
      </c>
      <c r="C143" t="inlineStr">
        <is>
          <t>Föryngringsavverkning</t>
        </is>
      </c>
      <c r="D143" s="1" t="n">
        <v>45985</v>
      </c>
      <c r="E143" s="1" t="n">
        <v>46217</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s="2" t="inlineStr">
        <is>
          <t>Lavskrika
Tjäder
Huggorm</t>
        </is>
      </c>
      <c r="V143">
        <f>HYPERLINK("https://klasma.github.io/Logging_2039/artfynd/A 58476-2025 artfynd.xlsx", "A 58476-2025")</f>
        <v/>
      </c>
      <c r="W143">
        <f>HYPERLINK("https://klasma.github.io/Logging_2039/kartor/A 58476-2025 karta.png", "A 58476-2025")</f>
        <v/>
      </c>
      <c r="Y143">
        <f>HYPERLINK("https://klasma.github.io/Logging_2039/klagomål/A 58476-2025 FSC-klagomål.docx", "A 58476-2025")</f>
        <v/>
      </c>
      <c r="Z143">
        <f>HYPERLINK("https://klasma.github.io/Logging_2039/klagomålsmail/A 58476-2025 FSC-klagomål mail.docx", "A 58476-2025")</f>
        <v/>
      </c>
      <c r="AA143">
        <f>HYPERLINK("https://klasma.github.io/Logging_2039/tillsyn/A 58476-2025 tillsynsbegäran.docx", "A 58476-2025")</f>
        <v/>
      </c>
      <c r="AB143">
        <f>HYPERLINK("https://klasma.github.io/Logging_2039/tillsynsmail/A 58476-2025 tillsynsbegäran mail.docx", "A 58476-2025")</f>
        <v/>
      </c>
      <c r="AC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46217</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s="2" t="inlineStr">
        <is>
          <t>Dropptaggsvamp
Kolflarnlav
Vedflamlav</t>
        </is>
      </c>
      <c r="V144">
        <f>HYPERLINK("https://klasma.github.io/Logging_2039/artfynd/A 59587-2025 artfynd.xlsx", "A 59587-2025")</f>
        <v/>
      </c>
      <c r="W144">
        <f>HYPERLINK("https://klasma.github.io/Logging_2039/kartor/A 59587-2025 karta.png", "A 59587-2025")</f>
        <v/>
      </c>
      <c r="Y144">
        <f>HYPERLINK("https://klasma.github.io/Logging_2039/klagomål/A 59587-2025 FSC-klagomål.docx", "A 59587-2025")</f>
        <v/>
      </c>
      <c r="Z144">
        <f>HYPERLINK("https://klasma.github.io/Logging_2039/klagomålsmail/A 59587-2025 FSC-klagomål mail.docx", "A 59587-2025")</f>
        <v/>
      </c>
      <c r="AA144">
        <f>HYPERLINK("https://klasma.github.io/Logging_2039/tillsyn/A 59587-2025 tillsynsbegäran.docx", "A 59587-2025")</f>
        <v/>
      </c>
      <c r="AB144">
        <f>HYPERLINK("https://klasma.github.io/Logging_2039/tillsynsmail/A 59587-2025 tillsynsbegäran mail.docx", "A 59587-2025")</f>
        <v/>
      </c>
    </row>
    <row r="145" ht="15" customHeight="1">
      <c r="A145" t="inlineStr">
        <is>
          <t>A 28135-2026</t>
        </is>
      </c>
      <c r="B145" t="inlineStr">
        <is>
          <t>avverkningsanmälan</t>
        </is>
      </c>
      <c r="C145" t="inlineStr">
        <is>
          <t>Föryngringsavverkning</t>
        </is>
      </c>
      <c r="D145" s="1" t="n">
        <v>46195</v>
      </c>
      <c r="E145" s="1" t="n">
        <v>46217</v>
      </c>
      <c r="F145" t="inlineStr">
        <is>
          <t>DALARNAS LÄN</t>
        </is>
      </c>
      <c r="G145" t="inlineStr">
        <is>
          <t>ÄLVDALEN</t>
        </is>
      </c>
      <c r="H145" t="inlineStr">
        <is>
          <t>Sveaskog</t>
        </is>
      </c>
      <c r="I145" t="n">
        <v>1.9</v>
      </c>
      <c r="J145" t="n">
        <v>0</v>
      </c>
      <c r="K145" t="n">
        <v>0</v>
      </c>
      <c r="L145" t="n">
        <v>3</v>
      </c>
      <c r="M145" t="n">
        <v>0</v>
      </c>
      <c r="N145" t="n">
        <v>0</v>
      </c>
      <c r="O145" t="n">
        <v>0</v>
      </c>
      <c r="P145" t="n">
        <v>0</v>
      </c>
      <c r="Q145" t="n">
        <v>3</v>
      </c>
      <c r="R145" t="n">
        <v>0</v>
      </c>
      <c r="S145" t="n">
        <v>3</v>
      </c>
      <c r="T145" t="n">
        <v>3</v>
      </c>
      <c r="U145" s="2" t="inlineStr">
        <is>
          <t>Blanksvart spiklav
Kolflarnlav
Mörk kolflarnlav</t>
        </is>
      </c>
      <c r="V145">
        <f>HYPERLINK("https://klasma.github.io/Logging_2039/artfynd/A 28135-2026 artfynd.xlsx", "A 28135-2026")</f>
        <v/>
      </c>
      <c r="W145">
        <f>HYPERLINK("https://klasma.github.io/Logging_2039/kartor/A 28135-2026 karta.png", "A 28135-2026")</f>
        <v/>
      </c>
      <c r="Y145">
        <f>HYPERLINK("https://klasma.github.io/Logging_2039/klagomål/A 28135-2026 FSC-klagomål.docx", "A 28135-2026")</f>
        <v/>
      </c>
      <c r="Z145">
        <f>HYPERLINK("https://klasma.github.io/Logging_2039/klagomålsmail/A 28135-2026 FSC-klagomål mail.docx", "A 28135-2026")</f>
        <v/>
      </c>
      <c r="AA145">
        <f>HYPERLINK("https://klasma.github.io/Logging_2039/tillsyn/A 28135-2026 tillsynsbegäran.docx", "A 28135-2026")</f>
        <v/>
      </c>
      <c r="AB145">
        <f>HYPERLINK("https://klasma.github.io/Logging_2039/tillsynsmail/A 28135-2026 tillsynsbegäran mail.docx", "A 28135-2026")</f>
        <v/>
      </c>
    </row>
    <row r="146" ht="15" customHeight="1">
      <c r="A146" t="inlineStr">
        <is>
          <t>A 30101-2026</t>
        </is>
      </c>
      <c r="B146" t="inlineStr">
        <is>
          <t>avverkningsanmälan</t>
        </is>
      </c>
      <c r="C146" t="inlineStr">
        <is>
          <t>Föryngringsavverkning</t>
        </is>
      </c>
      <c r="D146" s="1" t="n">
        <v>46206</v>
      </c>
      <c r="E146" s="1" t="n">
        <v>46217</v>
      </c>
      <c r="F146" t="inlineStr">
        <is>
          <t>DALARNAS LÄN</t>
        </is>
      </c>
      <c r="G146" t="inlineStr">
        <is>
          <t>ÄLVDALEN</t>
        </is>
      </c>
      <c r="H146" t="inlineStr">
        <is>
          <t>Sveaskog</t>
        </is>
      </c>
      <c r="I146" t="n">
        <v>3.6</v>
      </c>
      <c r="J146" t="n">
        <v>0</v>
      </c>
      <c r="K146" t="n">
        <v>0</v>
      </c>
      <c r="L146" t="n">
        <v>2</v>
      </c>
      <c r="M146" t="n">
        <v>1</v>
      </c>
      <c r="N146" t="n">
        <v>0</v>
      </c>
      <c r="O146" t="n">
        <v>0</v>
      </c>
      <c r="P146" t="n">
        <v>0</v>
      </c>
      <c r="Q146" t="n">
        <v>3</v>
      </c>
      <c r="R146" t="n">
        <v>1</v>
      </c>
      <c r="S146" t="n">
        <v>3</v>
      </c>
      <c r="T146" t="n">
        <v>3</v>
      </c>
      <c r="U146" s="2" t="inlineStr">
        <is>
          <t>Gräddporing
Kolflarnlav
Mörk kolflarnlav</t>
        </is>
      </c>
      <c r="V146">
        <f>HYPERLINK("https://klasma.github.io/Logging_2039/artfynd/A 30101-2026 artfynd.xlsx", "A 30101-2026")</f>
        <v/>
      </c>
      <c r="W146">
        <f>HYPERLINK("https://klasma.github.io/Logging_2039/kartor/A 30101-2026 karta.png", "A 30101-2026")</f>
        <v/>
      </c>
      <c r="Y146">
        <f>HYPERLINK("https://klasma.github.io/Logging_2039/klagomål/A 30101-2026 FSC-klagomål.docx", "A 30101-2026")</f>
        <v/>
      </c>
      <c r="Z146">
        <f>HYPERLINK("https://klasma.github.io/Logging_2039/klagomålsmail/A 30101-2026 FSC-klagomål mail.docx", "A 30101-2026")</f>
        <v/>
      </c>
      <c r="AA146">
        <f>HYPERLINK("https://klasma.github.io/Logging_2039/tillsyn/A 30101-2026 tillsynsbegäran.docx", "A 30101-2026")</f>
        <v/>
      </c>
      <c r="AB146">
        <f>HYPERLINK("https://klasma.github.io/Logging_2039/tillsynsmail/A 30101-2026 tillsynsbegäran mail.docx", "A 30101-2026")</f>
        <v/>
      </c>
    </row>
    <row r="147" ht="15" customHeight="1">
      <c r="A147" t="inlineStr">
        <is>
          <t>A 30105-2026</t>
        </is>
      </c>
      <c r="B147" t="inlineStr">
        <is>
          <t>avverkningsanmälan</t>
        </is>
      </c>
      <c r="C147" t="inlineStr">
        <is>
          <t>Föryngringsavverkning</t>
        </is>
      </c>
      <c r="D147" s="1" t="n">
        <v>46206</v>
      </c>
      <c r="E147" s="1" t="n">
        <v>46217</v>
      </c>
      <c r="F147" t="inlineStr">
        <is>
          <t>DALARNAS LÄN</t>
        </is>
      </c>
      <c r="G147" t="inlineStr">
        <is>
          <t>ÄLVDALEN</t>
        </is>
      </c>
      <c r="H147" t="inlineStr">
        <is>
          <t>Sveaskog</t>
        </is>
      </c>
      <c r="I147" t="n">
        <v>3.1</v>
      </c>
      <c r="J147" t="n">
        <v>1</v>
      </c>
      <c r="K147" t="n">
        <v>0</v>
      </c>
      <c r="L147" t="n">
        <v>3</v>
      </c>
      <c r="M147" t="n">
        <v>0</v>
      </c>
      <c r="N147" t="n">
        <v>0</v>
      </c>
      <c r="O147" t="n">
        <v>0</v>
      </c>
      <c r="P147" t="n">
        <v>0</v>
      </c>
      <c r="Q147" t="n">
        <v>3</v>
      </c>
      <c r="R147" t="n">
        <v>0</v>
      </c>
      <c r="S147" t="n">
        <v>3</v>
      </c>
      <c r="T147" t="n">
        <v>3</v>
      </c>
      <c r="U147" s="2" t="inlineStr">
        <is>
          <t>Kolflarnlav
Mörk kolflarnlav
Varglav</t>
        </is>
      </c>
      <c r="V147">
        <f>HYPERLINK("https://klasma.github.io/Logging_2039/artfynd/A 30105-2026 artfynd.xlsx", "A 30105-2026")</f>
        <v/>
      </c>
      <c r="W147">
        <f>HYPERLINK("https://klasma.github.io/Logging_2039/kartor/A 30105-2026 karta.png", "A 30105-2026")</f>
        <v/>
      </c>
      <c r="Y147">
        <f>HYPERLINK("https://klasma.github.io/Logging_2039/klagomål/A 30105-2026 FSC-klagomål.docx", "A 30105-2026")</f>
        <v/>
      </c>
      <c r="Z147">
        <f>HYPERLINK("https://klasma.github.io/Logging_2039/klagomålsmail/A 30105-2026 FSC-klagomål mail.docx", "A 30105-2026")</f>
        <v/>
      </c>
      <c r="AA147">
        <f>HYPERLINK("https://klasma.github.io/Logging_2039/tillsyn/A 30105-2026 tillsynsbegäran.docx", "A 30105-2026")</f>
        <v/>
      </c>
      <c r="AB147">
        <f>HYPERLINK("https://klasma.github.io/Logging_2039/tillsynsmail/A 30105-2026 tillsynsbegäran mail.docx", "A 30105-2026")</f>
        <v/>
      </c>
    </row>
    <row r="148" ht="15" customHeight="1">
      <c r="A148" t="inlineStr">
        <is>
          <t>A 41909-2022</t>
        </is>
      </c>
      <c r="B148" t="inlineStr">
        <is>
          <t>avverkningsanmälan</t>
        </is>
      </c>
      <c r="C148" t="inlineStr">
        <is>
          <t>Föryngringsavverkning</t>
        </is>
      </c>
      <c r="D148" s="1" t="n">
        <v>44830</v>
      </c>
      <c r="E148" s="1" t="n">
        <v>46217</v>
      </c>
      <c r="F148" t="inlineStr">
        <is>
          <t>DALARNAS LÄN</t>
        </is>
      </c>
      <c r="G148" t="inlineStr">
        <is>
          <t>ÄLVDALEN</t>
        </is>
      </c>
      <c r="H148" t="inlineStr">
        <is>
          <t>Sveaskog</t>
        </is>
      </c>
      <c r="I148" t="n">
        <v>3.5</v>
      </c>
      <c r="J148" t="n">
        <v>1</v>
      </c>
      <c r="K148" t="n">
        <v>0</v>
      </c>
      <c r="L148" t="n">
        <v>2</v>
      </c>
      <c r="M148" t="n">
        <v>1</v>
      </c>
      <c r="N148" t="n">
        <v>0</v>
      </c>
      <c r="O148" t="n">
        <v>0</v>
      </c>
      <c r="P148" t="n">
        <v>0</v>
      </c>
      <c r="Q148" t="n">
        <v>3</v>
      </c>
      <c r="R148" t="n">
        <v>1</v>
      </c>
      <c r="S148" t="n">
        <v>3</v>
      </c>
      <c r="T148" t="n">
        <v>4</v>
      </c>
      <c r="U148" s="2" t="inlineStr">
        <is>
          <t>Tajgataggsvamp
Blanksvart spiklav
Talltita</t>
        </is>
      </c>
      <c r="V148">
        <f>HYPERLINK("https://klasma.github.io/Logging_2039/artfynd/A 41909-2022 artfynd.xlsx", "A 41909-2022")</f>
        <v/>
      </c>
      <c r="W148">
        <f>HYPERLINK("https://klasma.github.io/Logging_2039/kartor/A 41909-2022 karta.png", "A 41909-2022")</f>
        <v/>
      </c>
      <c r="Y148">
        <f>HYPERLINK("https://klasma.github.io/Logging_2039/klagomål/A 41909-2022 FSC-klagomål.docx", "A 41909-2022")</f>
        <v/>
      </c>
      <c r="Z148">
        <f>HYPERLINK("https://klasma.github.io/Logging_2039/klagomålsmail/A 41909-2022 FSC-klagomål mail.docx", "A 41909-2022")</f>
        <v/>
      </c>
      <c r="AA148">
        <f>HYPERLINK("https://klasma.github.io/Logging_2039/tillsyn/A 41909-2022 tillsynsbegäran.docx", "A 41909-2022")</f>
        <v/>
      </c>
      <c r="AB148">
        <f>HYPERLINK("https://klasma.github.io/Logging_2039/tillsynsmail/A 41909-2022 tillsynsbegäran mail.docx", "A 41909-2022")</f>
        <v/>
      </c>
      <c r="AC148">
        <f>HYPERLINK("https://klasma.github.io/Logging_2039/fåglar/A 41909-2022 prioriterade fågelarter.docx", "A 41909-2022")</f>
        <v/>
      </c>
    </row>
    <row r="149" ht="15" customHeight="1">
      <c r="A149" t="inlineStr">
        <is>
          <t>A 31057-2024</t>
        </is>
      </c>
      <c r="B149" t="inlineStr">
        <is>
          <t>avverkningsanmälan</t>
        </is>
      </c>
      <c r="C149" t="inlineStr">
        <is>
          <t>Föryngringsavverkning</t>
        </is>
      </c>
      <c r="D149" s="1" t="n">
        <v>45502</v>
      </c>
      <c r="E149" s="1" t="n">
        <v>46217</v>
      </c>
      <c r="F149" t="inlineStr">
        <is>
          <t>DALARNAS LÄN</t>
        </is>
      </c>
      <c r="G149" t="inlineStr">
        <is>
          <t>ÄLVDALEN</t>
        </is>
      </c>
      <c r="H149" t="inlineStr">
        <is>
          <t>Sveaskog</t>
        </is>
      </c>
      <c r="I149" t="n">
        <v>2.4</v>
      </c>
      <c r="J149" t="n">
        <v>0</v>
      </c>
      <c r="K149" t="n">
        <v>0</v>
      </c>
      <c r="L149" t="n">
        <v>3</v>
      </c>
      <c r="M149" t="n">
        <v>0</v>
      </c>
      <c r="N149" t="n">
        <v>0</v>
      </c>
      <c r="O149" t="n">
        <v>0</v>
      </c>
      <c r="P149" t="n">
        <v>0</v>
      </c>
      <c r="Q149" t="n">
        <v>3</v>
      </c>
      <c r="R149" t="n">
        <v>0</v>
      </c>
      <c r="S149" t="n">
        <v>3</v>
      </c>
      <c r="T149" t="n">
        <v>3</v>
      </c>
      <c r="U149" s="2" t="inlineStr">
        <is>
          <t>Blå taggsvamp
Kolflarnlav
Skarp dropptaggsvamp</t>
        </is>
      </c>
      <c r="V149">
        <f>HYPERLINK("https://klasma.github.io/Logging_2039/artfynd/A 31057-2024 artfynd.xlsx", "A 31057-2024")</f>
        <v/>
      </c>
      <c r="W149">
        <f>HYPERLINK("https://klasma.github.io/Logging_2039/kartor/A 31057-2024 karta.png", "A 31057-2024")</f>
        <v/>
      </c>
      <c r="Y149">
        <f>HYPERLINK("https://klasma.github.io/Logging_2039/klagomål/A 31057-2024 FSC-klagomål.docx", "A 31057-2024")</f>
        <v/>
      </c>
      <c r="Z149">
        <f>HYPERLINK("https://klasma.github.io/Logging_2039/klagomålsmail/A 31057-2024 FSC-klagomål mail.docx", "A 31057-2024")</f>
        <v/>
      </c>
      <c r="AA149">
        <f>HYPERLINK("https://klasma.github.io/Logging_2039/tillsyn/A 31057-2024 tillsynsbegäran.docx", "A 31057-2024")</f>
        <v/>
      </c>
      <c r="AB149">
        <f>HYPERLINK("https://klasma.github.io/Logging_2039/tillsynsmail/A 31057-2024 tillsynsbegäran mail.docx", "A 31057-2024")</f>
        <v/>
      </c>
    </row>
    <row r="150" ht="15" customHeight="1">
      <c r="A150" t="inlineStr">
        <is>
          <t>A 18617-2026</t>
        </is>
      </c>
      <c r="B150" t="inlineStr">
        <is>
          <t>avverkningsanmälan</t>
        </is>
      </c>
      <c r="C150" t="inlineStr">
        <is>
          <t>Föryngringsavverkning</t>
        </is>
      </c>
      <c r="D150" s="1" t="n">
        <v>46127</v>
      </c>
      <c r="E150" s="1" t="n">
        <v>46217</v>
      </c>
      <c r="F150" t="inlineStr">
        <is>
          <t>DALARNAS LÄN</t>
        </is>
      </c>
      <c r="G150" t="inlineStr">
        <is>
          <t>ÄLVDALEN</t>
        </is>
      </c>
      <c r="I150" t="n">
        <v>1.3</v>
      </c>
      <c r="J150" t="n">
        <v>0</v>
      </c>
      <c r="K150" t="n">
        <v>1</v>
      </c>
      <c r="L150" t="n">
        <v>2</v>
      </c>
      <c r="M150" t="n">
        <v>0</v>
      </c>
      <c r="N150" t="n">
        <v>0</v>
      </c>
      <c r="O150" t="n">
        <v>0</v>
      </c>
      <c r="P150" t="n">
        <v>0</v>
      </c>
      <c r="Q150" t="n">
        <v>2</v>
      </c>
      <c r="R150" t="n">
        <v>0</v>
      </c>
      <c r="S150" t="n">
        <v>3</v>
      </c>
      <c r="T150" t="n">
        <v>6</v>
      </c>
      <c r="U150" s="2" t="inlineStr">
        <is>
          <t>Kolflarnlav
Mörk kolflarnlav
Mindre märgborre</t>
        </is>
      </c>
      <c r="V150">
        <f>HYPERLINK("https://klasma.github.io/Logging_2039/artfynd/A 18617-2026 artfynd.xlsx", "A 18617-2026")</f>
        <v/>
      </c>
      <c r="W150">
        <f>HYPERLINK("https://klasma.github.io/Logging_2039/kartor/A 18617-2026 karta.png", "A 18617-2026")</f>
        <v/>
      </c>
      <c r="Y150">
        <f>HYPERLINK("https://klasma.github.io/Logging_2039/klagomål/A 18617-2026 FSC-klagomål.docx", "A 18617-2026")</f>
        <v/>
      </c>
      <c r="Z150">
        <f>HYPERLINK("https://klasma.github.io/Logging_2039/klagomålsmail/A 18617-2026 FSC-klagomål mail.docx", "A 18617-2026")</f>
        <v/>
      </c>
      <c r="AA150">
        <f>HYPERLINK("https://klasma.github.io/Logging_2039/tillsyn/A 18617-2026 tillsynsbegäran.docx", "A 18617-2026")</f>
        <v/>
      </c>
      <c r="AB150">
        <f>HYPERLINK("https://klasma.github.io/Logging_2039/tillsynsmail/A 18617-2026 tillsynsbegäran mail.docx", "A 18617-2026")</f>
        <v/>
      </c>
    </row>
    <row r="151" ht="15" customHeight="1">
      <c r="A151" t="inlineStr">
        <is>
          <t>A 18839-2024</t>
        </is>
      </c>
      <c r="B151" t="inlineStr">
        <is>
          <t>avverkningsanmälan</t>
        </is>
      </c>
      <c r="C151" t="inlineStr">
        <is>
          <t>Föryngringsavverkning</t>
        </is>
      </c>
      <c r="D151" s="1" t="n">
        <v>45426</v>
      </c>
      <c r="E151" s="1" t="n">
        <v>46217</v>
      </c>
      <c r="F151" t="inlineStr">
        <is>
          <t>DALARNAS LÄN</t>
        </is>
      </c>
      <c r="G151" t="inlineStr">
        <is>
          <t>ÄLVDALEN</t>
        </is>
      </c>
      <c r="H151" t="inlineStr">
        <is>
          <t>Sveaskog</t>
        </is>
      </c>
      <c r="I151" t="n">
        <v>1.3</v>
      </c>
      <c r="J151" t="n">
        <v>0</v>
      </c>
      <c r="K151" t="n">
        <v>0</v>
      </c>
      <c r="L151" t="n">
        <v>3</v>
      </c>
      <c r="M151" t="n">
        <v>0</v>
      </c>
      <c r="N151" t="n">
        <v>0</v>
      </c>
      <c r="O151" t="n">
        <v>0</v>
      </c>
      <c r="P151" t="n">
        <v>0</v>
      </c>
      <c r="Q151" t="n">
        <v>3</v>
      </c>
      <c r="R151" t="n">
        <v>0</v>
      </c>
      <c r="S151" t="n">
        <v>3</v>
      </c>
      <c r="T151" t="n">
        <v>3</v>
      </c>
      <c r="U151" s="2" t="inlineStr">
        <is>
          <t>Dropptaggsvamp
Kolflarnlav
Vedflamlav</t>
        </is>
      </c>
      <c r="V151">
        <f>HYPERLINK("https://klasma.github.io/Logging_2039/artfynd/A 18839-2024 artfynd.xlsx", "A 18839-2024")</f>
        <v/>
      </c>
      <c r="W151">
        <f>HYPERLINK("https://klasma.github.io/Logging_2039/kartor/A 18839-2024 karta.png", "A 18839-2024")</f>
        <v/>
      </c>
      <c r="Y151">
        <f>HYPERLINK("https://klasma.github.io/Logging_2039/klagomål/A 18839-2024 FSC-klagomål.docx", "A 18839-2024")</f>
        <v/>
      </c>
      <c r="Z151">
        <f>HYPERLINK("https://klasma.github.io/Logging_2039/klagomålsmail/A 18839-2024 FSC-klagomål mail.docx", "A 18839-2024")</f>
        <v/>
      </c>
      <c r="AA151">
        <f>HYPERLINK("https://klasma.github.io/Logging_2039/tillsyn/A 18839-2024 tillsynsbegäran.docx", "A 18839-2024")</f>
        <v/>
      </c>
      <c r="AB151">
        <f>HYPERLINK("https://klasma.github.io/Logging_2039/tillsynsmail/A 18839-2024 tillsynsbegäran mail.docx", "A 18839-2024")</f>
        <v/>
      </c>
    </row>
    <row r="152" ht="15" customHeight="1">
      <c r="A152" t="inlineStr">
        <is>
          <t>A 7024-2024</t>
        </is>
      </c>
      <c r="B152" t="inlineStr">
        <is>
          <t>avverkningsanmälan</t>
        </is>
      </c>
      <c r="C152" t="inlineStr">
        <is>
          <t>Föryngringsavverkning</t>
        </is>
      </c>
      <c r="D152" s="1" t="n">
        <v>45343</v>
      </c>
      <c r="E152" s="1" t="n">
        <v>46217</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s="2" t="inlineStr">
        <is>
          <t>Gräddporing
Nordtagging
Vaddporing</t>
        </is>
      </c>
      <c r="V152">
        <f>HYPERLINK("https://klasma.github.io/Logging_2039/artfynd/A 7024-2024 artfynd.xlsx", "A 7024-2024")</f>
        <v/>
      </c>
      <c r="W152">
        <f>HYPERLINK("https://klasma.github.io/Logging_2039/kartor/A 7024-2024 karta.png", "A 7024-2024")</f>
        <v/>
      </c>
      <c r="Y152">
        <f>HYPERLINK("https://klasma.github.io/Logging_2039/klagomål/A 7024-2024 FSC-klagomål.docx", "A 7024-2024")</f>
        <v/>
      </c>
      <c r="Z152">
        <f>HYPERLINK("https://klasma.github.io/Logging_2039/klagomålsmail/A 7024-2024 FSC-klagomål mail.docx", "A 7024-2024")</f>
        <v/>
      </c>
      <c r="AA152">
        <f>HYPERLINK("https://klasma.github.io/Logging_2039/tillsyn/A 7024-2024 tillsynsbegäran.docx", "A 7024-2024")</f>
        <v/>
      </c>
      <c r="AB152">
        <f>HYPERLINK("https://klasma.github.io/Logging_2039/tillsynsmail/A 7024-2024 tillsynsbegäran mail.docx", "A 7024-2024")</f>
        <v/>
      </c>
    </row>
    <row r="153" ht="15" customHeight="1">
      <c r="A153" t="inlineStr">
        <is>
          <t>A 26751-2025</t>
        </is>
      </c>
      <c r="B153" t="inlineStr">
        <is>
          <t>avverkningsanmälan</t>
        </is>
      </c>
      <c r="C153" t="inlineStr">
        <is>
          <t>Föryngringsavverkning</t>
        </is>
      </c>
      <c r="D153" s="1" t="n">
        <v>45810</v>
      </c>
      <c r="E153" s="1" t="n">
        <v>46217</v>
      </c>
      <c r="F153" t="inlineStr">
        <is>
          <t>DALARNAS LÄN</t>
        </is>
      </c>
      <c r="G153" t="inlineStr">
        <is>
          <t>ÄLVDALEN</t>
        </is>
      </c>
      <c r="H153" t="inlineStr">
        <is>
          <t>Allmännings- och besparingsskogar</t>
        </is>
      </c>
      <c r="I153" t="n">
        <v>3.6</v>
      </c>
      <c r="J153" t="n">
        <v>1</v>
      </c>
      <c r="K153" t="n">
        <v>1</v>
      </c>
      <c r="L153" t="n">
        <v>1</v>
      </c>
      <c r="M153" t="n">
        <v>1</v>
      </c>
      <c r="N153" t="n">
        <v>0</v>
      </c>
      <c r="O153" t="n">
        <v>0</v>
      </c>
      <c r="P153" t="n">
        <v>0</v>
      </c>
      <c r="Q153" t="n">
        <v>2</v>
      </c>
      <c r="R153" t="n">
        <v>1</v>
      </c>
      <c r="S153" t="n">
        <v>3</v>
      </c>
      <c r="T153" t="n">
        <v>4</v>
      </c>
      <c r="U153" s="2" t="inlineStr">
        <is>
          <t>Garnlav
Skrovellav
Spindelblomster</t>
        </is>
      </c>
      <c r="V153">
        <f>HYPERLINK("https://klasma.github.io/Logging_2039/artfynd/A 26751-2025 artfynd.xlsx", "A 26751-2025")</f>
        <v/>
      </c>
      <c r="W153">
        <f>HYPERLINK("https://klasma.github.io/Logging_2039/kartor/A 26751-2025 karta.png", "A 26751-2025")</f>
        <v/>
      </c>
      <c r="Y153">
        <f>HYPERLINK("https://klasma.github.io/Logging_2039/klagomål/A 26751-2025 FSC-klagomål.docx", "A 26751-2025")</f>
        <v/>
      </c>
      <c r="Z153">
        <f>HYPERLINK("https://klasma.github.io/Logging_2039/klagomålsmail/A 26751-2025 FSC-klagomål mail.docx", "A 26751-2025")</f>
        <v/>
      </c>
      <c r="AA153">
        <f>HYPERLINK("https://klasma.github.io/Logging_2039/tillsyn/A 26751-2025 tillsynsbegäran.docx", "A 26751-2025")</f>
        <v/>
      </c>
      <c r="AB153">
        <f>HYPERLINK("https://klasma.github.io/Logging_2039/tillsynsmail/A 26751-2025 tillsynsbegäran mail.docx", "A 26751-2025")</f>
        <v/>
      </c>
    </row>
    <row r="154" ht="15" customHeight="1">
      <c r="A154" t="inlineStr">
        <is>
          <t>A 27933-2025</t>
        </is>
      </c>
      <c r="B154" t="inlineStr">
        <is>
          <t>avverkningsanmälan</t>
        </is>
      </c>
      <c r="C154" t="inlineStr">
        <is>
          <t>Föryngringsavverkning</t>
        </is>
      </c>
      <c r="D154" s="1" t="n">
        <v>45817</v>
      </c>
      <c r="E154" s="1" t="n">
        <v>46217</v>
      </c>
      <c r="F154" t="inlineStr">
        <is>
          <t>DALARNAS LÄN</t>
        </is>
      </c>
      <c r="G154" t="inlineStr">
        <is>
          <t>ÄLVDALEN</t>
        </is>
      </c>
      <c r="H154" t="inlineStr">
        <is>
          <t>Sveaskog</t>
        </is>
      </c>
      <c r="I154" t="n">
        <v>2.5</v>
      </c>
      <c r="J154" t="n">
        <v>0</v>
      </c>
      <c r="K154" t="n">
        <v>0</v>
      </c>
      <c r="L154" t="n">
        <v>3</v>
      </c>
      <c r="M154" t="n">
        <v>0</v>
      </c>
      <c r="N154" t="n">
        <v>0</v>
      </c>
      <c r="O154" t="n">
        <v>0</v>
      </c>
      <c r="P154" t="n">
        <v>0</v>
      </c>
      <c r="Q154" t="n">
        <v>3</v>
      </c>
      <c r="R154" t="n">
        <v>0</v>
      </c>
      <c r="S154" t="n">
        <v>3</v>
      </c>
      <c r="T154" t="n">
        <v>3</v>
      </c>
      <c r="U154" s="2" t="inlineStr">
        <is>
          <t>Kolflarnlav
Mörk kolflarnlav
Vedflamlav</t>
        </is>
      </c>
      <c r="V154">
        <f>HYPERLINK("https://klasma.github.io/Logging_2039/artfynd/A 27933-2025 artfynd.xlsx", "A 27933-2025")</f>
        <v/>
      </c>
      <c r="W154">
        <f>HYPERLINK("https://klasma.github.io/Logging_2039/kartor/A 27933-2025 karta.png", "A 27933-2025")</f>
        <v/>
      </c>
      <c r="Y154">
        <f>HYPERLINK("https://klasma.github.io/Logging_2039/klagomål/A 27933-2025 FSC-klagomål.docx", "A 27933-2025")</f>
        <v/>
      </c>
      <c r="Z154">
        <f>HYPERLINK("https://klasma.github.io/Logging_2039/klagomålsmail/A 27933-2025 FSC-klagomål mail.docx", "A 27933-2025")</f>
        <v/>
      </c>
      <c r="AA154">
        <f>HYPERLINK("https://klasma.github.io/Logging_2039/tillsyn/A 27933-2025 tillsynsbegäran.docx", "A 27933-2025")</f>
        <v/>
      </c>
      <c r="AB154">
        <f>HYPERLINK("https://klasma.github.io/Logging_2039/tillsynsmail/A 27933-2025 tillsynsbegäran mail.docx", "A 27933-2025")</f>
        <v/>
      </c>
    </row>
    <row r="155" ht="15" customHeight="1">
      <c r="A155" t="inlineStr">
        <is>
          <t>A 33645-2025</t>
        </is>
      </c>
      <c r="B155" t="inlineStr">
        <is>
          <t>avverkningsanmälan</t>
        </is>
      </c>
      <c r="C155" t="inlineStr">
        <is>
          <t>Avverkning för att bevara och utveckla /försöksver</t>
        </is>
      </c>
      <c r="D155" s="1" t="n">
        <v>45841</v>
      </c>
      <c r="E155" s="1" t="n">
        <v>46217</v>
      </c>
      <c r="F155" t="inlineStr">
        <is>
          <t>DALARNAS LÄN</t>
        </is>
      </c>
      <c r="G155" t="inlineStr">
        <is>
          <t>ÄLVDALEN</t>
        </is>
      </c>
      <c r="H155" t="inlineStr">
        <is>
          <t>Sveaskog</t>
        </is>
      </c>
      <c r="I155" t="n">
        <v>1.6</v>
      </c>
      <c r="J155" t="n">
        <v>0</v>
      </c>
      <c r="K155" t="n">
        <v>0</v>
      </c>
      <c r="L155" t="n">
        <v>3</v>
      </c>
      <c r="M155" t="n">
        <v>0</v>
      </c>
      <c r="N155" t="n">
        <v>0</v>
      </c>
      <c r="O155" t="n">
        <v>0</v>
      </c>
      <c r="P155" t="n">
        <v>0</v>
      </c>
      <c r="Q155" t="n">
        <v>3</v>
      </c>
      <c r="R155" t="n">
        <v>0</v>
      </c>
      <c r="S155" t="n">
        <v>3</v>
      </c>
      <c r="T155" t="n">
        <v>3</v>
      </c>
      <c r="U155" s="2" t="inlineStr">
        <is>
          <t>Dvärgbägarlav
Kolflarnlav
Vedflamlav</t>
        </is>
      </c>
      <c r="V155">
        <f>HYPERLINK("https://klasma.github.io/Logging_2039/artfynd/A 33645-2025 artfynd.xlsx", "A 33645-2025")</f>
        <v/>
      </c>
      <c r="W155">
        <f>HYPERLINK("https://klasma.github.io/Logging_2039/kartor/A 33645-2025 karta.png", "A 33645-2025")</f>
        <v/>
      </c>
      <c r="Y155">
        <f>HYPERLINK("https://klasma.github.io/Logging_2039/klagomål/A 33645-2025 FSC-klagomål.docx", "A 33645-2025")</f>
        <v/>
      </c>
      <c r="Z155">
        <f>HYPERLINK("https://klasma.github.io/Logging_2039/klagomålsmail/A 33645-2025 FSC-klagomål mail.docx", "A 33645-2025")</f>
        <v/>
      </c>
      <c r="AA155">
        <f>HYPERLINK("https://klasma.github.io/Logging_2039/tillsyn/A 33645-2025 tillsynsbegäran.docx", "A 33645-2025")</f>
        <v/>
      </c>
      <c r="AB155">
        <f>HYPERLINK("https://klasma.github.io/Logging_2039/tillsynsmail/A 33645-2025 tillsynsbegäran mail.docx", "A 33645-2025")</f>
        <v/>
      </c>
    </row>
    <row r="156" ht="15" customHeight="1">
      <c r="A156" t="inlineStr">
        <is>
          <t>S 2088-2025</t>
        </is>
      </c>
      <c r="B156" t="inlineStr">
        <is>
          <t>samrådsanmälan</t>
        </is>
      </c>
      <c r="C156" t="inlineStr">
        <is>
          <t>Annan skogsbruksåtgärd</t>
        </is>
      </c>
      <c r="D156" s="1" t="n">
        <v>45841</v>
      </c>
      <c r="E156" s="1" t="n">
        <v>46217</v>
      </c>
      <c r="F156" t="inlineStr">
        <is>
          <t>DALARNAS LÄN</t>
        </is>
      </c>
      <c r="G156" t="inlineStr">
        <is>
          <t>ÄLVDALEN</t>
        </is>
      </c>
      <c r="H156" t="inlineStr">
        <is>
          <t>Sveaskog</t>
        </is>
      </c>
      <c r="I156" t="n">
        <v>1.6</v>
      </c>
      <c r="J156" t="n">
        <v>0</v>
      </c>
      <c r="K156" t="n">
        <v>0</v>
      </c>
      <c r="L156" t="n">
        <v>3</v>
      </c>
      <c r="M156" t="n">
        <v>0</v>
      </c>
      <c r="N156" t="n">
        <v>0</v>
      </c>
      <c r="O156" t="n">
        <v>0</v>
      </c>
      <c r="P156" t="n">
        <v>0</v>
      </c>
      <c r="Q156" t="n">
        <v>3</v>
      </c>
      <c r="R156" t="n">
        <v>0</v>
      </c>
      <c r="S156" t="n">
        <v>3</v>
      </c>
      <c r="T156" t="n">
        <v>3</v>
      </c>
      <c r="U156" s="2" t="inlineStr">
        <is>
          <t>Dvärgbägarlav
Kolflarnlav
Vedflamlav</t>
        </is>
      </c>
      <c r="V156">
        <f>HYPERLINK("https://klasma.github.io/Logging_2039/artfynd/S 2088-2025 artfynd.xlsx", "S 2088-2025")</f>
        <v/>
      </c>
      <c r="W156">
        <f>HYPERLINK("https://klasma.github.io/Logging_2039/kartor/S 2088-2025 karta.png", "S 2088-2025")</f>
        <v/>
      </c>
      <c r="Y156">
        <f>HYPERLINK("https://klasma.github.io/Logging_2039/klagomål/S 2088-2025 FSC-klagomål.docx", "S 2088-2025")</f>
        <v/>
      </c>
      <c r="Z156">
        <f>HYPERLINK("https://klasma.github.io/Logging_2039/klagomålsmail/S 2088-2025 FSC-klagomål mail.docx", "S 2088-2025")</f>
        <v/>
      </c>
      <c r="AA156">
        <f>HYPERLINK("https://klasma.github.io/Logging_2039/tillsyn/S 2088-2025 tillsynsbegäran.docx", "S 2088-2025")</f>
        <v/>
      </c>
      <c r="AB156">
        <f>HYPERLINK("https://klasma.github.io/Logging_2039/tillsynsmail/S 2088-2025 tillsynsbegäran mail.docx", "S 2088-2025")</f>
        <v/>
      </c>
    </row>
    <row r="157" ht="15" customHeight="1">
      <c r="A157" t="inlineStr">
        <is>
          <t>A 67709-2021</t>
        </is>
      </c>
      <c r="B157" t="inlineStr">
        <is>
          <t>avverkningsanmälan</t>
        </is>
      </c>
      <c r="C157" t="inlineStr">
        <is>
          <t>Föryngringsavverkning</t>
        </is>
      </c>
      <c r="D157" s="1" t="n">
        <v>44525</v>
      </c>
      <c r="E157" s="1" t="n">
        <v>46217</v>
      </c>
      <c r="F157" t="inlineStr">
        <is>
          <t>DALARNAS LÄN</t>
        </is>
      </c>
      <c r="G157" t="inlineStr">
        <is>
          <t>ÄLVDALEN</t>
        </is>
      </c>
      <c r="H157" t="inlineStr">
        <is>
          <t>Sveaskog</t>
        </is>
      </c>
      <c r="I157" t="n">
        <v>4.4</v>
      </c>
      <c r="J157" t="n">
        <v>0</v>
      </c>
      <c r="K157" t="n">
        <v>0</v>
      </c>
      <c r="L157" t="n">
        <v>2</v>
      </c>
      <c r="M157" t="n">
        <v>0</v>
      </c>
      <c r="N157" t="n">
        <v>0</v>
      </c>
      <c r="O157" t="n">
        <v>0</v>
      </c>
      <c r="P157" t="n">
        <v>0</v>
      </c>
      <c r="Q157" t="n">
        <v>2</v>
      </c>
      <c r="R157" t="n">
        <v>0</v>
      </c>
      <c r="S157" t="n">
        <v>2</v>
      </c>
      <c r="T157" t="n">
        <v>2</v>
      </c>
      <c r="U157" s="2" t="inlineStr">
        <is>
          <t>Dropptaggsvamp
Skarp dropptaggsvamp</t>
        </is>
      </c>
      <c r="V157">
        <f>HYPERLINK("https://klasma.github.io/Logging_2039/artfynd/A 67709-2021 artfynd.xlsx", "A 67709-2021")</f>
        <v/>
      </c>
      <c r="W157">
        <f>HYPERLINK("https://klasma.github.io/Logging_2039/kartor/A 67709-2021 karta.png", "A 67709-2021")</f>
        <v/>
      </c>
      <c r="Y157">
        <f>HYPERLINK("https://klasma.github.io/Logging_2039/klagomål/A 67709-2021 FSC-klagomål.docx", "A 67709-2021")</f>
        <v/>
      </c>
      <c r="Z157">
        <f>HYPERLINK("https://klasma.github.io/Logging_2039/klagomålsmail/A 67709-2021 FSC-klagomål mail.docx", "A 67709-2021")</f>
        <v/>
      </c>
      <c r="AA157">
        <f>HYPERLINK("https://klasma.github.io/Logging_2039/tillsyn/A 67709-2021 tillsynsbegäran.docx", "A 67709-2021")</f>
        <v/>
      </c>
      <c r="AB157">
        <f>HYPERLINK("https://klasma.github.io/Logging_2039/tillsynsmail/A 67709-2021 tillsynsbegäran mail.docx", "A 67709-2021")</f>
        <v/>
      </c>
    </row>
    <row r="158" ht="15" customHeight="1">
      <c r="A158" t="inlineStr">
        <is>
          <t>A 52490-2022</t>
        </is>
      </c>
      <c r="B158" t="inlineStr">
        <is>
          <t>avverkningsanmälan</t>
        </is>
      </c>
      <c r="C158" t="inlineStr">
        <is>
          <t>Föryngringsavverkning</t>
        </is>
      </c>
      <c r="D158" s="1" t="n">
        <v>44874</v>
      </c>
      <c r="E158" s="1" t="n">
        <v>46217</v>
      </c>
      <c r="F158" t="inlineStr">
        <is>
          <t>DALARNAS LÄN</t>
        </is>
      </c>
      <c r="G158" t="inlineStr">
        <is>
          <t>ÄLVDALEN</t>
        </is>
      </c>
      <c r="I158" t="n">
        <v>4.3</v>
      </c>
      <c r="J158" t="n">
        <v>0</v>
      </c>
      <c r="K158" t="n">
        <v>0</v>
      </c>
      <c r="L158" t="n">
        <v>1</v>
      </c>
      <c r="M158" t="n">
        <v>1</v>
      </c>
      <c r="N158" t="n">
        <v>0</v>
      </c>
      <c r="O158" t="n">
        <v>0</v>
      </c>
      <c r="P158" t="n">
        <v>0</v>
      </c>
      <c r="Q158" t="n">
        <v>2</v>
      </c>
      <c r="R158" t="n">
        <v>1</v>
      </c>
      <c r="S158" t="n">
        <v>2</v>
      </c>
      <c r="T158" t="n">
        <v>2</v>
      </c>
      <c r="U158" s="2" t="inlineStr">
        <is>
          <t>Garnlav
Dropptaggsvamp</t>
        </is>
      </c>
      <c r="V158">
        <f>HYPERLINK("https://klasma.github.io/Logging_2039/artfynd/A 52490-2022 artfynd.xlsx", "A 52490-2022")</f>
        <v/>
      </c>
      <c r="W158">
        <f>HYPERLINK("https://klasma.github.io/Logging_2039/kartor/A 52490-2022 karta.png", "A 52490-2022")</f>
        <v/>
      </c>
      <c r="Y158">
        <f>HYPERLINK("https://klasma.github.io/Logging_2039/klagomål/A 52490-2022 FSC-klagomål.docx", "A 52490-2022")</f>
        <v/>
      </c>
      <c r="Z158">
        <f>HYPERLINK("https://klasma.github.io/Logging_2039/klagomålsmail/A 52490-2022 FSC-klagomål mail.docx", "A 52490-2022")</f>
        <v/>
      </c>
      <c r="AA158">
        <f>HYPERLINK("https://klasma.github.io/Logging_2039/tillsyn/A 52490-2022 tillsynsbegäran.docx", "A 52490-2022")</f>
        <v/>
      </c>
      <c r="AB158">
        <f>HYPERLINK("https://klasma.github.io/Logging_2039/tillsynsmail/A 52490-2022 tillsynsbegäran mail.docx", "A 52490-2022")</f>
        <v/>
      </c>
    </row>
    <row r="159" ht="15" customHeight="1">
      <c r="A159" t="inlineStr">
        <is>
          <t>A 25520-2026</t>
        </is>
      </c>
      <c r="B159" t="inlineStr">
        <is>
          <t>avverkningsanmälan</t>
        </is>
      </c>
      <c r="C159" t="inlineStr">
        <is>
          <t>Föryngringsavverkning</t>
        </is>
      </c>
      <c r="D159" s="1" t="n">
        <v>46177</v>
      </c>
      <c r="E159" s="1" t="n">
        <v>46217</v>
      </c>
      <c r="F159" t="inlineStr">
        <is>
          <t>DALARNAS LÄN</t>
        </is>
      </c>
      <c r="G159" t="inlineStr">
        <is>
          <t>ÄLVDALEN</t>
        </is>
      </c>
      <c r="H159" t="inlineStr">
        <is>
          <t>Sveaskog</t>
        </is>
      </c>
      <c r="I159" t="n">
        <v>3.9</v>
      </c>
      <c r="J159" t="n">
        <v>0</v>
      </c>
      <c r="K159" t="n">
        <v>0</v>
      </c>
      <c r="L159" t="n">
        <v>2</v>
      </c>
      <c r="M159" t="n">
        <v>0</v>
      </c>
      <c r="N159" t="n">
        <v>0</v>
      </c>
      <c r="O159" t="n">
        <v>0</v>
      </c>
      <c r="P159" t="n">
        <v>0</v>
      </c>
      <c r="Q159" t="n">
        <v>2</v>
      </c>
      <c r="R159" t="n">
        <v>0</v>
      </c>
      <c r="S159" t="n">
        <v>2</v>
      </c>
      <c r="T159" t="n">
        <v>2</v>
      </c>
      <c r="U159" s="2" t="inlineStr">
        <is>
          <t>Kolflarnlav
Mörk kolflarnlav</t>
        </is>
      </c>
      <c r="V159">
        <f>HYPERLINK("https://klasma.github.io/Logging_2039/artfynd/A 25520-2026 artfynd.xlsx", "A 25520-2026")</f>
        <v/>
      </c>
      <c r="W159">
        <f>HYPERLINK("https://klasma.github.io/Logging_2039/kartor/A 25520-2026 karta.png", "A 25520-2026")</f>
        <v/>
      </c>
      <c r="Y159">
        <f>HYPERLINK("https://klasma.github.io/Logging_2039/klagomål/A 25520-2026 FSC-klagomål.docx", "A 25520-2026")</f>
        <v/>
      </c>
      <c r="Z159">
        <f>HYPERLINK("https://klasma.github.io/Logging_2039/klagomålsmail/A 25520-2026 FSC-klagomål mail.docx", "A 25520-2026")</f>
        <v/>
      </c>
      <c r="AA159">
        <f>HYPERLINK("https://klasma.github.io/Logging_2039/tillsyn/A 25520-2026 tillsynsbegäran.docx", "A 25520-2026")</f>
        <v/>
      </c>
      <c r="AB159">
        <f>HYPERLINK("https://klasma.github.io/Logging_2039/tillsynsmail/A 25520-2026 tillsynsbegäran mail.docx", "A 25520-2026")</f>
        <v/>
      </c>
    </row>
    <row r="160" ht="15" customHeight="1">
      <c r="A160" t="inlineStr">
        <is>
          <t>A 54632-2021</t>
        </is>
      </c>
      <c r="B160" t="inlineStr">
        <is>
          <t>avverkningsanmälan</t>
        </is>
      </c>
      <c r="C160" t="inlineStr">
        <is>
          <t>Föryngringsavverkning</t>
        </is>
      </c>
      <c r="D160" s="1" t="n">
        <v>44473</v>
      </c>
      <c r="E160" s="1" t="n">
        <v>46217</v>
      </c>
      <c r="F160" t="inlineStr">
        <is>
          <t>DALARNAS LÄN</t>
        </is>
      </c>
      <c r="G160" t="inlineStr">
        <is>
          <t>ÄLVDALEN</t>
        </is>
      </c>
      <c r="I160" t="n">
        <v>4.3</v>
      </c>
      <c r="J160" t="n">
        <v>1</v>
      </c>
      <c r="K160" t="n">
        <v>0</v>
      </c>
      <c r="L160" t="n">
        <v>2</v>
      </c>
      <c r="M160" t="n">
        <v>0</v>
      </c>
      <c r="N160" t="n">
        <v>0</v>
      </c>
      <c r="O160" t="n">
        <v>0</v>
      </c>
      <c r="P160" t="n">
        <v>0</v>
      </c>
      <c r="Q160" t="n">
        <v>2</v>
      </c>
      <c r="R160" t="n">
        <v>0</v>
      </c>
      <c r="S160" t="n">
        <v>2</v>
      </c>
      <c r="T160" t="n">
        <v>2</v>
      </c>
      <c r="U160" s="2" t="inlineStr">
        <is>
          <t>Varglav
Vedflamlav</t>
        </is>
      </c>
      <c r="V160">
        <f>HYPERLINK("https://klasma.github.io/Logging_2039/artfynd/A 54632-2021 artfynd.xlsx", "A 54632-2021")</f>
        <v/>
      </c>
      <c r="W160">
        <f>HYPERLINK("https://klasma.github.io/Logging_2039/kartor/A 54632-2021 karta.png", "A 54632-2021")</f>
        <v/>
      </c>
      <c r="Y160">
        <f>HYPERLINK("https://klasma.github.io/Logging_2039/klagomål/A 54632-2021 FSC-klagomål.docx", "A 54632-2021")</f>
        <v/>
      </c>
      <c r="Z160">
        <f>HYPERLINK("https://klasma.github.io/Logging_2039/klagomålsmail/A 54632-2021 FSC-klagomål mail.docx", "A 54632-2021")</f>
        <v/>
      </c>
      <c r="AA160">
        <f>HYPERLINK("https://klasma.github.io/Logging_2039/tillsyn/A 54632-2021 tillsynsbegäran.docx", "A 54632-2021")</f>
        <v/>
      </c>
      <c r="AB160">
        <f>HYPERLINK("https://klasma.github.io/Logging_2039/tillsynsmail/A 54632-2021 tillsynsbegäran mail.docx", "A 54632-2021")</f>
        <v/>
      </c>
    </row>
    <row r="161" ht="15" customHeight="1">
      <c r="A161" t="inlineStr">
        <is>
          <t>A 40461-2025</t>
        </is>
      </c>
      <c r="B161" t="inlineStr">
        <is>
          <t>avverkningsanmälan</t>
        </is>
      </c>
      <c r="C161" t="inlineStr">
        <is>
          <t>Föryngringsavverkning</t>
        </is>
      </c>
      <c r="D161" s="1" t="n">
        <v>45895</v>
      </c>
      <c r="E161" s="1" t="n">
        <v>46217</v>
      </c>
      <c r="F161" t="inlineStr">
        <is>
          <t>DALARNAS LÄN</t>
        </is>
      </c>
      <c r="G161" t="inlineStr">
        <is>
          <t>ÄLVDALEN</t>
        </is>
      </c>
      <c r="I161" t="n">
        <v>3.1</v>
      </c>
      <c r="J161" t="n">
        <v>2</v>
      </c>
      <c r="K161" t="n">
        <v>0</v>
      </c>
      <c r="L161" t="n">
        <v>1</v>
      </c>
      <c r="M161" t="n">
        <v>0</v>
      </c>
      <c r="N161" t="n">
        <v>0</v>
      </c>
      <c r="O161" t="n">
        <v>0</v>
      </c>
      <c r="P161" t="n">
        <v>0</v>
      </c>
      <c r="Q161" t="n">
        <v>1</v>
      </c>
      <c r="R161" t="n">
        <v>0</v>
      </c>
      <c r="S161" t="n">
        <v>2</v>
      </c>
      <c r="T161" t="n">
        <v>2</v>
      </c>
      <c r="U161" s="2" t="inlineStr">
        <is>
          <t>Talltita
Kungsfågel</t>
        </is>
      </c>
      <c r="V161">
        <f>HYPERLINK("https://klasma.github.io/Logging_2039/artfynd/A 40461-2025 artfynd.xlsx", "A 40461-2025")</f>
        <v/>
      </c>
      <c r="W161">
        <f>HYPERLINK("https://klasma.github.io/Logging_2039/kartor/A 40461-2025 karta.png", "A 40461-2025")</f>
        <v/>
      </c>
      <c r="Y161">
        <f>HYPERLINK("https://klasma.github.io/Logging_2039/klagomål/A 40461-2025 FSC-klagomål.docx", "A 40461-2025")</f>
        <v/>
      </c>
      <c r="Z161">
        <f>HYPERLINK("https://klasma.github.io/Logging_2039/klagomålsmail/A 40461-2025 FSC-klagomål mail.docx", "A 40461-2025")</f>
        <v/>
      </c>
      <c r="AA161">
        <f>HYPERLINK("https://klasma.github.io/Logging_2039/tillsyn/A 40461-2025 tillsynsbegäran.docx", "A 40461-2025")</f>
        <v/>
      </c>
      <c r="AB161">
        <f>HYPERLINK("https://klasma.github.io/Logging_2039/tillsynsmail/A 40461-2025 tillsynsbegäran mail.docx", "A 40461-2025")</f>
        <v/>
      </c>
      <c r="AC161">
        <f>HYPERLINK("https://klasma.github.io/Logging_2039/fåglar/A 40461-2025 prioriterade fågelarter.docx", "A 40461-2025")</f>
        <v/>
      </c>
    </row>
    <row r="162" ht="15" customHeight="1">
      <c r="A162" t="inlineStr">
        <is>
          <t>A 55225-2025</t>
        </is>
      </c>
      <c r="B162" t="inlineStr">
        <is>
          <t>avverkningsanmälan</t>
        </is>
      </c>
      <c r="C162" t="inlineStr">
        <is>
          <t>Föryngringsavverkning</t>
        </is>
      </c>
      <c r="D162" s="1" t="n">
        <v>45968</v>
      </c>
      <c r="E162" s="1" t="n">
        <v>46217</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s="2" t="inlineStr">
        <is>
          <t>Dvärgbägarlav
Kolflarnlav</t>
        </is>
      </c>
      <c r="V162">
        <f>HYPERLINK("https://klasma.github.io/Logging_2039/artfynd/A 55225-2025 artfynd.xlsx", "A 55225-2025")</f>
        <v/>
      </c>
      <c r="W162">
        <f>HYPERLINK("https://klasma.github.io/Logging_2039/kartor/A 55225-2025 karta.png", "A 55225-2025")</f>
        <v/>
      </c>
      <c r="Y162">
        <f>HYPERLINK("https://klasma.github.io/Logging_2039/klagomål/A 55225-2025 FSC-klagomål.docx", "A 55225-2025")</f>
        <v/>
      </c>
      <c r="Z162">
        <f>HYPERLINK("https://klasma.github.io/Logging_2039/klagomålsmail/A 55225-2025 FSC-klagomål mail.docx", "A 55225-2025")</f>
        <v/>
      </c>
      <c r="AA162">
        <f>HYPERLINK("https://klasma.github.io/Logging_2039/tillsyn/A 55225-2025 tillsynsbegäran.docx", "A 55225-2025")</f>
        <v/>
      </c>
      <c r="AB162">
        <f>HYPERLINK("https://klasma.github.io/Logging_2039/tillsynsmail/A 55225-2025 tillsynsbegäran mail.docx", "A 55225-2025")</f>
        <v/>
      </c>
    </row>
    <row r="163" ht="15" customHeight="1">
      <c r="A163" t="inlineStr">
        <is>
          <t>A 55227-2025</t>
        </is>
      </c>
      <c r="B163" t="inlineStr">
        <is>
          <t>avverkningsanmälan</t>
        </is>
      </c>
      <c r="C163" t="inlineStr">
        <is>
          <t>Föryngringsavverkning</t>
        </is>
      </c>
      <c r="D163" s="1" t="n">
        <v>45968</v>
      </c>
      <c r="E163" s="1" t="n">
        <v>46217</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s="2" t="inlineStr">
        <is>
          <t>Kolflarnlav
Vedflamlav</t>
        </is>
      </c>
      <c r="V163">
        <f>HYPERLINK("https://klasma.github.io/Logging_2039/artfynd/A 55227-2025 artfynd.xlsx", "A 55227-2025")</f>
        <v/>
      </c>
      <c r="W163">
        <f>HYPERLINK("https://klasma.github.io/Logging_2039/kartor/A 55227-2025 karta.png", "A 55227-2025")</f>
        <v/>
      </c>
      <c r="Y163">
        <f>HYPERLINK("https://klasma.github.io/Logging_2039/klagomål/A 55227-2025 FSC-klagomål.docx", "A 55227-2025")</f>
        <v/>
      </c>
      <c r="Z163">
        <f>HYPERLINK("https://klasma.github.io/Logging_2039/klagomålsmail/A 55227-2025 FSC-klagomål mail.docx", "A 55227-2025")</f>
        <v/>
      </c>
      <c r="AA163">
        <f>HYPERLINK("https://klasma.github.io/Logging_2039/tillsyn/A 55227-2025 tillsynsbegäran.docx", "A 55227-2025")</f>
        <v/>
      </c>
      <c r="AB163">
        <f>HYPERLINK("https://klasma.github.io/Logging_2039/tillsynsmail/A 55227-2025 tillsynsbegäran mail.docx", "A 55227-2025")</f>
        <v/>
      </c>
    </row>
    <row r="164" ht="15" customHeight="1">
      <c r="A164" t="inlineStr">
        <is>
          <t>A 28970-2026</t>
        </is>
      </c>
      <c r="B164" t="inlineStr">
        <is>
          <t>avverkningsanmälan</t>
        </is>
      </c>
      <c r="C164" t="inlineStr">
        <is>
          <t>Avverkning för annat ändamål</t>
        </is>
      </c>
      <c r="D164" s="1" t="n">
        <v>46196</v>
      </c>
      <c r="E164" s="1" t="n">
        <v>46217</v>
      </c>
      <c r="F164" t="inlineStr">
        <is>
          <t>DALARNAS LÄN</t>
        </is>
      </c>
      <c r="G164" t="inlineStr">
        <is>
          <t>ÄLVDALEN</t>
        </is>
      </c>
      <c r="H164" t="inlineStr">
        <is>
          <t>Allmännings- och besparingsskogar</t>
        </is>
      </c>
      <c r="I164" t="n">
        <v>0.1</v>
      </c>
      <c r="J164" t="n">
        <v>0</v>
      </c>
      <c r="K164" t="n">
        <v>0</v>
      </c>
      <c r="L164" t="n">
        <v>2</v>
      </c>
      <c r="M164" t="n">
        <v>0</v>
      </c>
      <c r="N164" t="n">
        <v>0</v>
      </c>
      <c r="O164" t="n">
        <v>0</v>
      </c>
      <c r="P164" t="n">
        <v>0</v>
      </c>
      <c r="Q164" t="n">
        <v>2</v>
      </c>
      <c r="R164" t="n">
        <v>0</v>
      </c>
      <c r="S164" t="n">
        <v>2</v>
      </c>
      <c r="T164" t="n">
        <v>2</v>
      </c>
      <c r="U164" s="2" t="inlineStr">
        <is>
          <t>Mörk kolflarnlav
Nordtagging</t>
        </is>
      </c>
      <c r="V164">
        <f>HYPERLINK("https://klasma.github.io/Logging_2039/artfynd/A 28970-2026 artfynd.xlsx", "A 28970-2026")</f>
        <v/>
      </c>
      <c r="W164">
        <f>HYPERLINK("https://klasma.github.io/Logging_2039/kartor/A 28970-2026 karta.png", "A 28970-2026")</f>
        <v/>
      </c>
      <c r="Y164">
        <f>HYPERLINK("https://klasma.github.io/Logging_2039/klagomål/A 28970-2026 FSC-klagomål.docx", "A 28970-2026")</f>
        <v/>
      </c>
      <c r="Z164">
        <f>HYPERLINK("https://klasma.github.io/Logging_2039/klagomålsmail/A 28970-2026 FSC-klagomål mail.docx", "A 28970-2026")</f>
        <v/>
      </c>
      <c r="AA164">
        <f>HYPERLINK("https://klasma.github.io/Logging_2039/tillsyn/A 28970-2026 tillsynsbegäran.docx", "A 28970-2026")</f>
        <v/>
      </c>
      <c r="AB164">
        <f>HYPERLINK("https://klasma.github.io/Logging_2039/tillsynsmail/A 28970-2026 tillsynsbegäran mail.docx", "A 28970-2026")</f>
        <v/>
      </c>
    </row>
    <row r="165" ht="15" customHeight="1">
      <c r="A165" t="inlineStr">
        <is>
          <t>A 21629-2022</t>
        </is>
      </c>
      <c r="B165" t="inlineStr">
        <is>
          <t>avverkningsanmälan</t>
        </is>
      </c>
      <c r="C165" t="inlineStr">
        <is>
          <t>Föryngringsavverkning</t>
        </is>
      </c>
      <c r="D165" s="1" t="n">
        <v>44706</v>
      </c>
      <c r="E165" s="1" t="n">
        <v>46217</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s="2" t="inlineStr">
        <is>
          <t>Vitgrynig nållav
Kransrams</t>
        </is>
      </c>
      <c r="V165">
        <f>HYPERLINK("https://klasma.github.io/Logging_2039/artfynd/A 21629-2022 artfynd.xlsx", "A 21629-2022")</f>
        <v/>
      </c>
      <c r="W165">
        <f>HYPERLINK("https://klasma.github.io/Logging_2039/kartor/A 21629-2022 karta.png", "A 21629-2022")</f>
        <v/>
      </c>
      <c r="Y165">
        <f>HYPERLINK("https://klasma.github.io/Logging_2039/klagomål/A 21629-2022 FSC-klagomål.docx", "A 21629-2022")</f>
        <v/>
      </c>
      <c r="Z165">
        <f>HYPERLINK("https://klasma.github.io/Logging_2039/klagomålsmail/A 21629-2022 FSC-klagomål mail.docx", "A 21629-2022")</f>
        <v/>
      </c>
      <c r="AA165">
        <f>HYPERLINK("https://klasma.github.io/Logging_2039/tillsyn/A 21629-2022 tillsynsbegäran.docx", "A 21629-2022")</f>
        <v/>
      </c>
      <c r="AB165">
        <f>HYPERLINK("https://klasma.github.io/Logging_2039/tillsynsmail/A 21629-2022 tillsynsbegäran mail.docx", "A 21629-2022")</f>
        <v/>
      </c>
    </row>
    <row r="166" ht="15" customHeight="1">
      <c r="A166" t="inlineStr">
        <is>
          <t>A 30102-2026</t>
        </is>
      </c>
      <c r="B166" t="inlineStr">
        <is>
          <t>avverkningsanmälan</t>
        </is>
      </c>
      <c r="C166" t="inlineStr">
        <is>
          <t>Föryngringsavverkning</t>
        </is>
      </c>
      <c r="D166" s="1" t="n">
        <v>46206</v>
      </c>
      <c r="E166" s="1" t="n">
        <v>46217</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s="2" t="inlineStr">
        <is>
          <t>Kolflarnlav
Mörk kolflarnlav</t>
        </is>
      </c>
      <c r="V166">
        <f>HYPERLINK("https://klasma.github.io/Logging_2039/artfynd/A 30102-2026 artfynd.xlsx", "A 30102-2026")</f>
        <v/>
      </c>
      <c r="W166">
        <f>HYPERLINK("https://klasma.github.io/Logging_2039/kartor/A 30102-2026 karta.png", "A 30102-2026")</f>
        <v/>
      </c>
      <c r="Y166">
        <f>HYPERLINK("https://klasma.github.io/Logging_2039/klagomål/A 30102-2026 FSC-klagomål.docx", "A 30102-2026")</f>
        <v/>
      </c>
      <c r="Z166">
        <f>HYPERLINK("https://klasma.github.io/Logging_2039/klagomålsmail/A 30102-2026 FSC-klagomål mail.docx", "A 30102-2026")</f>
        <v/>
      </c>
      <c r="AA166">
        <f>HYPERLINK("https://klasma.github.io/Logging_2039/tillsyn/A 30102-2026 tillsynsbegäran.docx", "A 30102-2026")</f>
        <v/>
      </c>
      <c r="AB166">
        <f>HYPERLINK("https://klasma.github.io/Logging_2039/tillsynsmail/A 30102-2026 tillsynsbegäran mail.docx", "A 30102-2026")</f>
        <v/>
      </c>
    </row>
    <row r="167" ht="15" customHeight="1">
      <c r="A167" t="inlineStr">
        <is>
          <t>A 45202-2024</t>
        </is>
      </c>
      <c r="B167" t="inlineStr">
        <is>
          <t>avverkningsanmälan</t>
        </is>
      </c>
      <c r="C167" t="inlineStr">
        <is>
          <t>Föryngringsavverkning</t>
        </is>
      </c>
      <c r="D167" s="1" t="n">
        <v>45575</v>
      </c>
      <c r="E167" s="1" t="n">
        <v>46217</v>
      </c>
      <c r="F167" t="inlineStr">
        <is>
          <t>DALARNAS LÄN</t>
        </is>
      </c>
      <c r="G167" t="inlineStr">
        <is>
          <t>ÄLVDALEN</t>
        </is>
      </c>
      <c r="I167" t="n">
        <v>183</v>
      </c>
      <c r="J167" t="n">
        <v>2</v>
      </c>
      <c r="K167" t="n">
        <v>0</v>
      </c>
      <c r="L167" t="n">
        <v>2</v>
      </c>
      <c r="M167" t="n">
        <v>0</v>
      </c>
      <c r="N167" t="n">
        <v>0</v>
      </c>
      <c r="O167" t="n">
        <v>0</v>
      </c>
      <c r="P167" t="n">
        <v>0</v>
      </c>
      <c r="Q167" t="n">
        <v>2</v>
      </c>
      <c r="R167" t="n">
        <v>0</v>
      </c>
      <c r="S167" t="n">
        <v>2</v>
      </c>
      <c r="T167" t="n">
        <v>2</v>
      </c>
      <c r="U167" s="2" t="inlineStr">
        <is>
          <t>Lavskrika
Tretåig hackspett</t>
        </is>
      </c>
      <c r="V167">
        <f>HYPERLINK("https://klasma.github.io/Logging_2039/artfynd/A 45202-2024 artfynd.xlsx", "A 45202-2024")</f>
        <v/>
      </c>
      <c r="W167">
        <f>HYPERLINK("https://klasma.github.io/Logging_2039/kartor/A 45202-2024 karta.png", "A 45202-2024")</f>
        <v/>
      </c>
      <c r="Y167">
        <f>HYPERLINK("https://klasma.github.io/Logging_2039/klagomål/A 45202-2024 FSC-klagomål.docx", "A 45202-2024")</f>
        <v/>
      </c>
      <c r="Z167">
        <f>HYPERLINK("https://klasma.github.io/Logging_2039/klagomålsmail/A 45202-2024 FSC-klagomål mail.docx", "A 45202-2024")</f>
        <v/>
      </c>
      <c r="AA167">
        <f>HYPERLINK("https://klasma.github.io/Logging_2039/tillsyn/A 45202-2024 tillsynsbegäran.docx", "A 45202-2024")</f>
        <v/>
      </c>
      <c r="AB167">
        <f>HYPERLINK("https://klasma.github.io/Logging_2039/tillsynsmail/A 45202-2024 tillsynsbegäran mail.docx", "A 45202-2024")</f>
        <v/>
      </c>
      <c r="AC167">
        <f>HYPERLINK("https://klasma.github.io/Logging_2039/fåglar/A 45202-2024 prioriterade fågelarter.docx", "A 45202-2024")</f>
        <v/>
      </c>
    </row>
    <row r="168" ht="15" customHeight="1">
      <c r="A168" t="inlineStr">
        <is>
          <t>A 45201-2024</t>
        </is>
      </c>
      <c r="B168" t="inlineStr">
        <is>
          <t>avverkningsanmälan</t>
        </is>
      </c>
      <c r="C168" t="inlineStr">
        <is>
          <t>Föryngringsavverkning</t>
        </is>
      </c>
      <c r="D168" s="1" t="n">
        <v>45575</v>
      </c>
      <c r="E168" s="1" t="n">
        <v>46217</v>
      </c>
      <c r="F168" t="inlineStr">
        <is>
          <t>DALARNAS LÄN</t>
        </is>
      </c>
      <c r="G168" t="inlineStr">
        <is>
          <t>ÄLVDALEN</t>
        </is>
      </c>
      <c r="I168" t="n">
        <v>24.5</v>
      </c>
      <c r="J168" t="n">
        <v>2</v>
      </c>
      <c r="K168" t="n">
        <v>0</v>
      </c>
      <c r="L168" t="n">
        <v>1</v>
      </c>
      <c r="M168" t="n">
        <v>0</v>
      </c>
      <c r="N168" t="n">
        <v>0</v>
      </c>
      <c r="O168" t="n">
        <v>0</v>
      </c>
      <c r="P168" t="n">
        <v>0</v>
      </c>
      <c r="Q168" t="n">
        <v>1</v>
      </c>
      <c r="R168" t="n">
        <v>0</v>
      </c>
      <c r="S168" t="n">
        <v>2</v>
      </c>
      <c r="T168" t="n">
        <v>7</v>
      </c>
      <c r="U168" s="2" t="inlineStr">
        <is>
          <t>Varglav
Tjäder</t>
        </is>
      </c>
      <c r="V168">
        <f>HYPERLINK("https://klasma.github.io/Logging_2039/artfynd/A 45201-2024 artfynd.xlsx", "A 45201-2024")</f>
        <v/>
      </c>
      <c r="W168">
        <f>HYPERLINK("https://klasma.github.io/Logging_2039/kartor/A 45201-2024 karta.png", "A 45201-2024")</f>
        <v/>
      </c>
      <c r="Y168">
        <f>HYPERLINK("https://klasma.github.io/Logging_2039/klagomål/A 45201-2024 FSC-klagomål.docx", "A 45201-2024")</f>
        <v/>
      </c>
      <c r="Z168">
        <f>HYPERLINK("https://klasma.github.io/Logging_2039/klagomålsmail/A 45201-2024 FSC-klagomål mail.docx", "A 45201-2024")</f>
        <v/>
      </c>
      <c r="AA168">
        <f>HYPERLINK("https://klasma.github.io/Logging_2039/tillsyn/A 45201-2024 tillsynsbegäran.docx", "A 45201-2024")</f>
        <v/>
      </c>
      <c r="AB168">
        <f>HYPERLINK("https://klasma.github.io/Logging_2039/tillsynsmail/A 45201-2024 tillsynsbegäran mail.docx", "A 45201-2024")</f>
        <v/>
      </c>
      <c r="AC168">
        <f>HYPERLINK("https://klasma.github.io/Logging_2039/fåglar/A 45201-2024 prioriterade fågelarter.docx", "A 45201-2024")</f>
        <v/>
      </c>
    </row>
    <row r="169" ht="15" customHeight="1">
      <c r="A169" t="inlineStr">
        <is>
          <t>A 17672-2026</t>
        </is>
      </c>
      <c r="B169" t="inlineStr">
        <is>
          <t>avverkningsanmälan</t>
        </is>
      </c>
      <c r="C169" t="inlineStr">
        <is>
          <t>Avverkning för annat ändamål</t>
        </is>
      </c>
      <c r="D169" s="1" t="n">
        <v>46121</v>
      </c>
      <c r="E169" s="1" t="n">
        <v>46217</v>
      </c>
      <c r="F169" t="inlineStr">
        <is>
          <t>DALARNAS LÄN</t>
        </is>
      </c>
      <c r="G169" t="inlineStr">
        <is>
          <t>ÄLVDALEN</t>
        </is>
      </c>
      <c r="H169" t="inlineStr">
        <is>
          <t>Allmännings- och besparingsskogar</t>
        </is>
      </c>
      <c r="I169" t="n">
        <v>0.2</v>
      </c>
      <c r="J169" t="n">
        <v>1</v>
      </c>
      <c r="K169" t="n">
        <v>0</v>
      </c>
      <c r="L169" t="n">
        <v>1</v>
      </c>
      <c r="M169" t="n">
        <v>0</v>
      </c>
      <c r="N169" t="n">
        <v>0</v>
      </c>
      <c r="O169" t="n">
        <v>0</v>
      </c>
      <c r="P169" t="n">
        <v>0</v>
      </c>
      <c r="Q169" t="n">
        <v>1</v>
      </c>
      <c r="R169" t="n">
        <v>0</v>
      </c>
      <c r="S169" t="n">
        <v>2</v>
      </c>
      <c r="T169" t="n">
        <v>2</v>
      </c>
      <c r="U169" s="2" t="inlineStr">
        <is>
          <t>Vedskivlav
Orre</t>
        </is>
      </c>
      <c r="V169">
        <f>HYPERLINK("https://klasma.github.io/Logging_2039/artfynd/A 17672-2026 artfynd.xlsx", "A 17672-2026")</f>
        <v/>
      </c>
      <c r="W169">
        <f>HYPERLINK("https://klasma.github.io/Logging_2039/kartor/A 17672-2026 karta.png", "A 17672-2026")</f>
        <v/>
      </c>
      <c r="Y169">
        <f>HYPERLINK("https://klasma.github.io/Logging_2039/klagomål/A 17672-2026 FSC-klagomål.docx", "A 17672-2026")</f>
        <v/>
      </c>
      <c r="Z169">
        <f>HYPERLINK("https://klasma.github.io/Logging_2039/klagomålsmail/A 17672-2026 FSC-klagomål mail.docx", "A 17672-2026")</f>
        <v/>
      </c>
      <c r="AA169">
        <f>HYPERLINK("https://klasma.github.io/Logging_2039/tillsyn/A 17672-2026 tillsynsbegäran.docx", "A 17672-2026")</f>
        <v/>
      </c>
      <c r="AB169">
        <f>HYPERLINK("https://klasma.github.io/Logging_2039/tillsynsmail/A 17672-2026 tillsynsbegäran mail.docx", "A 17672-2026")</f>
        <v/>
      </c>
      <c r="AC169">
        <f>HYPERLINK("https://klasma.github.io/Logging_2039/fåglar/A 17672-2026 prioriterade fågelarter.docx", "A 17672-2026")</f>
        <v/>
      </c>
    </row>
    <row r="170" ht="15" customHeight="1">
      <c r="A170" t="inlineStr">
        <is>
          <t>A 30691-2024</t>
        </is>
      </c>
      <c r="B170" t="inlineStr">
        <is>
          <t>avverkningsanmälan</t>
        </is>
      </c>
      <c r="C170" t="inlineStr">
        <is>
          <t>Föryngringsavverkning</t>
        </is>
      </c>
      <c r="D170" s="1" t="n">
        <v>45496</v>
      </c>
      <c r="E170" s="1" t="n">
        <v>46217</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s="2" t="inlineStr">
        <is>
          <t>Dropptaggsvamp
Nordtagging</t>
        </is>
      </c>
      <c r="V170">
        <f>HYPERLINK("https://klasma.github.io/Logging_2039/artfynd/A 30691-2024 artfynd.xlsx", "A 30691-2024")</f>
        <v/>
      </c>
      <c r="W170">
        <f>HYPERLINK("https://klasma.github.io/Logging_2039/kartor/A 30691-2024 karta.png", "A 30691-2024")</f>
        <v/>
      </c>
      <c r="Y170">
        <f>HYPERLINK("https://klasma.github.io/Logging_2039/klagomål/A 30691-2024 FSC-klagomål.docx", "A 30691-2024")</f>
        <v/>
      </c>
      <c r="Z170">
        <f>HYPERLINK("https://klasma.github.io/Logging_2039/klagomålsmail/A 30691-2024 FSC-klagomål mail.docx", "A 30691-2024")</f>
        <v/>
      </c>
      <c r="AA170">
        <f>HYPERLINK("https://klasma.github.io/Logging_2039/tillsyn/A 30691-2024 tillsynsbegäran.docx", "A 30691-2024")</f>
        <v/>
      </c>
      <c r="AB170">
        <f>HYPERLINK("https://klasma.github.io/Logging_2039/tillsynsmail/A 30691-2024 tillsynsbegäran mail.docx", "A 30691-2024")</f>
        <v/>
      </c>
    </row>
    <row r="171" ht="15" customHeight="1">
      <c r="A171" t="inlineStr">
        <is>
          <t>A 15760-2024</t>
        </is>
      </c>
      <c r="B171" t="inlineStr">
        <is>
          <t>avverkningsanmälan</t>
        </is>
      </c>
      <c r="C171" t="inlineStr">
        <is>
          <t>Föryngringsavverkning</t>
        </is>
      </c>
      <c r="D171" s="1" t="n">
        <v>45404</v>
      </c>
      <c r="E171" s="1" t="n">
        <v>46217</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s="2" t="inlineStr">
        <is>
          <t>Garnlav
Kolflarnlav</t>
        </is>
      </c>
      <c r="V171">
        <f>HYPERLINK("https://klasma.github.io/Logging_2039/artfynd/A 15760-2024 artfynd.xlsx", "A 15760-2024")</f>
        <v/>
      </c>
      <c r="W171">
        <f>HYPERLINK("https://klasma.github.io/Logging_2039/kartor/A 15760-2024 karta.png", "A 15760-2024")</f>
        <v/>
      </c>
      <c r="Y171">
        <f>HYPERLINK("https://klasma.github.io/Logging_2039/klagomål/A 15760-2024 FSC-klagomål.docx", "A 15760-2024")</f>
        <v/>
      </c>
      <c r="Z171">
        <f>HYPERLINK("https://klasma.github.io/Logging_2039/klagomålsmail/A 15760-2024 FSC-klagomål mail.docx", "A 15760-2024")</f>
        <v/>
      </c>
      <c r="AA171">
        <f>HYPERLINK("https://klasma.github.io/Logging_2039/tillsyn/A 15760-2024 tillsynsbegäran.docx", "A 15760-2024")</f>
        <v/>
      </c>
      <c r="AB171">
        <f>HYPERLINK("https://klasma.github.io/Logging_2039/tillsynsmail/A 15760-2024 tillsynsbegäran mail.docx", "A 15760-2024")</f>
        <v/>
      </c>
    </row>
    <row r="172" ht="15" customHeight="1">
      <c r="A172" t="inlineStr">
        <is>
          <t>A 27937-2025</t>
        </is>
      </c>
      <c r="B172" t="inlineStr">
        <is>
          <t>avverkningsanmälan</t>
        </is>
      </c>
      <c r="C172" t="inlineStr">
        <is>
          <t>Föryngringsavverkning</t>
        </is>
      </c>
      <c r="D172" s="1" t="n">
        <v>45817</v>
      </c>
      <c r="E172" s="1" t="n">
        <v>46217</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s="2" t="inlineStr">
        <is>
          <t>Dropptaggsvamp
Kolflarnlav</t>
        </is>
      </c>
      <c r="V172">
        <f>HYPERLINK("https://klasma.github.io/Logging_2039/artfynd/A 27937-2025 artfynd.xlsx", "A 27937-2025")</f>
        <v/>
      </c>
      <c r="W172">
        <f>HYPERLINK("https://klasma.github.io/Logging_2039/kartor/A 27937-2025 karta.png", "A 27937-2025")</f>
        <v/>
      </c>
      <c r="Y172">
        <f>HYPERLINK("https://klasma.github.io/Logging_2039/klagomål/A 27937-2025 FSC-klagomål.docx", "A 27937-2025")</f>
        <v/>
      </c>
      <c r="Z172">
        <f>HYPERLINK("https://klasma.github.io/Logging_2039/klagomålsmail/A 27937-2025 FSC-klagomål mail.docx", "A 27937-2025")</f>
        <v/>
      </c>
      <c r="AA172">
        <f>HYPERLINK("https://klasma.github.io/Logging_2039/tillsyn/A 27937-2025 tillsynsbegäran.docx", "A 27937-2025")</f>
        <v/>
      </c>
      <c r="AB172">
        <f>HYPERLINK("https://klasma.github.io/Logging_2039/tillsynsmail/A 27937-2025 tillsynsbegäran mail.docx", "A 27937-2025")</f>
        <v/>
      </c>
    </row>
    <row r="173" ht="15" customHeight="1">
      <c r="A173" t="inlineStr">
        <is>
          <t>A 31264-2025</t>
        </is>
      </c>
      <c r="B173" t="inlineStr">
        <is>
          <t>avverkningsanmälan</t>
        </is>
      </c>
      <c r="C173" t="inlineStr">
        <is>
          <t>Avverkning för att bevara och utveckla /försöksver</t>
        </is>
      </c>
      <c r="D173" s="1" t="n">
        <v>45833</v>
      </c>
      <c r="E173" s="1" t="n">
        <v>46217</v>
      </c>
      <c r="F173" t="inlineStr">
        <is>
          <t>DALARNAS LÄN</t>
        </is>
      </c>
      <c r="G173" t="inlineStr">
        <is>
          <t>ÄLVDALEN</t>
        </is>
      </c>
      <c r="H173" t="inlineStr">
        <is>
          <t>Sveaskog</t>
        </is>
      </c>
      <c r="I173" t="n">
        <v>1.3</v>
      </c>
      <c r="J173" t="n">
        <v>2</v>
      </c>
      <c r="K173" t="n">
        <v>0</v>
      </c>
      <c r="L173" t="n">
        <v>1</v>
      </c>
      <c r="M173" t="n">
        <v>0</v>
      </c>
      <c r="N173" t="n">
        <v>1</v>
      </c>
      <c r="O173" t="n">
        <v>0</v>
      </c>
      <c r="P173" t="n">
        <v>0</v>
      </c>
      <c r="Q173" t="n">
        <v>2</v>
      </c>
      <c r="R173" t="n">
        <v>1</v>
      </c>
      <c r="S173" t="n">
        <v>2</v>
      </c>
      <c r="T173" t="n">
        <v>2</v>
      </c>
      <c r="U173" s="2" t="inlineStr">
        <is>
          <t>Mosippa
Drillsnäppa</t>
        </is>
      </c>
      <c r="V173">
        <f>HYPERLINK("https://klasma.github.io/Logging_2039/artfynd/A 31264-2025 artfynd.xlsx", "A 31264-2025")</f>
        <v/>
      </c>
      <c r="W173">
        <f>HYPERLINK("https://klasma.github.io/Logging_2039/kartor/A 31264-2025 karta.png", "A 31264-2025")</f>
        <v/>
      </c>
      <c r="Y173">
        <f>HYPERLINK("https://klasma.github.io/Logging_2039/klagomål/A 31264-2025 FSC-klagomål.docx", "A 31264-2025")</f>
        <v/>
      </c>
      <c r="Z173">
        <f>HYPERLINK("https://klasma.github.io/Logging_2039/klagomålsmail/A 31264-2025 FSC-klagomål mail.docx", "A 31264-2025")</f>
        <v/>
      </c>
      <c r="AA173">
        <f>HYPERLINK("https://klasma.github.io/Logging_2039/tillsyn/A 31264-2025 tillsynsbegäran.docx", "A 31264-2025")</f>
        <v/>
      </c>
      <c r="AB173">
        <f>HYPERLINK("https://klasma.github.io/Logging_2039/tillsynsmail/A 31264-2025 tillsynsbegäran mail.docx", "A 31264-2025")</f>
        <v/>
      </c>
      <c r="AC173">
        <f>HYPERLINK("https://klasma.github.io/Logging_2039/fåglar/A 31264-2025 prioriterade fågelarter.docx", "A 31264-2025")</f>
        <v/>
      </c>
    </row>
    <row r="174" ht="15" customHeight="1">
      <c r="A174" t="inlineStr">
        <is>
          <t>S 2470-2025</t>
        </is>
      </c>
      <c r="B174" t="inlineStr">
        <is>
          <t>samrådsanmälan</t>
        </is>
      </c>
      <c r="C174" t="inlineStr">
        <is>
          <t>Annan skogsbruksåtgärd</t>
        </is>
      </c>
      <c r="D174" s="1" t="n">
        <v>45902</v>
      </c>
      <c r="E174" s="1" t="n">
        <v>46217</v>
      </c>
      <c r="F174" t="inlineStr">
        <is>
          <t>DALARNAS LÄN</t>
        </is>
      </c>
      <c r="G174" t="inlineStr">
        <is>
          <t>ÄLVDALEN</t>
        </is>
      </c>
      <c r="H174" t="inlineStr">
        <is>
          <t>Sveaskog</t>
        </is>
      </c>
      <c r="I174" t="n">
        <v>0.9</v>
      </c>
      <c r="J174" t="n">
        <v>1</v>
      </c>
      <c r="K174" t="n">
        <v>0</v>
      </c>
      <c r="L174" t="n">
        <v>2</v>
      </c>
      <c r="M174" t="n">
        <v>0</v>
      </c>
      <c r="N174" t="n">
        <v>0</v>
      </c>
      <c r="O174" t="n">
        <v>0</v>
      </c>
      <c r="P174" t="n">
        <v>0</v>
      </c>
      <c r="Q174" t="n">
        <v>2</v>
      </c>
      <c r="R174" t="n">
        <v>0</v>
      </c>
      <c r="S174" t="n">
        <v>2</v>
      </c>
      <c r="T174" t="n">
        <v>2</v>
      </c>
      <c r="U174" s="2" t="inlineStr">
        <is>
          <t>Dropptaggsvamp
Varglav</t>
        </is>
      </c>
      <c r="V174">
        <f>HYPERLINK("https://klasma.github.io/Logging_2039/artfynd/S 2470-2025 artfynd.xlsx", "S 2470-2025")</f>
        <v/>
      </c>
      <c r="W174">
        <f>HYPERLINK("https://klasma.github.io/Logging_2039/kartor/S 2470-2025 karta.png", "S 2470-2025")</f>
        <v/>
      </c>
      <c r="Y174">
        <f>HYPERLINK("https://klasma.github.io/Logging_2039/klagomål/S 2470-2025 FSC-klagomål.docx", "S 2470-2025")</f>
        <v/>
      </c>
      <c r="Z174">
        <f>HYPERLINK("https://klasma.github.io/Logging_2039/klagomålsmail/S 2470-2025 FSC-klagomål mail.docx", "S 2470-2025")</f>
        <v/>
      </c>
      <c r="AA174">
        <f>HYPERLINK("https://klasma.github.io/Logging_2039/tillsyn/S 2470-2025 tillsynsbegäran.docx", "S 2470-2025")</f>
        <v/>
      </c>
      <c r="AB174">
        <f>HYPERLINK("https://klasma.github.io/Logging_2039/tillsynsmail/S 2470-2025 tillsynsbegäran mail.docx", "S 2470-2025")</f>
        <v/>
      </c>
    </row>
    <row r="175" ht="15" customHeight="1">
      <c r="A175" t="inlineStr">
        <is>
          <t>S 859-2026</t>
        </is>
      </c>
      <c r="B175" t="inlineStr">
        <is>
          <t>samrådsanmälan</t>
        </is>
      </c>
      <c r="C175" t="inlineStr">
        <is>
          <t>Skogsgödsling</t>
        </is>
      </c>
      <c r="D175" s="1" t="n">
        <v>46106</v>
      </c>
      <c r="E175" s="1" t="n">
        <v>46217</v>
      </c>
      <c r="F175" t="inlineStr">
        <is>
          <t>DALARNAS LÄN</t>
        </is>
      </c>
      <c r="G175" t="inlineStr">
        <is>
          <t>ÄLVDALEN</t>
        </is>
      </c>
      <c r="H175" t="inlineStr">
        <is>
          <t>Allmännings- och besparingsskogar</t>
        </is>
      </c>
      <c r="I175" t="n">
        <v>30</v>
      </c>
      <c r="J175" t="n">
        <v>2</v>
      </c>
      <c r="K175" t="n">
        <v>0</v>
      </c>
      <c r="L175" t="n">
        <v>1</v>
      </c>
      <c r="M175" t="n">
        <v>0</v>
      </c>
      <c r="N175" t="n">
        <v>0</v>
      </c>
      <c r="O175" t="n">
        <v>0</v>
      </c>
      <c r="P175" t="n">
        <v>0</v>
      </c>
      <c r="Q175" t="n">
        <v>1</v>
      </c>
      <c r="R175" t="n">
        <v>0</v>
      </c>
      <c r="S175" t="n">
        <v>2</v>
      </c>
      <c r="T175" t="n">
        <v>2</v>
      </c>
      <c r="U175" s="2" t="inlineStr">
        <is>
          <t>Duvhök
Tjäder</t>
        </is>
      </c>
      <c r="V175">
        <f>HYPERLINK("https://klasma.github.io/Logging_2039/artfynd/S 859-2026 artfynd.xlsx", "S 859-2026")</f>
        <v/>
      </c>
      <c r="W175">
        <f>HYPERLINK("https://klasma.github.io/Logging_2039/kartor/S 859-2026 karta.png", "S 859-2026")</f>
        <v/>
      </c>
      <c r="Y175">
        <f>HYPERLINK("https://klasma.github.io/Logging_2039/klagomål/S 859-2026 FSC-klagomål.docx", "S 859-2026")</f>
        <v/>
      </c>
      <c r="Z175">
        <f>HYPERLINK("https://klasma.github.io/Logging_2039/klagomålsmail/S 859-2026 FSC-klagomål mail.docx", "S 859-2026")</f>
        <v/>
      </c>
      <c r="AA175">
        <f>HYPERLINK("https://klasma.github.io/Logging_2039/tillsyn/S 859-2026 tillsynsbegäran.docx", "S 859-2026")</f>
        <v/>
      </c>
      <c r="AB175">
        <f>HYPERLINK("https://klasma.github.io/Logging_2039/tillsynsmail/S 859-2026 tillsynsbegäran mail.docx", "S 859-2026")</f>
        <v/>
      </c>
      <c r="AC175">
        <f>HYPERLINK("https://klasma.github.io/Logging_2039/fåglar/S 859-2026 prioriterade fågelarter.docx", "S 859-2026")</f>
        <v/>
      </c>
    </row>
    <row r="176" ht="15" customHeight="1">
      <c r="A176" t="inlineStr">
        <is>
          <t>A 65500-2021</t>
        </is>
      </c>
      <c r="B176" t="inlineStr">
        <is>
          <t>avverkningsanmälan</t>
        </is>
      </c>
      <c r="C176" t="inlineStr">
        <is>
          <t>Föryngringsavverkning</t>
        </is>
      </c>
      <c r="D176" s="1" t="n">
        <v>44516</v>
      </c>
      <c r="E176" s="1" t="n">
        <v>46217</v>
      </c>
      <c r="F176" t="inlineStr">
        <is>
          <t>DALARNAS LÄN</t>
        </is>
      </c>
      <c r="G176" t="inlineStr">
        <is>
          <t>ÄLVDALEN</t>
        </is>
      </c>
      <c r="H176" t="inlineStr">
        <is>
          <t>Sveaskog</t>
        </is>
      </c>
      <c r="I176" t="n">
        <v>10.4</v>
      </c>
      <c r="J176" t="n">
        <v>1</v>
      </c>
      <c r="K176" t="n">
        <v>0</v>
      </c>
      <c r="L176" t="n">
        <v>1</v>
      </c>
      <c r="M176" t="n">
        <v>0</v>
      </c>
      <c r="N176" t="n">
        <v>0</v>
      </c>
      <c r="O176" t="n">
        <v>0</v>
      </c>
      <c r="P176" t="n">
        <v>0</v>
      </c>
      <c r="Q176" t="n">
        <v>1</v>
      </c>
      <c r="R176" t="n">
        <v>0</v>
      </c>
      <c r="S176" t="n">
        <v>1</v>
      </c>
      <c r="T176" t="n">
        <v>1</v>
      </c>
      <c r="U176" s="2" t="inlineStr">
        <is>
          <t>Varglav</t>
        </is>
      </c>
      <c r="V176">
        <f>HYPERLINK("https://klasma.github.io/Logging_2039/artfynd/A 65500-2021 artfynd.xlsx", "A 65500-2021")</f>
        <v/>
      </c>
      <c r="W176">
        <f>HYPERLINK("https://klasma.github.io/Logging_2039/kartor/A 65500-2021 karta.png", "A 65500-2021")</f>
        <v/>
      </c>
      <c r="Y176">
        <f>HYPERLINK("https://klasma.github.io/Logging_2039/klagomål/A 65500-2021 FSC-klagomål.docx", "A 65500-2021")</f>
        <v/>
      </c>
      <c r="Z176">
        <f>HYPERLINK("https://klasma.github.io/Logging_2039/klagomålsmail/A 65500-2021 FSC-klagomål mail.docx", "A 65500-2021")</f>
        <v/>
      </c>
      <c r="AA176">
        <f>HYPERLINK("https://klasma.github.io/Logging_2039/tillsyn/A 65500-2021 tillsynsbegäran.docx", "A 65500-2021")</f>
        <v/>
      </c>
      <c r="AB176">
        <f>HYPERLINK("https://klasma.github.io/Logging_2039/tillsynsmail/A 65500-2021 tillsynsbegäran mail.docx", "A 65500-2021")</f>
        <v/>
      </c>
    </row>
    <row r="177" ht="15" customHeight="1">
      <c r="A177" t="inlineStr">
        <is>
          <t>A 44407-2021</t>
        </is>
      </c>
      <c r="B177" t="inlineStr">
        <is>
          <t>avverkningsanmälan</t>
        </is>
      </c>
      <c r="C177" t="inlineStr">
        <is>
          <t>Föryngringsavverkning</t>
        </is>
      </c>
      <c r="D177" s="1" t="n">
        <v>44435</v>
      </c>
      <c r="E177" s="1" t="n">
        <v>46217</v>
      </c>
      <c r="F177" t="inlineStr">
        <is>
          <t>DALARNAS LÄN</t>
        </is>
      </c>
      <c r="G177" t="inlineStr">
        <is>
          <t>ÄLVDALEN</t>
        </is>
      </c>
      <c r="H177" t="inlineStr">
        <is>
          <t>Sveaskog</t>
        </is>
      </c>
      <c r="I177" t="n">
        <v>4.4</v>
      </c>
      <c r="J177" t="n">
        <v>0</v>
      </c>
      <c r="K177" t="n">
        <v>0</v>
      </c>
      <c r="L177" t="n">
        <v>1</v>
      </c>
      <c r="M177" t="n">
        <v>0</v>
      </c>
      <c r="N177" t="n">
        <v>0</v>
      </c>
      <c r="O177" t="n">
        <v>0</v>
      </c>
      <c r="P177" t="n">
        <v>0</v>
      </c>
      <c r="Q177" t="n">
        <v>1</v>
      </c>
      <c r="R177" t="n">
        <v>0</v>
      </c>
      <c r="S177" t="n">
        <v>1</v>
      </c>
      <c r="T177" t="n">
        <v>2</v>
      </c>
      <c r="U177" s="2" t="inlineStr">
        <is>
          <t>Dropptaggsvamp</t>
        </is>
      </c>
      <c r="V177">
        <f>HYPERLINK("https://klasma.github.io/Logging_2039/artfynd/A 44407-2021 artfynd.xlsx", "A 44407-2021")</f>
        <v/>
      </c>
      <c r="W177">
        <f>HYPERLINK("https://klasma.github.io/Logging_2039/kartor/A 44407-2021 karta.png", "A 44407-2021")</f>
        <v/>
      </c>
      <c r="Y177">
        <f>HYPERLINK("https://klasma.github.io/Logging_2039/klagomål/A 44407-2021 FSC-klagomål.docx", "A 44407-2021")</f>
        <v/>
      </c>
      <c r="Z177">
        <f>HYPERLINK("https://klasma.github.io/Logging_2039/klagomålsmail/A 44407-2021 FSC-klagomål mail.docx", "A 44407-2021")</f>
        <v/>
      </c>
      <c r="AA177">
        <f>HYPERLINK("https://klasma.github.io/Logging_2039/tillsyn/A 44407-2021 tillsynsbegäran.docx", "A 44407-2021")</f>
        <v/>
      </c>
      <c r="AB177">
        <f>HYPERLINK("https://klasma.github.io/Logging_2039/tillsynsmail/A 44407-2021 tillsynsbegäran mail.docx", "A 44407-2021")</f>
        <v/>
      </c>
    </row>
    <row r="178" ht="15" customHeight="1">
      <c r="A178" t="inlineStr">
        <is>
          <t>A 69726-2021</t>
        </is>
      </c>
      <c r="B178" t="inlineStr">
        <is>
          <t>avverkningsanmälan</t>
        </is>
      </c>
      <c r="C178" t="inlineStr">
        <is>
          <t>Föryngringsavverkning</t>
        </is>
      </c>
      <c r="D178" s="1" t="n">
        <v>44532</v>
      </c>
      <c r="E178" s="1" t="n">
        <v>46217</v>
      </c>
      <c r="F178" t="inlineStr">
        <is>
          <t>DALARNAS LÄN</t>
        </is>
      </c>
      <c r="G178" t="inlineStr">
        <is>
          <t>ÄLVDALEN</t>
        </is>
      </c>
      <c r="H178" t="inlineStr">
        <is>
          <t>Sveaskog</t>
        </is>
      </c>
      <c r="I178" t="n">
        <v>7.2</v>
      </c>
      <c r="J178" t="n">
        <v>0</v>
      </c>
      <c r="K178" t="n">
        <v>0</v>
      </c>
      <c r="L178" t="n">
        <v>1</v>
      </c>
      <c r="M178" t="n">
        <v>0</v>
      </c>
      <c r="N178" t="n">
        <v>0</v>
      </c>
      <c r="O178" t="n">
        <v>0</v>
      </c>
      <c r="P178" t="n">
        <v>0</v>
      </c>
      <c r="Q178" t="n">
        <v>1</v>
      </c>
      <c r="R178" t="n">
        <v>0</v>
      </c>
      <c r="S178" t="n">
        <v>1</v>
      </c>
      <c r="T178" t="n">
        <v>1</v>
      </c>
      <c r="U178" s="2" t="inlineStr">
        <is>
          <t>Dropptaggsvamp</t>
        </is>
      </c>
      <c r="V178">
        <f>HYPERLINK("https://klasma.github.io/Logging_2039/artfynd/A 69726-2021 artfynd.xlsx", "A 69726-2021")</f>
        <v/>
      </c>
      <c r="W178">
        <f>HYPERLINK("https://klasma.github.io/Logging_2039/kartor/A 69726-2021 karta.png", "A 69726-2021")</f>
        <v/>
      </c>
      <c r="Y178">
        <f>HYPERLINK("https://klasma.github.io/Logging_2039/klagomål/A 69726-2021 FSC-klagomål.docx", "A 69726-2021")</f>
        <v/>
      </c>
      <c r="Z178">
        <f>HYPERLINK("https://klasma.github.io/Logging_2039/klagomålsmail/A 69726-2021 FSC-klagomål mail.docx", "A 69726-2021")</f>
        <v/>
      </c>
      <c r="AA178">
        <f>HYPERLINK("https://klasma.github.io/Logging_2039/tillsyn/A 69726-2021 tillsynsbegäran.docx", "A 69726-2021")</f>
        <v/>
      </c>
      <c r="AB178">
        <f>HYPERLINK("https://klasma.github.io/Logging_2039/tillsynsmail/A 69726-2021 tillsynsbegäran mail.docx", "A 69726-2021")</f>
        <v/>
      </c>
    </row>
    <row r="179" ht="15" customHeight="1">
      <c r="A179" t="inlineStr">
        <is>
          <t>A 55062-2022</t>
        </is>
      </c>
      <c r="B179" t="inlineStr">
        <is>
          <t>avverkningsanmälan</t>
        </is>
      </c>
      <c r="C179" t="inlineStr">
        <is>
          <t>Avverkning för annat ändamål</t>
        </is>
      </c>
      <c r="D179" s="1" t="n">
        <v>44881</v>
      </c>
      <c r="E179" s="1" t="n">
        <v>46217</v>
      </c>
      <c r="F179" t="inlineStr">
        <is>
          <t>DALARNAS LÄN</t>
        </is>
      </c>
      <c r="G179" t="inlineStr">
        <is>
          <t>ÄLVDALEN</t>
        </is>
      </c>
      <c r="H179" t="inlineStr">
        <is>
          <t>Övriga statliga verk och myndigheter</t>
        </is>
      </c>
      <c r="I179" t="n">
        <v>28.1</v>
      </c>
      <c r="J179" t="n">
        <v>1</v>
      </c>
      <c r="K179" t="n">
        <v>0</v>
      </c>
      <c r="L179" t="n">
        <v>0</v>
      </c>
      <c r="M179" t="n">
        <v>0</v>
      </c>
      <c r="N179" t="n">
        <v>0</v>
      </c>
      <c r="O179" t="n">
        <v>0</v>
      </c>
      <c r="P179" t="n">
        <v>0</v>
      </c>
      <c r="Q179" t="n">
        <v>0</v>
      </c>
      <c r="R179" t="n">
        <v>0</v>
      </c>
      <c r="S179" t="n">
        <v>1</v>
      </c>
      <c r="T179" t="n">
        <v>1</v>
      </c>
      <c r="U179" s="2" t="inlineStr">
        <is>
          <t>Utter</t>
        </is>
      </c>
      <c r="V179">
        <f>HYPERLINK("https://klasma.github.io/Logging_2039/artfynd/A 55062-2022 artfynd.xlsx", "A 55062-2022")</f>
        <v/>
      </c>
      <c r="W179">
        <f>HYPERLINK("https://klasma.github.io/Logging_2039/kartor/A 55062-2022 karta.png", "A 55062-2022")</f>
        <v/>
      </c>
      <c r="Y179">
        <f>HYPERLINK("https://klasma.github.io/Logging_2039/klagomål/A 55062-2022 FSC-klagomål.docx", "A 55062-2022")</f>
        <v/>
      </c>
      <c r="Z179">
        <f>HYPERLINK("https://klasma.github.io/Logging_2039/klagomålsmail/A 55062-2022 FSC-klagomål mail.docx", "A 55062-2022")</f>
        <v/>
      </c>
      <c r="AA179">
        <f>HYPERLINK("https://klasma.github.io/Logging_2039/tillsyn/A 55062-2022 tillsynsbegäran.docx", "A 55062-2022")</f>
        <v/>
      </c>
      <c r="AB179">
        <f>HYPERLINK("https://klasma.github.io/Logging_2039/tillsynsmail/A 55062-2022 tillsynsbegäran mail.docx", "A 55062-2022")</f>
        <v/>
      </c>
    </row>
    <row r="180" ht="15" customHeight="1">
      <c r="A180" t="inlineStr">
        <is>
          <t>A 31145-2024</t>
        </is>
      </c>
      <c r="B180" t="inlineStr">
        <is>
          <t>avverkningsanmälan</t>
        </is>
      </c>
      <c r="C180" t="inlineStr">
        <is>
          <t>Föryngringsavverkning</t>
        </is>
      </c>
      <c r="D180" s="1" t="n">
        <v>45502</v>
      </c>
      <c r="E180" s="1" t="n">
        <v>46217</v>
      </c>
      <c r="F180" t="inlineStr">
        <is>
          <t>DALARNAS LÄN</t>
        </is>
      </c>
      <c r="G180" t="inlineStr">
        <is>
          <t>ÄLVDALEN</t>
        </is>
      </c>
      <c r="I180" t="n">
        <v>1.2</v>
      </c>
      <c r="J180" t="n">
        <v>1</v>
      </c>
      <c r="K180" t="n">
        <v>0</v>
      </c>
      <c r="L180" t="n">
        <v>1</v>
      </c>
      <c r="M180" t="n">
        <v>0</v>
      </c>
      <c r="N180" t="n">
        <v>0</v>
      </c>
      <c r="O180" t="n">
        <v>0</v>
      </c>
      <c r="P180" t="n">
        <v>0</v>
      </c>
      <c r="Q180" t="n">
        <v>1</v>
      </c>
      <c r="R180" t="n">
        <v>0</v>
      </c>
      <c r="S180" t="n">
        <v>1</v>
      </c>
      <c r="T180" t="n">
        <v>1</v>
      </c>
      <c r="U180" s="2" t="inlineStr">
        <is>
          <t>Tretåig hackspett</t>
        </is>
      </c>
      <c r="V180">
        <f>HYPERLINK("https://klasma.github.io/Logging_2039/artfynd/A 31145-2024 artfynd.xlsx", "A 31145-2024")</f>
        <v/>
      </c>
      <c r="W180">
        <f>HYPERLINK("https://klasma.github.io/Logging_2039/kartor/A 31145-2024 karta.png", "A 31145-2024")</f>
        <v/>
      </c>
      <c r="Y180">
        <f>HYPERLINK("https://klasma.github.io/Logging_2039/klagomål/A 31145-2024 FSC-klagomål.docx", "A 31145-2024")</f>
        <v/>
      </c>
      <c r="Z180">
        <f>HYPERLINK("https://klasma.github.io/Logging_2039/klagomålsmail/A 31145-2024 FSC-klagomål mail.docx", "A 31145-2024")</f>
        <v/>
      </c>
      <c r="AA180">
        <f>HYPERLINK("https://klasma.github.io/Logging_2039/tillsyn/A 31145-2024 tillsynsbegäran.docx", "A 31145-2024")</f>
        <v/>
      </c>
      <c r="AB180">
        <f>HYPERLINK("https://klasma.github.io/Logging_2039/tillsynsmail/A 31145-2024 tillsynsbegäran mail.docx", "A 31145-2024")</f>
        <v/>
      </c>
      <c r="AC180">
        <f>HYPERLINK("https://klasma.github.io/Logging_2039/fåglar/A 31145-2024 prioriterade fågelarter.docx", "A 31145-2024")</f>
        <v/>
      </c>
    </row>
    <row r="181" ht="15" customHeight="1">
      <c r="A181" t="inlineStr">
        <is>
          <t>A 32199-2024</t>
        </is>
      </c>
      <c r="B181" t="inlineStr">
        <is>
          <t>avverkningsanmälan</t>
        </is>
      </c>
      <c r="C181" t="inlineStr">
        <is>
          <t>Föryngringsavverkning</t>
        </is>
      </c>
      <c r="D181" s="1" t="n">
        <v>45511</v>
      </c>
      <c r="E181" s="1" t="n">
        <v>46217</v>
      </c>
      <c r="F181" t="inlineStr">
        <is>
          <t>DALARNAS LÄN</t>
        </is>
      </c>
      <c r="G181" t="inlineStr">
        <is>
          <t>ÄLVDALEN</t>
        </is>
      </c>
      <c r="H181" t="inlineStr">
        <is>
          <t>Sveaskog</t>
        </is>
      </c>
      <c r="I181" t="n">
        <v>4.6</v>
      </c>
      <c r="J181" t="n">
        <v>1</v>
      </c>
      <c r="K181" t="n">
        <v>0</v>
      </c>
      <c r="L181" t="n">
        <v>1</v>
      </c>
      <c r="M181" t="n">
        <v>0</v>
      </c>
      <c r="N181" t="n">
        <v>0</v>
      </c>
      <c r="O181" t="n">
        <v>0</v>
      </c>
      <c r="P181" t="n">
        <v>0</v>
      </c>
      <c r="Q181" t="n">
        <v>1</v>
      </c>
      <c r="R181" t="n">
        <v>0</v>
      </c>
      <c r="S181" t="n">
        <v>1</v>
      </c>
      <c r="T181" t="n">
        <v>1</v>
      </c>
      <c r="U181" s="2" t="inlineStr">
        <is>
          <t>Varglav</t>
        </is>
      </c>
      <c r="V181">
        <f>HYPERLINK("https://klasma.github.io/Logging_2039/artfynd/A 32199-2024 artfynd.xlsx", "A 32199-2024")</f>
        <v/>
      </c>
      <c r="W181">
        <f>HYPERLINK("https://klasma.github.io/Logging_2039/kartor/A 32199-2024 karta.png", "A 32199-2024")</f>
        <v/>
      </c>
      <c r="Y181">
        <f>HYPERLINK("https://klasma.github.io/Logging_2039/klagomål/A 32199-2024 FSC-klagomål.docx", "A 32199-2024")</f>
        <v/>
      </c>
      <c r="Z181">
        <f>HYPERLINK("https://klasma.github.io/Logging_2039/klagomålsmail/A 32199-2024 FSC-klagomål mail.docx", "A 32199-2024")</f>
        <v/>
      </c>
      <c r="AA181">
        <f>HYPERLINK("https://klasma.github.io/Logging_2039/tillsyn/A 32199-2024 tillsynsbegäran.docx", "A 32199-2024")</f>
        <v/>
      </c>
      <c r="AB181">
        <f>HYPERLINK("https://klasma.github.io/Logging_2039/tillsynsmail/A 32199-2024 tillsynsbegäran mail.docx", "A 32199-2024")</f>
        <v/>
      </c>
    </row>
    <row r="182" ht="15" customHeight="1">
      <c r="A182" t="inlineStr">
        <is>
          <t>A 43990-2024</t>
        </is>
      </c>
      <c r="B182" t="inlineStr">
        <is>
          <t>avverkningsanmälan</t>
        </is>
      </c>
      <c r="C182" t="inlineStr">
        <is>
          <t>Avverkning för annat ändamål</t>
        </is>
      </c>
      <c r="D182" s="1" t="n">
        <v>45572</v>
      </c>
      <c r="E182" s="1" t="n">
        <v>46217</v>
      </c>
      <c r="F182" t="inlineStr">
        <is>
          <t>DALARNAS LÄN</t>
        </is>
      </c>
      <c r="G182" t="inlineStr">
        <is>
          <t>ÄLVDALEN</t>
        </is>
      </c>
      <c r="H182" t="inlineStr">
        <is>
          <t>Kommuner</t>
        </is>
      </c>
      <c r="I182" t="n">
        <v>0</v>
      </c>
      <c r="J182" t="n">
        <v>1</v>
      </c>
      <c r="K182" t="n">
        <v>0</v>
      </c>
      <c r="L182" t="n">
        <v>1</v>
      </c>
      <c r="M182" t="n">
        <v>0</v>
      </c>
      <c r="N182" t="n">
        <v>0</v>
      </c>
      <c r="O182" t="n">
        <v>0</v>
      </c>
      <c r="P182" t="n">
        <v>0</v>
      </c>
      <c r="Q182" t="n">
        <v>1</v>
      </c>
      <c r="R182" t="n">
        <v>0</v>
      </c>
      <c r="S182" t="n">
        <v>1</v>
      </c>
      <c r="T182" t="n">
        <v>1</v>
      </c>
      <c r="U182" s="2" t="inlineStr">
        <is>
          <t>Björktrast</t>
        </is>
      </c>
      <c r="V182">
        <f>HYPERLINK("https://klasma.github.io/Logging_2039/artfynd/A 43990-2024 artfynd.xlsx", "A 43990-2024")</f>
        <v/>
      </c>
      <c r="W182">
        <f>HYPERLINK("https://klasma.github.io/Logging_2039/kartor/A 43990-2024 karta.png", "A 43990-2024")</f>
        <v/>
      </c>
      <c r="Y182">
        <f>HYPERLINK("https://klasma.github.io/Logging_2039/klagomål/A 43990-2024 FSC-klagomål.docx", "A 43990-2024")</f>
        <v/>
      </c>
      <c r="Z182">
        <f>HYPERLINK("https://klasma.github.io/Logging_2039/klagomålsmail/A 43990-2024 FSC-klagomål mail.docx", "A 43990-2024")</f>
        <v/>
      </c>
      <c r="AA182">
        <f>HYPERLINK("https://klasma.github.io/Logging_2039/tillsyn/A 43990-2024 tillsynsbegäran.docx", "A 43990-2024")</f>
        <v/>
      </c>
      <c r="AB182">
        <f>HYPERLINK("https://klasma.github.io/Logging_2039/tillsynsmail/A 43990-2024 tillsynsbegäran mail.docx", "A 43990-2024")</f>
        <v/>
      </c>
      <c r="AC182">
        <f>HYPERLINK("https://klasma.github.io/Logging_2039/fåglar/A 43990-2024 prioriterade fågelarter.docx", "A 43990-2024")</f>
        <v/>
      </c>
    </row>
    <row r="183" ht="15" customHeight="1">
      <c r="A183" t="inlineStr">
        <is>
          <t>A 25526-2026</t>
        </is>
      </c>
      <c r="B183" t="inlineStr">
        <is>
          <t>avverkningsanmälan</t>
        </is>
      </c>
      <c r="C183" t="inlineStr">
        <is>
          <t>Föryngringsavverkning</t>
        </is>
      </c>
      <c r="D183" s="1" t="n">
        <v>46177</v>
      </c>
      <c r="E183" s="1" t="n">
        <v>46217</v>
      </c>
      <c r="F183" t="inlineStr">
        <is>
          <t>DALARNAS LÄN</t>
        </is>
      </c>
      <c r="G183" t="inlineStr">
        <is>
          <t>ÄLVDALEN</t>
        </is>
      </c>
      <c r="H183" t="inlineStr">
        <is>
          <t>Sveaskog</t>
        </is>
      </c>
      <c r="I183" t="n">
        <v>3.7</v>
      </c>
      <c r="J183" t="n">
        <v>0</v>
      </c>
      <c r="K183" t="n">
        <v>0</v>
      </c>
      <c r="L183" t="n">
        <v>1</v>
      </c>
      <c r="M183" t="n">
        <v>0</v>
      </c>
      <c r="N183" t="n">
        <v>0</v>
      </c>
      <c r="O183" t="n">
        <v>0</v>
      </c>
      <c r="P183" t="n">
        <v>0</v>
      </c>
      <c r="Q183" t="n">
        <v>1</v>
      </c>
      <c r="R183" t="n">
        <v>0</v>
      </c>
      <c r="S183" t="n">
        <v>1</v>
      </c>
      <c r="T183" t="n">
        <v>1</v>
      </c>
      <c r="U183" s="2" t="inlineStr">
        <is>
          <t>Kolflarnlav</t>
        </is>
      </c>
      <c r="V183">
        <f>HYPERLINK("https://klasma.github.io/Logging_2039/artfynd/A 25526-2026 artfynd.xlsx", "A 25526-2026")</f>
        <v/>
      </c>
      <c r="W183">
        <f>HYPERLINK("https://klasma.github.io/Logging_2039/kartor/A 25526-2026 karta.png", "A 25526-2026")</f>
        <v/>
      </c>
      <c r="Y183">
        <f>HYPERLINK("https://klasma.github.io/Logging_2039/klagomål/A 25526-2026 FSC-klagomål.docx", "A 25526-2026")</f>
        <v/>
      </c>
      <c r="Z183">
        <f>HYPERLINK("https://klasma.github.io/Logging_2039/klagomålsmail/A 25526-2026 FSC-klagomål mail.docx", "A 25526-2026")</f>
        <v/>
      </c>
      <c r="AA183">
        <f>HYPERLINK("https://klasma.github.io/Logging_2039/tillsyn/A 25526-2026 tillsynsbegäran.docx", "A 25526-2026")</f>
        <v/>
      </c>
      <c r="AB183">
        <f>HYPERLINK("https://klasma.github.io/Logging_2039/tillsynsmail/A 25526-2026 tillsynsbegäran mail.docx", "A 25526-2026")</f>
        <v/>
      </c>
    </row>
    <row r="184" ht="15" customHeight="1">
      <c r="A184" t="inlineStr">
        <is>
          <t>A 41932-2025</t>
        </is>
      </c>
      <c r="B184" t="inlineStr">
        <is>
          <t>avverkningsanmälan</t>
        </is>
      </c>
      <c r="C184" t="inlineStr">
        <is>
          <t>Avverkning för att bevara och utveckla /försöksver</t>
        </is>
      </c>
      <c r="D184" s="1" t="n">
        <v>45903</v>
      </c>
      <c r="E184" s="1" t="n">
        <v>46217</v>
      </c>
      <c r="F184" t="inlineStr">
        <is>
          <t>DALARNAS LÄN</t>
        </is>
      </c>
      <c r="G184" t="inlineStr">
        <is>
          <t>ÄLVDALEN</t>
        </is>
      </c>
      <c r="H184" t="inlineStr">
        <is>
          <t>Sveaskog</t>
        </is>
      </c>
      <c r="I184" t="n">
        <v>5.5</v>
      </c>
      <c r="J184" t="n">
        <v>0</v>
      </c>
      <c r="K184" t="n">
        <v>0</v>
      </c>
      <c r="L184" t="n">
        <v>1</v>
      </c>
      <c r="M184" t="n">
        <v>0</v>
      </c>
      <c r="N184" t="n">
        <v>0</v>
      </c>
      <c r="O184" t="n">
        <v>0</v>
      </c>
      <c r="P184" t="n">
        <v>0</v>
      </c>
      <c r="Q184" t="n">
        <v>1</v>
      </c>
      <c r="R184" t="n">
        <v>0</v>
      </c>
      <c r="S184" t="n">
        <v>1</v>
      </c>
      <c r="T184" t="n">
        <v>1</v>
      </c>
      <c r="U184" s="2" t="inlineStr">
        <is>
          <t>Dropptaggsvamp</t>
        </is>
      </c>
      <c r="V184">
        <f>HYPERLINK("https://klasma.github.io/Logging_2039/artfynd/A 41932-2025 artfynd.xlsx", "A 41932-2025")</f>
        <v/>
      </c>
      <c r="W184">
        <f>HYPERLINK("https://klasma.github.io/Logging_2039/kartor/A 41932-2025 karta.png", "A 41932-2025")</f>
        <v/>
      </c>
      <c r="Y184">
        <f>HYPERLINK("https://klasma.github.io/Logging_2039/klagomål/A 41932-2025 FSC-klagomål.docx", "A 41932-2025")</f>
        <v/>
      </c>
      <c r="Z184">
        <f>HYPERLINK("https://klasma.github.io/Logging_2039/klagomålsmail/A 41932-2025 FSC-klagomål mail.docx", "A 41932-2025")</f>
        <v/>
      </c>
      <c r="AA184">
        <f>HYPERLINK("https://klasma.github.io/Logging_2039/tillsyn/A 41932-2025 tillsynsbegäran.docx", "A 41932-2025")</f>
        <v/>
      </c>
      <c r="AB184">
        <f>HYPERLINK("https://klasma.github.io/Logging_2039/tillsynsmail/A 41932-2025 tillsynsbegäran mail.docx", "A 41932-2025")</f>
        <v/>
      </c>
    </row>
    <row r="185" ht="15" customHeight="1">
      <c r="A185" t="inlineStr">
        <is>
          <t>A 36593-2023</t>
        </is>
      </c>
      <c r="B185" t="inlineStr">
        <is>
          <t>avverkningsanmälan</t>
        </is>
      </c>
      <c r="C185" t="inlineStr">
        <is>
          <t>Föryngringsavverkning</t>
        </is>
      </c>
      <c r="D185" s="1" t="n">
        <v>45153</v>
      </c>
      <c r="E185" s="1" t="n">
        <v>46217</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s="2" t="inlineStr">
        <is>
          <t>Garnlav</t>
        </is>
      </c>
      <c r="V185">
        <f>HYPERLINK("https://klasma.github.io/Logging_2039/artfynd/A 36593-2023 artfynd.xlsx", "A 36593-2023")</f>
        <v/>
      </c>
      <c r="W185">
        <f>HYPERLINK("https://klasma.github.io/Logging_2039/kartor/A 36593-2023 karta.png", "A 36593-2023")</f>
        <v/>
      </c>
      <c r="X185">
        <f>HYPERLINK("https://klasma.github.io/Logging_2039/knärot/A 36593-2023 karta knärot.png", "A 36593-2023")</f>
        <v/>
      </c>
      <c r="Y185">
        <f>HYPERLINK("https://klasma.github.io/Logging_2039/klagomål/A 36593-2023 FSC-klagomål.docx", "A 36593-2023")</f>
        <v/>
      </c>
      <c r="Z185">
        <f>HYPERLINK("https://klasma.github.io/Logging_2039/klagomålsmail/A 36593-2023 FSC-klagomål mail.docx", "A 36593-2023")</f>
        <v/>
      </c>
      <c r="AA185">
        <f>HYPERLINK("https://klasma.github.io/Logging_2039/tillsyn/A 36593-2023 tillsynsbegäran.docx", "A 36593-2023")</f>
        <v/>
      </c>
      <c r="AB185">
        <f>HYPERLINK("https://klasma.github.io/Logging_2039/tillsynsmail/A 36593-2023 tillsynsbegäran mail.docx", "A 36593-2023")</f>
        <v/>
      </c>
    </row>
    <row r="186" ht="15" customHeight="1">
      <c r="A186" t="inlineStr">
        <is>
          <t>A 49141-2025</t>
        </is>
      </c>
      <c r="B186" t="inlineStr">
        <is>
          <t>avverkningsanmälan</t>
        </is>
      </c>
      <c r="C186" t="inlineStr">
        <is>
          <t>Föryngringsavverkning</t>
        </is>
      </c>
      <c r="D186" s="1" t="n">
        <v>45938</v>
      </c>
      <c r="E186" s="1" t="n">
        <v>46217</v>
      </c>
      <c r="F186" t="inlineStr">
        <is>
          <t>DALARNAS LÄN</t>
        </is>
      </c>
      <c r="G186" t="inlineStr">
        <is>
          <t>ÄLVDALEN</t>
        </is>
      </c>
      <c r="H186" t="inlineStr">
        <is>
          <t>Allmännings- och besparingsskogar</t>
        </is>
      </c>
      <c r="I186" t="n">
        <v>0.8</v>
      </c>
      <c r="J186" t="n">
        <v>0</v>
      </c>
      <c r="K186" t="n">
        <v>0</v>
      </c>
      <c r="L186" t="n">
        <v>0</v>
      </c>
      <c r="M186" t="n">
        <v>1</v>
      </c>
      <c r="N186" t="n">
        <v>0</v>
      </c>
      <c r="O186" t="n">
        <v>0</v>
      </c>
      <c r="P186" t="n">
        <v>0</v>
      </c>
      <c r="Q186" t="n">
        <v>1</v>
      </c>
      <c r="R186" t="n">
        <v>1</v>
      </c>
      <c r="S186" t="n">
        <v>1</v>
      </c>
      <c r="T186" t="n">
        <v>3</v>
      </c>
      <c r="U186" s="2" t="inlineStr">
        <is>
          <t>Garnlav</t>
        </is>
      </c>
      <c r="V186">
        <f>HYPERLINK("https://klasma.github.io/Logging_2039/artfynd/A 49141-2025 artfynd.xlsx", "A 49141-2025")</f>
        <v/>
      </c>
      <c r="W186">
        <f>HYPERLINK("https://klasma.github.io/Logging_2039/kartor/A 49141-2025 karta.png", "A 49141-2025")</f>
        <v/>
      </c>
      <c r="Y186">
        <f>HYPERLINK("https://klasma.github.io/Logging_2039/klagomål/A 49141-2025 FSC-klagomål.docx", "A 49141-2025")</f>
        <v/>
      </c>
      <c r="Z186">
        <f>HYPERLINK("https://klasma.github.io/Logging_2039/klagomålsmail/A 49141-2025 FSC-klagomål mail.docx", "A 49141-2025")</f>
        <v/>
      </c>
      <c r="AA186">
        <f>HYPERLINK("https://klasma.github.io/Logging_2039/tillsyn/A 49141-2025 tillsynsbegäran.docx", "A 49141-2025")</f>
        <v/>
      </c>
      <c r="AB186">
        <f>HYPERLINK("https://klasma.github.io/Logging_2039/tillsynsmail/A 49141-2025 tillsynsbegäran mail.docx", "A 49141-2025")</f>
        <v/>
      </c>
    </row>
    <row r="187" ht="15" customHeight="1">
      <c r="A187" t="inlineStr">
        <is>
          <t>A 36574-2021</t>
        </is>
      </c>
      <c r="B187" t="inlineStr">
        <is>
          <t>avverkningsanmälan</t>
        </is>
      </c>
      <c r="C187" t="inlineStr">
        <is>
          <t>Föryngringsavverkning</t>
        </is>
      </c>
      <c r="D187" s="1" t="n">
        <v>44391</v>
      </c>
      <c r="E187" s="1" t="n">
        <v>46217</v>
      </c>
      <c r="F187" t="inlineStr">
        <is>
          <t>DALARNAS LÄN</t>
        </is>
      </c>
      <c r="G187" t="inlineStr">
        <is>
          <t>ÄLVDALEN</t>
        </is>
      </c>
      <c r="H187" t="inlineStr">
        <is>
          <t>Sveaskog</t>
        </is>
      </c>
      <c r="I187" t="n">
        <v>26.2</v>
      </c>
      <c r="J187" t="n">
        <v>1</v>
      </c>
      <c r="K187" t="n">
        <v>0</v>
      </c>
      <c r="L187" t="n">
        <v>1</v>
      </c>
      <c r="M187" t="n">
        <v>0</v>
      </c>
      <c r="N187" t="n">
        <v>0</v>
      </c>
      <c r="O187" t="n">
        <v>0</v>
      </c>
      <c r="P187" t="n">
        <v>0</v>
      </c>
      <c r="Q187" t="n">
        <v>1</v>
      </c>
      <c r="R187" t="n">
        <v>0</v>
      </c>
      <c r="S187" t="n">
        <v>1</v>
      </c>
      <c r="T187" t="n">
        <v>1</v>
      </c>
      <c r="U187" s="2" t="inlineStr">
        <is>
          <t>Lavskrika</t>
        </is>
      </c>
      <c r="V187">
        <f>HYPERLINK("https://klasma.github.io/Logging_2039/artfynd/A 36574-2021 artfynd.xlsx", "A 36574-2021")</f>
        <v/>
      </c>
      <c r="W187">
        <f>HYPERLINK("https://klasma.github.io/Logging_2039/kartor/A 36574-2021 karta.png", "A 36574-2021")</f>
        <v/>
      </c>
      <c r="Y187">
        <f>HYPERLINK("https://klasma.github.io/Logging_2039/klagomål/A 36574-2021 FSC-klagomål.docx", "A 36574-2021")</f>
        <v/>
      </c>
      <c r="Z187">
        <f>HYPERLINK("https://klasma.github.io/Logging_2039/klagomålsmail/A 36574-2021 FSC-klagomål mail.docx", "A 36574-2021")</f>
        <v/>
      </c>
      <c r="AA187">
        <f>HYPERLINK("https://klasma.github.io/Logging_2039/tillsyn/A 36574-2021 tillsynsbegäran.docx", "A 36574-2021")</f>
        <v/>
      </c>
      <c r="AB187">
        <f>HYPERLINK("https://klasma.github.io/Logging_2039/tillsynsmail/A 36574-2021 tillsynsbegäran mail.docx", "A 36574-2021")</f>
        <v/>
      </c>
      <c r="AC187">
        <f>HYPERLINK("https://klasma.github.io/Logging_2039/fåglar/A 36574-2021 prioriterade fågelarter.docx", "A 36574-2021")</f>
        <v/>
      </c>
    </row>
    <row r="188" ht="15" customHeight="1">
      <c r="A188" t="inlineStr">
        <is>
          <t>A 52249-2022</t>
        </is>
      </c>
      <c r="B188" t="inlineStr">
        <is>
          <t>avverkningsanmälan</t>
        </is>
      </c>
      <c r="C188" t="inlineStr">
        <is>
          <t>Avverkning för annat ändamål</t>
        </is>
      </c>
      <c r="D188" s="1" t="n">
        <v>44873</v>
      </c>
      <c r="E188" s="1" t="n">
        <v>46217</v>
      </c>
      <c r="F188" t="inlineStr">
        <is>
          <t>DALARNAS LÄN</t>
        </is>
      </c>
      <c r="G188" t="inlineStr">
        <is>
          <t>ÄLVDALEN</t>
        </is>
      </c>
      <c r="H188" t="inlineStr">
        <is>
          <t>Sveaskog</t>
        </is>
      </c>
      <c r="I188" t="n">
        <v>0.4</v>
      </c>
      <c r="J188" t="n">
        <v>0</v>
      </c>
      <c r="K188" t="n">
        <v>0</v>
      </c>
      <c r="L188" t="n">
        <v>1</v>
      </c>
      <c r="M188" t="n">
        <v>0</v>
      </c>
      <c r="N188" t="n">
        <v>0</v>
      </c>
      <c r="O188" t="n">
        <v>0</v>
      </c>
      <c r="P188" t="n">
        <v>0</v>
      </c>
      <c r="Q188" t="n">
        <v>1</v>
      </c>
      <c r="R188" t="n">
        <v>0</v>
      </c>
      <c r="S188" t="n">
        <v>1</v>
      </c>
      <c r="T188" t="n">
        <v>1</v>
      </c>
      <c r="U188" s="2" t="inlineStr">
        <is>
          <t>Älg</t>
        </is>
      </c>
      <c r="V188">
        <f>HYPERLINK("https://klasma.github.io/Logging_2039/artfynd/A 52249-2022 artfynd.xlsx", "A 52249-2022")</f>
        <v/>
      </c>
      <c r="W188">
        <f>HYPERLINK("https://klasma.github.io/Logging_2039/kartor/A 52249-2022 karta.png", "A 52249-2022")</f>
        <v/>
      </c>
      <c r="Y188">
        <f>HYPERLINK("https://klasma.github.io/Logging_2039/klagomål/A 52249-2022 FSC-klagomål.docx", "A 52249-2022")</f>
        <v/>
      </c>
      <c r="Z188">
        <f>HYPERLINK("https://klasma.github.io/Logging_2039/klagomålsmail/A 52249-2022 FSC-klagomål mail.docx", "A 52249-2022")</f>
        <v/>
      </c>
      <c r="AA188">
        <f>HYPERLINK("https://klasma.github.io/Logging_2039/tillsyn/A 52249-2022 tillsynsbegäran.docx", "A 52249-2022")</f>
        <v/>
      </c>
      <c r="AB188">
        <f>HYPERLINK("https://klasma.github.io/Logging_2039/tillsynsmail/A 52249-2022 tillsynsbegäran mail.docx", "A 52249-2022")</f>
        <v/>
      </c>
    </row>
    <row r="189" ht="15" customHeight="1">
      <c r="A189" t="inlineStr">
        <is>
          <t>A 27734-2026</t>
        </is>
      </c>
      <c r="B189" t="inlineStr">
        <is>
          <t>avverkningsanmälan</t>
        </is>
      </c>
      <c r="C189" t="inlineStr">
        <is>
          <t>Föryngringsavverkning</t>
        </is>
      </c>
      <c r="D189" s="1" t="n">
        <v>46189</v>
      </c>
      <c r="E189" s="1" t="n">
        <v>46217</v>
      </c>
      <c r="F189" t="inlineStr">
        <is>
          <t>DALARNAS LÄN</t>
        </is>
      </c>
      <c r="G189" t="inlineStr">
        <is>
          <t>ÄLVDALEN</t>
        </is>
      </c>
      <c r="H189" t="inlineStr">
        <is>
          <t>Sveaskog</t>
        </is>
      </c>
      <c r="I189" t="n">
        <v>23.3</v>
      </c>
      <c r="J189" t="n">
        <v>0</v>
      </c>
      <c r="K189" t="n">
        <v>0</v>
      </c>
      <c r="L189" t="n">
        <v>1</v>
      </c>
      <c r="M189" t="n">
        <v>0</v>
      </c>
      <c r="N189" t="n">
        <v>0</v>
      </c>
      <c r="O189" t="n">
        <v>0</v>
      </c>
      <c r="P189" t="n">
        <v>0</v>
      </c>
      <c r="Q189" t="n">
        <v>1</v>
      </c>
      <c r="R189" t="n">
        <v>0</v>
      </c>
      <c r="S189" t="n">
        <v>1</v>
      </c>
      <c r="T189" t="n">
        <v>1</v>
      </c>
      <c r="U189" s="2" t="inlineStr">
        <is>
          <t>Skrovellav</t>
        </is>
      </c>
      <c r="V189">
        <f>HYPERLINK("https://klasma.github.io/Logging_2039/artfynd/A 27734-2026 artfynd.xlsx", "A 27734-2026")</f>
        <v/>
      </c>
      <c r="W189">
        <f>HYPERLINK("https://klasma.github.io/Logging_2039/kartor/A 27734-2026 karta.png", "A 27734-2026")</f>
        <v/>
      </c>
      <c r="Y189">
        <f>HYPERLINK("https://klasma.github.io/Logging_2039/klagomål/A 27734-2026 FSC-klagomål.docx", "A 27734-2026")</f>
        <v/>
      </c>
      <c r="Z189">
        <f>HYPERLINK("https://klasma.github.io/Logging_2039/klagomålsmail/A 27734-2026 FSC-klagomål mail.docx", "A 27734-2026")</f>
        <v/>
      </c>
      <c r="AA189">
        <f>HYPERLINK("https://klasma.github.io/Logging_2039/tillsyn/A 27734-2026 tillsynsbegäran.docx", "A 27734-2026")</f>
        <v/>
      </c>
      <c r="AB189">
        <f>HYPERLINK("https://klasma.github.io/Logging_2039/tillsynsmail/A 27734-2026 tillsynsbegäran mail.docx", "A 27734-2026")</f>
        <v/>
      </c>
    </row>
    <row r="190" ht="15" customHeight="1">
      <c r="A190" t="inlineStr">
        <is>
          <t>A 59380-2025</t>
        </is>
      </c>
      <c r="B190" t="inlineStr">
        <is>
          <t>avverkningsanmälan</t>
        </is>
      </c>
      <c r="C190" t="inlineStr">
        <is>
          <t>Föryngringsavverkning</t>
        </is>
      </c>
      <c r="D190" s="1" t="n">
        <v>45989</v>
      </c>
      <c r="E190" s="1" t="n">
        <v>46217</v>
      </c>
      <c r="F190" t="inlineStr">
        <is>
          <t>DALARNAS LÄN</t>
        </is>
      </c>
      <c r="G190" t="inlineStr">
        <is>
          <t>ÄLVDALEN</t>
        </is>
      </c>
      <c r="H190" t="inlineStr">
        <is>
          <t>Sveaskog</t>
        </is>
      </c>
      <c r="I190" t="n">
        <v>1.1</v>
      </c>
      <c r="J190" t="n">
        <v>0</v>
      </c>
      <c r="K190" t="n">
        <v>0</v>
      </c>
      <c r="L190" t="n">
        <v>1</v>
      </c>
      <c r="M190" t="n">
        <v>0</v>
      </c>
      <c r="N190" t="n">
        <v>0</v>
      </c>
      <c r="O190" t="n">
        <v>0</v>
      </c>
      <c r="P190" t="n">
        <v>0</v>
      </c>
      <c r="Q190" t="n">
        <v>1</v>
      </c>
      <c r="R190" t="n">
        <v>0</v>
      </c>
      <c r="S190" t="n">
        <v>1</v>
      </c>
      <c r="T190" t="n">
        <v>2</v>
      </c>
      <c r="U190" s="2" t="inlineStr">
        <is>
          <t>Lunglav</t>
        </is>
      </c>
      <c r="V190">
        <f>HYPERLINK("https://klasma.github.io/Logging_2039/artfynd/A 59380-2025 artfynd.xlsx", "A 59380-2025")</f>
        <v/>
      </c>
      <c r="W190">
        <f>HYPERLINK("https://klasma.github.io/Logging_2039/kartor/A 59380-2025 karta.png", "A 59380-2025")</f>
        <v/>
      </c>
      <c r="Y190">
        <f>HYPERLINK("https://klasma.github.io/Logging_2039/klagomål/A 59380-2025 FSC-klagomål.docx", "A 59380-2025")</f>
        <v/>
      </c>
      <c r="Z190">
        <f>HYPERLINK("https://klasma.github.io/Logging_2039/klagomålsmail/A 59380-2025 FSC-klagomål mail.docx", "A 59380-2025")</f>
        <v/>
      </c>
      <c r="AA190">
        <f>HYPERLINK("https://klasma.github.io/Logging_2039/tillsyn/A 59380-2025 tillsynsbegäran.docx", "A 59380-2025")</f>
        <v/>
      </c>
      <c r="AB190">
        <f>HYPERLINK("https://klasma.github.io/Logging_2039/tillsynsmail/A 59380-2025 tillsynsbegäran mail.docx", "A 59380-2025")</f>
        <v/>
      </c>
    </row>
    <row r="191" ht="15" customHeight="1">
      <c r="A191" t="inlineStr">
        <is>
          <t>A 60082-2025</t>
        </is>
      </c>
      <c r="B191" t="inlineStr">
        <is>
          <t>avverkningsanmälan</t>
        </is>
      </c>
      <c r="C191" t="inlineStr">
        <is>
          <t>Föryngringsavverkning</t>
        </is>
      </c>
      <c r="D191" s="1" t="n">
        <v>45993</v>
      </c>
      <c r="E191" s="1" t="n">
        <v>46217</v>
      </c>
      <c r="F191" t="inlineStr">
        <is>
          <t>DALARNAS LÄN</t>
        </is>
      </c>
      <c r="G191" t="inlineStr">
        <is>
          <t>ÄLVDALEN</t>
        </is>
      </c>
      <c r="I191" t="n">
        <v>7.5</v>
      </c>
      <c r="J191" t="n">
        <v>1</v>
      </c>
      <c r="K191" t="n">
        <v>0</v>
      </c>
      <c r="L191" t="n">
        <v>0</v>
      </c>
      <c r="M191" t="n">
        <v>0</v>
      </c>
      <c r="N191" t="n">
        <v>0</v>
      </c>
      <c r="O191" t="n">
        <v>0</v>
      </c>
      <c r="P191" t="n">
        <v>0</v>
      </c>
      <c r="Q191" t="n">
        <v>0</v>
      </c>
      <c r="R191" t="n">
        <v>0</v>
      </c>
      <c r="S191" t="n">
        <v>1</v>
      </c>
      <c r="T191" t="n">
        <v>1</v>
      </c>
      <c r="U191" s="2" t="inlineStr">
        <is>
          <t>Revlummer</t>
        </is>
      </c>
      <c r="V191">
        <f>HYPERLINK("https://klasma.github.io/Logging_2039/artfynd/A 60082-2025 artfynd.xlsx", "A 60082-2025")</f>
        <v/>
      </c>
      <c r="W191">
        <f>HYPERLINK("https://klasma.github.io/Logging_2039/kartor/A 60082-2025 karta.png", "A 60082-2025")</f>
        <v/>
      </c>
      <c r="Y191">
        <f>HYPERLINK("https://klasma.github.io/Logging_2039/klagomål/A 60082-2025 FSC-klagomål.docx", "A 60082-2025")</f>
        <v/>
      </c>
      <c r="Z191">
        <f>HYPERLINK("https://klasma.github.io/Logging_2039/klagomålsmail/A 60082-2025 FSC-klagomål mail.docx", "A 60082-2025")</f>
        <v/>
      </c>
      <c r="AA191">
        <f>HYPERLINK("https://klasma.github.io/Logging_2039/tillsyn/A 60082-2025 tillsynsbegäran.docx", "A 60082-2025")</f>
        <v/>
      </c>
      <c r="AB191">
        <f>HYPERLINK("https://klasma.github.io/Logging_2039/tillsynsmail/A 60082-2025 tillsynsbegäran mail.docx", "A 60082-2025")</f>
        <v/>
      </c>
    </row>
    <row r="192" ht="15" customHeight="1">
      <c r="A192" t="inlineStr">
        <is>
          <t>A 61589-2025</t>
        </is>
      </c>
      <c r="B192" t="inlineStr">
        <is>
          <t>avverkningsanmälan</t>
        </is>
      </c>
      <c r="C192" t="inlineStr">
        <is>
          <t>Föryngringsavverkning</t>
        </is>
      </c>
      <c r="D192" s="1" t="n">
        <v>46002</v>
      </c>
      <c r="E192" s="1" t="n">
        <v>46217</v>
      </c>
      <c r="F192" t="inlineStr">
        <is>
          <t>DALARNAS LÄN</t>
        </is>
      </c>
      <c r="G192" t="inlineStr">
        <is>
          <t>ÄLVDALEN</t>
        </is>
      </c>
      <c r="H192" t="inlineStr">
        <is>
          <t>Sveaskog</t>
        </is>
      </c>
      <c r="I192" t="n">
        <v>2.4</v>
      </c>
      <c r="J192" t="n">
        <v>0</v>
      </c>
      <c r="K192" t="n">
        <v>0</v>
      </c>
      <c r="L192" t="n">
        <v>1</v>
      </c>
      <c r="M192" t="n">
        <v>0</v>
      </c>
      <c r="N192" t="n">
        <v>0</v>
      </c>
      <c r="O192" t="n">
        <v>0</v>
      </c>
      <c r="P192" t="n">
        <v>0</v>
      </c>
      <c r="Q192" t="n">
        <v>1</v>
      </c>
      <c r="R192" t="n">
        <v>0</v>
      </c>
      <c r="S192" t="n">
        <v>1</v>
      </c>
      <c r="T192" t="n">
        <v>1</v>
      </c>
      <c r="U192" s="2" t="inlineStr">
        <is>
          <t>Skrovellav</t>
        </is>
      </c>
      <c r="V192">
        <f>HYPERLINK("https://klasma.github.io/Logging_2039/artfynd/A 61589-2025 artfynd.xlsx", "A 61589-2025")</f>
        <v/>
      </c>
      <c r="W192">
        <f>HYPERLINK("https://klasma.github.io/Logging_2039/kartor/A 61589-2025 karta.png", "A 61589-2025")</f>
        <v/>
      </c>
      <c r="Y192">
        <f>HYPERLINK("https://klasma.github.io/Logging_2039/klagomål/A 61589-2025 FSC-klagomål.docx", "A 61589-2025")</f>
        <v/>
      </c>
      <c r="Z192">
        <f>HYPERLINK("https://klasma.github.io/Logging_2039/klagomålsmail/A 61589-2025 FSC-klagomål mail.docx", "A 61589-2025")</f>
        <v/>
      </c>
      <c r="AA192">
        <f>HYPERLINK("https://klasma.github.io/Logging_2039/tillsyn/A 61589-2025 tillsynsbegäran.docx", "A 61589-2025")</f>
        <v/>
      </c>
      <c r="AB192">
        <f>HYPERLINK("https://klasma.github.io/Logging_2039/tillsynsmail/A 61589-2025 tillsynsbegäran mail.docx", "A 61589-2025")</f>
        <v/>
      </c>
    </row>
    <row r="193" ht="15" customHeight="1">
      <c r="A193" t="inlineStr">
        <is>
          <t>A 23553-2025</t>
        </is>
      </c>
      <c r="B193" t="inlineStr">
        <is>
          <t>avverkningsanmälan</t>
        </is>
      </c>
      <c r="C193" t="inlineStr">
        <is>
          <t>Föryngringsavverkning</t>
        </is>
      </c>
      <c r="D193" s="1" t="n">
        <v>45792</v>
      </c>
      <c r="E193" s="1" t="n">
        <v>46217</v>
      </c>
      <c r="F193" t="inlineStr">
        <is>
          <t>DALARNAS LÄN</t>
        </is>
      </c>
      <c r="G193" t="inlineStr">
        <is>
          <t>ÄLVDALEN</t>
        </is>
      </c>
      <c r="I193" t="n">
        <v>41.4</v>
      </c>
      <c r="J193" t="n">
        <v>0</v>
      </c>
      <c r="K193" t="n">
        <v>0</v>
      </c>
      <c r="L193" t="n">
        <v>1</v>
      </c>
      <c r="M193" t="n">
        <v>0</v>
      </c>
      <c r="N193" t="n">
        <v>0</v>
      </c>
      <c r="O193" t="n">
        <v>0</v>
      </c>
      <c r="P193" t="n">
        <v>0</v>
      </c>
      <c r="Q193" t="n">
        <v>1</v>
      </c>
      <c r="R193" t="n">
        <v>0</v>
      </c>
      <c r="S193" t="n">
        <v>1</v>
      </c>
      <c r="T193" t="n">
        <v>1</v>
      </c>
      <c r="U193" s="2" t="inlineStr">
        <is>
          <t>Motaggsvamp</t>
        </is>
      </c>
      <c r="V193">
        <f>HYPERLINK("https://klasma.github.io/Logging_2039/artfynd/A 23553-2025 artfynd.xlsx", "A 23553-2025")</f>
        <v/>
      </c>
      <c r="W193">
        <f>HYPERLINK("https://klasma.github.io/Logging_2039/kartor/A 23553-2025 karta.png", "A 23553-2025")</f>
        <v/>
      </c>
      <c r="Y193">
        <f>HYPERLINK("https://klasma.github.io/Logging_2039/klagomål/A 23553-2025 FSC-klagomål.docx", "A 23553-2025")</f>
        <v/>
      </c>
      <c r="Z193">
        <f>HYPERLINK("https://klasma.github.io/Logging_2039/klagomålsmail/A 23553-2025 FSC-klagomål mail.docx", "A 23553-2025")</f>
        <v/>
      </c>
      <c r="AA193">
        <f>HYPERLINK("https://klasma.github.io/Logging_2039/tillsyn/A 23553-2025 tillsynsbegäran.docx", "A 23553-2025")</f>
        <v/>
      </c>
      <c r="AB193">
        <f>HYPERLINK("https://klasma.github.io/Logging_2039/tillsynsmail/A 23553-2025 tillsynsbegäran mail.docx", "A 23553-2025")</f>
        <v/>
      </c>
    </row>
    <row r="194" ht="15" customHeight="1">
      <c r="A194" t="inlineStr">
        <is>
          <t>A 7273-2026</t>
        </is>
      </c>
      <c r="B194" t="inlineStr">
        <is>
          <t>avverkningsanmälan</t>
        </is>
      </c>
      <c r="C194" t="inlineStr">
        <is>
          <t>Föryngringsavverkning</t>
        </is>
      </c>
      <c r="D194" s="1" t="n">
        <v>46058</v>
      </c>
      <c r="E194" s="1" t="n">
        <v>46217</v>
      </c>
      <c r="F194" t="inlineStr">
        <is>
          <t>DALARNAS LÄN</t>
        </is>
      </c>
      <c r="G194" t="inlineStr">
        <is>
          <t>ÄLVDALEN</t>
        </is>
      </c>
      <c r="I194" t="n">
        <v>0.9</v>
      </c>
      <c r="J194" t="n">
        <v>1</v>
      </c>
      <c r="K194" t="n">
        <v>0</v>
      </c>
      <c r="L194" t="n">
        <v>0</v>
      </c>
      <c r="M194" t="n">
        <v>0</v>
      </c>
      <c r="N194" t="n">
        <v>0</v>
      </c>
      <c r="O194" t="n">
        <v>0</v>
      </c>
      <c r="P194" t="n">
        <v>0</v>
      </c>
      <c r="Q194" t="n">
        <v>0</v>
      </c>
      <c r="R194" t="n">
        <v>0</v>
      </c>
      <c r="S194" t="n">
        <v>1</v>
      </c>
      <c r="T194" t="n">
        <v>1</v>
      </c>
      <c r="U194" s="2" t="inlineStr">
        <is>
          <t>Spillkråka</t>
        </is>
      </c>
      <c r="V194">
        <f>HYPERLINK("https://klasma.github.io/Logging_2039/artfynd/A 7273-2026 artfynd.xlsx", "A 7273-2026")</f>
        <v/>
      </c>
      <c r="W194">
        <f>HYPERLINK("https://klasma.github.io/Logging_2039/kartor/A 7273-2026 karta.png", "A 7273-2026")</f>
        <v/>
      </c>
      <c r="Y194">
        <f>HYPERLINK("https://klasma.github.io/Logging_2039/klagomål/A 7273-2026 FSC-klagomål.docx", "A 7273-2026")</f>
        <v/>
      </c>
      <c r="Z194">
        <f>HYPERLINK("https://klasma.github.io/Logging_2039/klagomålsmail/A 7273-2026 FSC-klagomål mail.docx", "A 7273-2026")</f>
        <v/>
      </c>
      <c r="AA194">
        <f>HYPERLINK("https://klasma.github.io/Logging_2039/tillsyn/A 7273-2026 tillsynsbegäran.docx", "A 7273-2026")</f>
        <v/>
      </c>
      <c r="AB194">
        <f>HYPERLINK("https://klasma.github.io/Logging_2039/tillsynsmail/A 7273-2026 tillsynsbegäran mail.docx", "A 7273-2026")</f>
        <v/>
      </c>
      <c r="AC194">
        <f>HYPERLINK("https://klasma.github.io/Logging_2039/fåglar/A 7273-2026 prioriterade fågelarter.docx", "A 7273-2026")</f>
        <v/>
      </c>
    </row>
    <row r="195" ht="15" customHeight="1">
      <c r="A195" t="inlineStr">
        <is>
          <t>A 19614-2024</t>
        </is>
      </c>
      <c r="B195" t="inlineStr">
        <is>
          <t>avverkningsanmälan</t>
        </is>
      </c>
      <c r="C195" t="inlineStr">
        <is>
          <t>Föryngringsavverkning</t>
        </is>
      </c>
      <c r="D195" s="1" t="n">
        <v>45432</v>
      </c>
      <c r="E195" s="1" t="n">
        <v>46217</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s="2" t="inlineStr">
        <is>
          <t>Mörk kolflarnlav</t>
        </is>
      </c>
      <c r="V195">
        <f>HYPERLINK("https://klasma.github.io/Logging_2039/artfynd/A 19614-2024 artfynd.xlsx", "A 19614-2024")</f>
        <v/>
      </c>
      <c r="W195">
        <f>HYPERLINK("https://klasma.github.io/Logging_2039/kartor/A 19614-2024 karta.png", "A 19614-2024")</f>
        <v/>
      </c>
      <c r="Y195">
        <f>HYPERLINK("https://klasma.github.io/Logging_2039/klagomål/A 19614-2024 FSC-klagomål.docx", "A 19614-2024")</f>
        <v/>
      </c>
      <c r="Z195">
        <f>HYPERLINK("https://klasma.github.io/Logging_2039/klagomålsmail/A 19614-2024 FSC-klagomål mail.docx", "A 19614-2024")</f>
        <v/>
      </c>
      <c r="AA195">
        <f>HYPERLINK("https://klasma.github.io/Logging_2039/tillsyn/A 19614-2024 tillsynsbegäran.docx", "A 19614-2024")</f>
        <v/>
      </c>
      <c r="AB195">
        <f>HYPERLINK("https://klasma.github.io/Logging_2039/tillsynsmail/A 19614-2024 tillsynsbegäran mail.docx", "A 19614-2024")</f>
        <v/>
      </c>
    </row>
    <row r="196" ht="15" customHeight="1">
      <c r="A196" t="inlineStr">
        <is>
          <t>A 42649-2023</t>
        </is>
      </c>
      <c r="B196" t="inlineStr">
        <is>
          <t>avverkningsanmälan</t>
        </is>
      </c>
      <c r="C196" t="inlineStr">
        <is>
          <t>Föryngringsavverkning</t>
        </is>
      </c>
      <c r="D196" s="1" t="n">
        <v>45181</v>
      </c>
      <c r="E196" s="1" t="n">
        <v>46217</v>
      </c>
      <c r="F196" t="inlineStr">
        <is>
          <t>DALARNAS LÄN</t>
        </is>
      </c>
      <c r="G196" t="inlineStr">
        <is>
          <t>ÄLVDALEN</t>
        </is>
      </c>
      <c r="I196" t="n">
        <v>5.3</v>
      </c>
      <c r="J196" t="n">
        <v>0</v>
      </c>
      <c r="K196" t="n">
        <v>0</v>
      </c>
      <c r="L196" t="n">
        <v>1</v>
      </c>
      <c r="M196" t="n">
        <v>0</v>
      </c>
      <c r="N196" t="n">
        <v>0</v>
      </c>
      <c r="O196" t="n">
        <v>0</v>
      </c>
      <c r="P196" t="n">
        <v>0</v>
      </c>
      <c r="Q196" t="n">
        <v>1</v>
      </c>
      <c r="R196" t="n">
        <v>0</v>
      </c>
      <c r="S196" t="n">
        <v>1</v>
      </c>
      <c r="T196" t="n">
        <v>1</v>
      </c>
      <c r="U196" s="2" t="inlineStr">
        <is>
          <t>Blå taggsvamp</t>
        </is>
      </c>
      <c r="V196">
        <f>HYPERLINK("https://klasma.github.io/Logging_2039/artfynd/A 42649-2023 artfynd.xlsx", "A 42649-2023")</f>
        <v/>
      </c>
      <c r="W196">
        <f>HYPERLINK("https://klasma.github.io/Logging_2039/kartor/A 42649-2023 karta.png", "A 42649-2023")</f>
        <v/>
      </c>
      <c r="Y196">
        <f>HYPERLINK("https://klasma.github.io/Logging_2039/klagomål/A 42649-2023 FSC-klagomål.docx", "A 42649-2023")</f>
        <v/>
      </c>
      <c r="Z196">
        <f>HYPERLINK("https://klasma.github.io/Logging_2039/klagomålsmail/A 42649-2023 FSC-klagomål mail.docx", "A 42649-2023")</f>
        <v/>
      </c>
      <c r="AA196">
        <f>HYPERLINK("https://klasma.github.io/Logging_2039/tillsyn/A 42649-2023 tillsynsbegäran.docx", "A 42649-2023")</f>
        <v/>
      </c>
      <c r="AB196">
        <f>HYPERLINK("https://klasma.github.io/Logging_2039/tillsynsmail/A 42649-2023 tillsynsbegäran mail.docx", "A 42649-2023")</f>
        <v/>
      </c>
    </row>
    <row r="197" ht="15" customHeight="1">
      <c r="A197" t="inlineStr">
        <is>
          <t>A 13019-2026</t>
        </is>
      </c>
      <c r="B197" t="inlineStr">
        <is>
          <t>avverkningsanmälan</t>
        </is>
      </c>
      <c r="C197" t="inlineStr">
        <is>
          <t>Föryngringsavverkning</t>
        </is>
      </c>
      <c r="D197" s="1" t="n">
        <v>46092</v>
      </c>
      <c r="E197" s="1" t="n">
        <v>46217</v>
      </c>
      <c r="F197" t="inlineStr">
        <is>
          <t>DALARNAS LÄN</t>
        </is>
      </c>
      <c r="G197" t="inlineStr">
        <is>
          <t>ÄLVDALEN</t>
        </is>
      </c>
      <c r="I197" t="n">
        <v>27.2</v>
      </c>
      <c r="J197" t="n">
        <v>0</v>
      </c>
      <c r="K197" t="n">
        <v>0</v>
      </c>
      <c r="L197" t="n">
        <v>1</v>
      </c>
      <c r="M197" t="n">
        <v>0</v>
      </c>
      <c r="N197" t="n">
        <v>0</v>
      </c>
      <c r="O197" t="n">
        <v>0</v>
      </c>
      <c r="P197" t="n">
        <v>0</v>
      </c>
      <c r="Q197" t="n">
        <v>1</v>
      </c>
      <c r="R197" t="n">
        <v>0</v>
      </c>
      <c r="S197" t="n">
        <v>1</v>
      </c>
      <c r="T197" t="n">
        <v>1</v>
      </c>
      <c r="U197" s="2" t="inlineStr">
        <is>
          <t>Dvärgbägarlav</t>
        </is>
      </c>
      <c r="V197">
        <f>HYPERLINK("https://klasma.github.io/Logging_2039/artfynd/A 13019-2026 artfynd.xlsx", "A 13019-2026")</f>
        <v/>
      </c>
      <c r="W197">
        <f>HYPERLINK("https://klasma.github.io/Logging_2039/kartor/A 13019-2026 karta.png", "A 13019-2026")</f>
        <v/>
      </c>
      <c r="Y197">
        <f>HYPERLINK("https://klasma.github.io/Logging_2039/klagomål/A 13019-2026 FSC-klagomål.docx", "A 13019-2026")</f>
        <v/>
      </c>
      <c r="Z197">
        <f>HYPERLINK("https://klasma.github.io/Logging_2039/klagomålsmail/A 13019-2026 FSC-klagomål mail.docx", "A 13019-2026")</f>
        <v/>
      </c>
      <c r="AA197">
        <f>HYPERLINK("https://klasma.github.io/Logging_2039/tillsyn/A 13019-2026 tillsynsbegäran.docx", "A 13019-2026")</f>
        <v/>
      </c>
      <c r="AB197">
        <f>HYPERLINK("https://klasma.github.io/Logging_2039/tillsynsmail/A 13019-2026 tillsynsbegäran mail.docx", "A 13019-2026")</f>
        <v/>
      </c>
    </row>
    <row r="198" ht="15" customHeight="1">
      <c r="A198" t="inlineStr">
        <is>
          <t>A 18584-2026</t>
        </is>
      </c>
      <c r="B198" t="inlineStr">
        <is>
          <t>avverkningsanmälan</t>
        </is>
      </c>
      <c r="C198" t="inlineStr">
        <is>
          <t>Föryngringsavverkning</t>
        </is>
      </c>
      <c r="D198" s="1" t="n">
        <v>46127</v>
      </c>
      <c r="E198" s="1" t="n">
        <v>46217</v>
      </c>
      <c r="F198" t="inlineStr">
        <is>
          <t>DALARNAS LÄN</t>
        </is>
      </c>
      <c r="G198" t="inlineStr">
        <is>
          <t>ÄLVDALEN</t>
        </is>
      </c>
      <c r="H198" t="inlineStr">
        <is>
          <t>Sveaskog</t>
        </is>
      </c>
      <c r="I198" t="n">
        <v>1.9</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HYPERLINK("https://klasma.github.io/Logging_2039/artfynd/A 18584-2026 artfynd.xlsx", "A 18584-2026")</f>
        <v/>
      </c>
      <c r="W198">
        <f>HYPERLINK("https://klasma.github.io/Logging_2039/kartor/A 18584-2026 karta.png", "A 18584-2026")</f>
        <v/>
      </c>
      <c r="Y198">
        <f>HYPERLINK("https://klasma.github.io/Logging_2039/klagomål/A 18584-2026 FSC-klagomål.docx", "A 18584-2026")</f>
        <v/>
      </c>
      <c r="Z198">
        <f>HYPERLINK("https://klasma.github.io/Logging_2039/klagomålsmail/A 18584-2026 FSC-klagomål mail.docx", "A 18584-2026")</f>
        <v/>
      </c>
      <c r="AA198">
        <f>HYPERLINK("https://klasma.github.io/Logging_2039/tillsyn/A 18584-2026 tillsynsbegäran.docx", "A 18584-2026")</f>
        <v/>
      </c>
      <c r="AB198">
        <f>HYPERLINK("https://klasma.github.io/Logging_2039/tillsynsmail/A 18584-2026 tillsynsbegäran mail.docx", "A 18584-2026")</f>
        <v/>
      </c>
    </row>
    <row r="199" ht="15" customHeight="1">
      <c r="A199" t="inlineStr">
        <is>
          <t>A 40231-2021</t>
        </is>
      </c>
      <c r="B199" t="inlineStr">
        <is>
          <t>avverkningsanmälan</t>
        </is>
      </c>
      <c r="C199" t="inlineStr">
        <is>
          <t>Föryngringsavverkning</t>
        </is>
      </c>
      <c r="D199" s="1" t="n">
        <v>44419</v>
      </c>
      <c r="E199" s="1" t="n">
        <v>46217</v>
      </c>
      <c r="F199" t="inlineStr">
        <is>
          <t>DALARNAS LÄN</t>
        </is>
      </c>
      <c r="G199" t="inlineStr">
        <is>
          <t>ÄLVDALEN</t>
        </is>
      </c>
      <c r="H199" t="inlineStr">
        <is>
          <t>Sveaskog</t>
        </is>
      </c>
      <c r="I199" t="n">
        <v>4.1</v>
      </c>
      <c r="J199" t="n">
        <v>0</v>
      </c>
      <c r="K199" t="n">
        <v>0</v>
      </c>
      <c r="L199" t="n">
        <v>1</v>
      </c>
      <c r="M199" t="n">
        <v>0</v>
      </c>
      <c r="N199" t="n">
        <v>0</v>
      </c>
      <c r="O199" t="n">
        <v>0</v>
      </c>
      <c r="P199" t="n">
        <v>0</v>
      </c>
      <c r="Q199" t="n">
        <v>1</v>
      </c>
      <c r="R199" t="n">
        <v>0</v>
      </c>
      <c r="S199" t="n">
        <v>1</v>
      </c>
      <c r="T199" t="n">
        <v>1</v>
      </c>
      <c r="U199" s="2" t="inlineStr">
        <is>
          <t>Dropptaggsvamp</t>
        </is>
      </c>
      <c r="V199">
        <f>HYPERLINK("https://klasma.github.io/Logging_2039/artfynd/A 40231-2021 artfynd.xlsx", "A 40231-2021")</f>
        <v/>
      </c>
      <c r="W199">
        <f>HYPERLINK("https://klasma.github.io/Logging_2039/kartor/A 40231-2021 karta.png", "A 40231-2021")</f>
        <v/>
      </c>
      <c r="Y199">
        <f>HYPERLINK("https://klasma.github.io/Logging_2039/klagomål/A 40231-2021 FSC-klagomål.docx", "A 40231-2021")</f>
        <v/>
      </c>
      <c r="Z199">
        <f>HYPERLINK("https://klasma.github.io/Logging_2039/klagomålsmail/A 40231-2021 FSC-klagomål mail.docx", "A 40231-2021")</f>
        <v/>
      </c>
      <c r="AA199">
        <f>HYPERLINK("https://klasma.github.io/Logging_2039/tillsyn/A 40231-2021 tillsynsbegäran.docx", "A 40231-2021")</f>
        <v/>
      </c>
      <c r="AB199">
        <f>HYPERLINK("https://klasma.github.io/Logging_2039/tillsynsmail/A 40231-2021 tillsynsbegäran mail.docx", "A 40231-2021")</f>
        <v/>
      </c>
    </row>
    <row r="200" ht="15" customHeight="1">
      <c r="A200" t="inlineStr">
        <is>
          <t>A 22286-2025</t>
        </is>
      </c>
      <c r="B200" t="inlineStr">
        <is>
          <t>avverkningsanmälan</t>
        </is>
      </c>
      <c r="C200" t="inlineStr">
        <is>
          <t>Föryngringsavverkning</t>
        </is>
      </c>
      <c r="D200" s="1" t="n">
        <v>45786</v>
      </c>
      <c r="E200" s="1" t="n">
        <v>46217</v>
      </c>
      <c r="F200" t="inlineStr">
        <is>
          <t>DALARNAS LÄN</t>
        </is>
      </c>
      <c r="G200" t="inlineStr">
        <is>
          <t>ÄLVDALEN</t>
        </is>
      </c>
      <c r="H200" t="inlineStr">
        <is>
          <t>Sveaskog</t>
        </is>
      </c>
      <c r="I200" t="n">
        <v>1.3</v>
      </c>
      <c r="J200" t="n">
        <v>0</v>
      </c>
      <c r="K200" t="n">
        <v>0</v>
      </c>
      <c r="L200" t="n">
        <v>1</v>
      </c>
      <c r="M200" t="n">
        <v>0</v>
      </c>
      <c r="N200" t="n">
        <v>0</v>
      </c>
      <c r="O200" t="n">
        <v>0</v>
      </c>
      <c r="P200" t="n">
        <v>0</v>
      </c>
      <c r="Q200" t="n">
        <v>1</v>
      </c>
      <c r="R200" t="n">
        <v>0</v>
      </c>
      <c r="S200" t="n">
        <v>1</v>
      </c>
      <c r="T200" t="n">
        <v>1</v>
      </c>
      <c r="U200" s="2" t="inlineStr">
        <is>
          <t>Kolflarnlav</t>
        </is>
      </c>
      <c r="V200">
        <f>HYPERLINK("https://klasma.github.io/Logging_2039/artfynd/A 22286-2025 artfynd.xlsx", "A 22286-2025")</f>
        <v/>
      </c>
      <c r="W200">
        <f>HYPERLINK("https://klasma.github.io/Logging_2039/kartor/A 22286-2025 karta.png", "A 22286-2025")</f>
        <v/>
      </c>
      <c r="Y200">
        <f>HYPERLINK("https://klasma.github.io/Logging_2039/klagomål/A 22286-2025 FSC-klagomål.docx", "A 22286-2025")</f>
        <v/>
      </c>
      <c r="Z200">
        <f>HYPERLINK("https://klasma.github.io/Logging_2039/klagomålsmail/A 22286-2025 FSC-klagomål mail.docx", "A 22286-2025")</f>
        <v/>
      </c>
      <c r="AA200">
        <f>HYPERLINK("https://klasma.github.io/Logging_2039/tillsyn/A 22286-2025 tillsynsbegäran.docx", "A 22286-2025")</f>
        <v/>
      </c>
      <c r="AB200">
        <f>HYPERLINK("https://klasma.github.io/Logging_2039/tillsynsmail/A 22286-2025 tillsynsbegäran mail.docx", "A 22286-2025")</f>
        <v/>
      </c>
    </row>
    <row r="201" ht="15" customHeight="1">
      <c r="A201" t="inlineStr">
        <is>
          <t>A 27929-2025</t>
        </is>
      </c>
      <c r="B201" t="inlineStr">
        <is>
          <t>avverkningsanmälan</t>
        </is>
      </c>
      <c r="C201" t="inlineStr">
        <is>
          <t>Föryngringsavverkning</t>
        </is>
      </c>
      <c r="D201" s="1" t="n">
        <v>45817</v>
      </c>
      <c r="E201" s="1" t="n">
        <v>46217</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s="2" t="inlineStr">
        <is>
          <t>Dropptaggsvamp</t>
        </is>
      </c>
      <c r="V201">
        <f>HYPERLINK("https://klasma.github.io/Logging_2039/artfynd/A 27929-2025 artfynd.xlsx", "A 27929-2025")</f>
        <v/>
      </c>
      <c r="W201">
        <f>HYPERLINK("https://klasma.github.io/Logging_2039/kartor/A 27929-2025 karta.png", "A 27929-2025")</f>
        <v/>
      </c>
      <c r="Y201">
        <f>HYPERLINK("https://klasma.github.io/Logging_2039/klagomål/A 27929-2025 FSC-klagomål.docx", "A 27929-2025")</f>
        <v/>
      </c>
      <c r="Z201">
        <f>HYPERLINK("https://klasma.github.io/Logging_2039/klagomålsmail/A 27929-2025 FSC-klagomål mail.docx", "A 27929-2025")</f>
        <v/>
      </c>
      <c r="AA201">
        <f>HYPERLINK("https://klasma.github.io/Logging_2039/tillsyn/A 27929-2025 tillsynsbegäran.docx", "A 27929-2025")</f>
        <v/>
      </c>
      <c r="AB201">
        <f>HYPERLINK("https://klasma.github.io/Logging_2039/tillsynsmail/A 27929-2025 tillsynsbegäran mail.docx", "A 27929-2025")</f>
        <v/>
      </c>
    </row>
    <row r="202" ht="15" customHeight="1">
      <c r="A202" t="inlineStr">
        <is>
          <t>A 35352-2025</t>
        </is>
      </c>
      <c r="B202" t="inlineStr">
        <is>
          <t>avverkningsanmälan</t>
        </is>
      </c>
      <c r="C202" t="inlineStr">
        <is>
          <t>Avverkning för annat ändamål</t>
        </is>
      </c>
      <c r="D202" s="1" t="n">
        <v>45853</v>
      </c>
      <c r="E202" s="1" t="n">
        <v>46217</v>
      </c>
      <c r="F202" t="inlineStr">
        <is>
          <t>DALARNAS LÄN</t>
        </is>
      </c>
      <c r="G202" t="inlineStr">
        <is>
          <t>ÄLVDALEN</t>
        </is>
      </c>
      <c r="H202" t="inlineStr">
        <is>
          <t>Sveaskog</t>
        </is>
      </c>
      <c r="I202" t="n">
        <v>0.7</v>
      </c>
      <c r="J202" t="n">
        <v>0</v>
      </c>
      <c r="K202" t="n">
        <v>0</v>
      </c>
      <c r="L202" t="n">
        <v>0</v>
      </c>
      <c r="M202" t="n">
        <v>1</v>
      </c>
      <c r="N202" t="n">
        <v>0</v>
      </c>
      <c r="O202" t="n">
        <v>0</v>
      </c>
      <c r="P202" t="n">
        <v>0</v>
      </c>
      <c r="Q202" t="n">
        <v>1</v>
      </c>
      <c r="R202" t="n">
        <v>1</v>
      </c>
      <c r="S202" t="n">
        <v>1</v>
      </c>
      <c r="T202" t="n">
        <v>1</v>
      </c>
      <c r="U202" s="2" t="inlineStr">
        <is>
          <t>Gräddporing</t>
        </is>
      </c>
      <c r="V202">
        <f>HYPERLINK("https://klasma.github.io/Logging_2039/artfynd/A 35352-2025 artfynd.xlsx", "A 35352-2025")</f>
        <v/>
      </c>
      <c r="W202">
        <f>HYPERLINK("https://klasma.github.io/Logging_2039/kartor/A 35352-2025 karta.png", "A 35352-2025")</f>
        <v/>
      </c>
      <c r="Y202">
        <f>HYPERLINK("https://klasma.github.io/Logging_2039/klagomål/A 35352-2025 FSC-klagomål.docx", "A 35352-2025")</f>
        <v/>
      </c>
      <c r="Z202">
        <f>HYPERLINK("https://klasma.github.io/Logging_2039/klagomålsmail/A 35352-2025 FSC-klagomål mail.docx", "A 35352-2025")</f>
        <v/>
      </c>
      <c r="AA202">
        <f>HYPERLINK("https://klasma.github.io/Logging_2039/tillsyn/A 35352-2025 tillsynsbegäran.docx", "A 35352-2025")</f>
        <v/>
      </c>
      <c r="AB202">
        <f>HYPERLINK("https://klasma.github.io/Logging_2039/tillsynsmail/A 35352-2025 tillsynsbegäran mail.docx", "A 35352-2025")</f>
        <v/>
      </c>
    </row>
    <row r="203" ht="15" customHeight="1">
      <c r="A203" t="inlineStr">
        <is>
          <t>A 19578-2025</t>
        </is>
      </c>
      <c r="B203" t="inlineStr">
        <is>
          <t>avverkningsanmälan</t>
        </is>
      </c>
      <c r="C203" t="inlineStr">
        <is>
          <t>Föryngringsavverkning</t>
        </is>
      </c>
      <c r="D203" s="1" t="n">
        <v>45770</v>
      </c>
      <c r="E203" s="1" t="n">
        <v>46217</v>
      </c>
      <c r="F203" t="inlineStr">
        <is>
          <t>DALARNAS LÄN</t>
        </is>
      </c>
      <c r="G203" t="inlineStr">
        <is>
          <t>ÄLVDALEN</t>
        </is>
      </c>
      <c r="H203" t="inlineStr">
        <is>
          <t>Sveaskog</t>
        </is>
      </c>
      <c r="I203" t="n">
        <v>15.2</v>
      </c>
      <c r="J203" t="n">
        <v>0</v>
      </c>
      <c r="K203" t="n">
        <v>0</v>
      </c>
      <c r="L203" t="n">
        <v>1</v>
      </c>
      <c r="M203" t="n">
        <v>0</v>
      </c>
      <c r="N203" t="n">
        <v>0</v>
      </c>
      <c r="O203" t="n">
        <v>0</v>
      </c>
      <c r="P203" t="n">
        <v>0</v>
      </c>
      <c r="Q203" t="n">
        <v>1</v>
      </c>
      <c r="R203" t="n">
        <v>0</v>
      </c>
      <c r="S203" t="n">
        <v>1</v>
      </c>
      <c r="T203" t="n">
        <v>1</v>
      </c>
      <c r="U203" s="2" t="inlineStr">
        <is>
          <t>Orange taggsvamp</t>
        </is>
      </c>
      <c r="V203">
        <f>HYPERLINK("https://klasma.github.io/Logging_2039/artfynd/A 19578-2025 artfynd.xlsx", "A 19578-2025")</f>
        <v/>
      </c>
      <c r="W203">
        <f>HYPERLINK("https://klasma.github.io/Logging_2039/kartor/A 19578-2025 karta.png", "A 19578-2025")</f>
        <v/>
      </c>
      <c r="Y203">
        <f>HYPERLINK("https://klasma.github.io/Logging_2039/klagomål/A 19578-2025 FSC-klagomål.docx", "A 19578-2025")</f>
        <v/>
      </c>
      <c r="Z203">
        <f>HYPERLINK("https://klasma.github.io/Logging_2039/klagomålsmail/A 19578-2025 FSC-klagomål mail.docx", "A 19578-2025")</f>
        <v/>
      </c>
      <c r="AA203">
        <f>HYPERLINK("https://klasma.github.io/Logging_2039/tillsyn/A 19578-2025 tillsynsbegäran.docx", "A 19578-2025")</f>
        <v/>
      </c>
      <c r="AB203">
        <f>HYPERLINK("https://klasma.github.io/Logging_2039/tillsynsmail/A 19578-2025 tillsynsbegäran mail.docx", "A 19578-2025")</f>
        <v/>
      </c>
    </row>
    <row r="204" ht="15" customHeight="1">
      <c r="A204" t="inlineStr">
        <is>
          <t>S 1344-2022</t>
        </is>
      </c>
      <c r="B204" t="inlineStr">
        <is>
          <t>samrådsanmälan</t>
        </is>
      </c>
      <c r="C204" t="inlineStr">
        <is>
          <t>Annan skogsbruksåtgärd</t>
        </is>
      </c>
      <c r="D204" s="1" t="n">
        <v>44629</v>
      </c>
      <c r="E204" s="1" t="n">
        <v>46217</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s="2" t="inlineStr">
        <is>
          <t>Tjäder</t>
        </is>
      </c>
      <c r="V204">
        <f>HYPERLINK("https://klasma.github.io/Logging_2039/artfynd/S 1344-2022 artfynd.xlsx", "S 1344-2022")</f>
        <v/>
      </c>
      <c r="W204">
        <f>HYPERLINK("https://klasma.github.io/Logging_2039/kartor/S 1344-2022 karta.png", "S 1344-2022")</f>
        <v/>
      </c>
      <c r="Y204">
        <f>HYPERLINK("https://klasma.github.io/Logging_2039/klagomål/S 1344-2022 FSC-klagomål.docx", "S 1344-2022")</f>
        <v/>
      </c>
      <c r="Z204">
        <f>HYPERLINK("https://klasma.github.io/Logging_2039/klagomålsmail/S 1344-2022 FSC-klagomål mail.docx", "S 1344-2022")</f>
        <v/>
      </c>
      <c r="AA204">
        <f>HYPERLINK("https://klasma.github.io/Logging_2039/tillsyn/S 1344-2022 tillsynsbegäran.docx", "S 1344-2022")</f>
        <v/>
      </c>
      <c r="AB204">
        <f>HYPERLINK("https://klasma.github.io/Logging_2039/tillsynsmail/S 1344-2022 tillsynsbegäran mail.docx", "S 1344-2022")</f>
        <v/>
      </c>
      <c r="AC204">
        <f>HYPERLINK("https://klasma.github.io/Logging_2039/fåglar/S 1344-2022 prioriterade fågelarter.docx", "S 1344-2022")</f>
        <v/>
      </c>
    </row>
    <row r="205" ht="15" customHeight="1">
      <c r="A205" t="inlineStr">
        <is>
          <t>S 268-2022</t>
        </is>
      </c>
      <c r="B205" t="inlineStr">
        <is>
          <t>samrådsanmälan</t>
        </is>
      </c>
      <c r="C205" t="inlineStr">
        <is>
          <t>Annan skogsbruksåtgärd</t>
        </is>
      </c>
      <c r="D205" s="1" t="n">
        <v>44575</v>
      </c>
      <c r="E205" s="1" t="n">
        <v>46217</v>
      </c>
      <c r="F205" t="inlineStr">
        <is>
          <t>DALARNAS LÄN</t>
        </is>
      </c>
      <c r="G205" t="inlineStr">
        <is>
          <t>ÄLVDALEN</t>
        </is>
      </c>
      <c r="H205" t="inlineStr">
        <is>
          <t>Kommuner</t>
        </is>
      </c>
      <c r="I205" t="n">
        <v>13.4</v>
      </c>
      <c r="J205" t="n">
        <v>1</v>
      </c>
      <c r="K205" t="n">
        <v>0</v>
      </c>
      <c r="L205" t="n">
        <v>0</v>
      </c>
      <c r="M205" t="n">
        <v>0</v>
      </c>
      <c r="N205" t="n">
        <v>0</v>
      </c>
      <c r="O205" t="n">
        <v>0</v>
      </c>
      <c r="P205" t="n">
        <v>0</v>
      </c>
      <c r="Q205" t="n">
        <v>0</v>
      </c>
      <c r="R205" t="n">
        <v>0</v>
      </c>
      <c r="S205" t="n">
        <v>1</v>
      </c>
      <c r="T205" t="n">
        <v>1</v>
      </c>
      <c r="U205" s="2" t="inlineStr">
        <is>
          <t>Tjäder</t>
        </is>
      </c>
      <c r="V205">
        <f>HYPERLINK("https://klasma.github.io/Logging_2039/artfynd/S 268-2022 artfynd.xlsx", "S 268-2022")</f>
        <v/>
      </c>
      <c r="W205">
        <f>HYPERLINK("https://klasma.github.io/Logging_2039/kartor/S 268-2022 karta.png", "S 268-2022")</f>
        <v/>
      </c>
      <c r="Y205">
        <f>HYPERLINK("https://klasma.github.io/Logging_2039/klagomål/S 268-2022 FSC-klagomål.docx", "S 268-2022")</f>
        <v/>
      </c>
      <c r="Z205">
        <f>HYPERLINK("https://klasma.github.io/Logging_2039/klagomålsmail/S 268-2022 FSC-klagomål mail.docx", "S 268-2022")</f>
        <v/>
      </c>
      <c r="AA205">
        <f>HYPERLINK("https://klasma.github.io/Logging_2039/tillsyn/S 268-2022 tillsynsbegäran.docx", "S 268-2022")</f>
        <v/>
      </c>
      <c r="AB205">
        <f>HYPERLINK("https://klasma.github.io/Logging_2039/tillsynsmail/S 268-2022 tillsynsbegäran mail.docx", "S 268-2022")</f>
        <v/>
      </c>
      <c r="AC205">
        <f>HYPERLINK("https://klasma.github.io/Logging_2039/fåglar/S 268-2022 prioriterade fågelarter.docx", "S 268-2022")</f>
        <v/>
      </c>
    </row>
    <row r="206" ht="15" customHeight="1">
      <c r="A206" t="inlineStr">
        <is>
          <t>S 262-2025</t>
        </is>
      </c>
      <c r="B206" t="inlineStr">
        <is>
          <t>samrådsanmälan</t>
        </is>
      </c>
      <c r="C206" t="inlineStr">
        <is>
          <t>Skogsgödsling</t>
        </is>
      </c>
      <c r="D206" s="1" t="n">
        <v>45684</v>
      </c>
      <c r="E206" s="1" t="n">
        <v>46217</v>
      </c>
      <c r="F206" t="inlineStr">
        <is>
          <t>DALARNAS LÄN</t>
        </is>
      </c>
      <c r="G206" t="inlineStr">
        <is>
          <t>ÄLVDALEN</t>
        </is>
      </c>
      <c r="H206" t="inlineStr">
        <is>
          <t>Bergvik skog väst AB</t>
        </is>
      </c>
      <c r="I206" t="n">
        <v>42.5</v>
      </c>
      <c r="J206" t="n">
        <v>1</v>
      </c>
      <c r="K206" t="n">
        <v>0</v>
      </c>
      <c r="L206" t="n">
        <v>0</v>
      </c>
      <c r="M206" t="n">
        <v>0</v>
      </c>
      <c r="N206" t="n">
        <v>0</v>
      </c>
      <c r="O206" t="n">
        <v>0</v>
      </c>
      <c r="P206" t="n">
        <v>0</v>
      </c>
      <c r="Q206" t="n">
        <v>0</v>
      </c>
      <c r="R206" t="n">
        <v>0</v>
      </c>
      <c r="S206" t="n">
        <v>1</v>
      </c>
      <c r="T206" t="n">
        <v>1</v>
      </c>
      <c r="U206" s="2" t="inlineStr">
        <is>
          <t>Utter</t>
        </is>
      </c>
      <c r="V206">
        <f>HYPERLINK("https://klasma.github.io/Logging_2039/artfynd/S 262-2025 artfynd.xlsx", "S 262-2025")</f>
        <v/>
      </c>
      <c r="W206">
        <f>HYPERLINK("https://klasma.github.io/Logging_2039/kartor/S 262-2025 karta.png", "S 262-2025")</f>
        <v/>
      </c>
      <c r="Y206">
        <f>HYPERLINK("https://klasma.github.io/Logging_2039/klagomål/S 262-2025 FSC-klagomål.docx", "S 262-2025")</f>
        <v/>
      </c>
      <c r="Z206">
        <f>HYPERLINK("https://klasma.github.io/Logging_2039/klagomålsmail/S 262-2025 FSC-klagomål mail.docx", "S 262-2025")</f>
        <v/>
      </c>
      <c r="AA206">
        <f>HYPERLINK("https://klasma.github.io/Logging_2039/tillsyn/S 262-2025 tillsynsbegäran.docx", "S 262-2025")</f>
        <v/>
      </c>
      <c r="AB206">
        <f>HYPERLINK("https://klasma.github.io/Logging_2039/tillsynsmail/S 262-2025 tillsynsbegäran mail.docx", "S 262-2025")</f>
        <v/>
      </c>
    </row>
    <row r="207" ht="15" customHeight="1">
      <c r="A207" t="inlineStr">
        <is>
          <t>S 2480-2025</t>
        </is>
      </c>
      <c r="B207" t="inlineStr">
        <is>
          <t>samrådsanmälan</t>
        </is>
      </c>
      <c r="C207" t="inlineStr">
        <is>
          <t>Annan skogsbruksåtgärd</t>
        </is>
      </c>
      <c r="D207" s="1" t="n">
        <v>45903</v>
      </c>
      <c r="E207" s="1" t="n">
        <v>46217</v>
      </c>
      <c r="F207" t="inlineStr">
        <is>
          <t>DALARNAS LÄN</t>
        </is>
      </c>
      <c r="G207" t="inlineStr">
        <is>
          <t>ÄLVDALEN</t>
        </is>
      </c>
      <c r="H207" t="inlineStr">
        <is>
          <t>Sveaskog</t>
        </is>
      </c>
      <c r="I207" t="n">
        <v>5.5</v>
      </c>
      <c r="J207" t="n">
        <v>0</v>
      </c>
      <c r="K207" t="n">
        <v>0</v>
      </c>
      <c r="L207" t="n">
        <v>1</v>
      </c>
      <c r="M207" t="n">
        <v>0</v>
      </c>
      <c r="N207" t="n">
        <v>0</v>
      </c>
      <c r="O207" t="n">
        <v>0</v>
      </c>
      <c r="P207" t="n">
        <v>0</v>
      </c>
      <c r="Q207" t="n">
        <v>1</v>
      </c>
      <c r="R207" t="n">
        <v>0</v>
      </c>
      <c r="S207" t="n">
        <v>1</v>
      </c>
      <c r="T207" t="n">
        <v>1</v>
      </c>
      <c r="U207" s="2" t="inlineStr">
        <is>
          <t>Dropptaggsvamp</t>
        </is>
      </c>
      <c r="V207">
        <f>HYPERLINK("https://klasma.github.io/Logging_2039/artfynd/S 2480-2025 artfynd.xlsx", "S 2480-2025")</f>
        <v/>
      </c>
      <c r="W207">
        <f>HYPERLINK("https://klasma.github.io/Logging_2039/kartor/S 2480-2025 karta.png", "S 2480-2025")</f>
        <v/>
      </c>
      <c r="Y207">
        <f>HYPERLINK("https://klasma.github.io/Logging_2039/klagomål/S 2480-2025 FSC-klagomål.docx", "S 2480-2025")</f>
        <v/>
      </c>
      <c r="Z207">
        <f>HYPERLINK("https://klasma.github.io/Logging_2039/klagomålsmail/S 2480-2025 FSC-klagomål mail.docx", "S 2480-2025")</f>
        <v/>
      </c>
      <c r="AA207">
        <f>HYPERLINK("https://klasma.github.io/Logging_2039/tillsyn/S 2480-2025 tillsynsbegäran.docx", "S 2480-2025")</f>
        <v/>
      </c>
      <c r="AB207">
        <f>HYPERLINK("https://klasma.github.io/Logging_2039/tillsynsmail/S 2480-2025 tillsynsbegäran mail.docx", "S 2480-2025")</f>
        <v/>
      </c>
    </row>
    <row r="208" ht="15" customHeight="1">
      <c r="A208" t="inlineStr">
        <is>
          <t>A 15603-2022</t>
        </is>
      </c>
      <c r="B208" t="inlineStr">
        <is>
          <t>avverkningsanmälan</t>
        </is>
      </c>
      <c r="C208" t="inlineStr">
        <is>
          <t>Föryngringsavverkning</t>
        </is>
      </c>
      <c r="D208" s="1" t="n">
        <v>44662</v>
      </c>
      <c r="E208" s="1" t="n">
        <v>46217</v>
      </c>
      <c r="F208" t="inlineStr">
        <is>
          <t>DALARNAS LÄN</t>
        </is>
      </c>
      <c r="G208" t="inlineStr">
        <is>
          <t>ÄLVDALEN</t>
        </is>
      </c>
      <c r="I208" t="n">
        <v>2.6</v>
      </c>
      <c r="J208" t="n">
        <v>0</v>
      </c>
      <c r="K208" t="n">
        <v>0</v>
      </c>
      <c r="L208" t="n">
        <v>0</v>
      </c>
      <c r="M208" t="n">
        <v>0</v>
      </c>
      <c r="N208" t="n">
        <v>0</v>
      </c>
      <c r="O208" t="n">
        <v>0</v>
      </c>
      <c r="P208" t="n">
        <v>0</v>
      </c>
      <c r="Q208" t="n">
        <v>0</v>
      </c>
      <c r="R208" t="n">
        <v>0</v>
      </c>
      <c r="S208" t="n">
        <v>0</v>
      </c>
      <c r="T208" t="n">
        <v>0</v>
      </c>
      <c r="U208" s="2" t="inlineStr"/>
    </row>
    <row r="209" ht="15" customHeight="1">
      <c r="A209" t="inlineStr">
        <is>
          <t>A 29558-2022</t>
        </is>
      </c>
      <c r="B209" t="inlineStr">
        <is>
          <t>avverkningsanmälan</t>
        </is>
      </c>
      <c r="C209" t="inlineStr">
        <is>
          <t>Föryngringsavverkning</t>
        </is>
      </c>
      <c r="D209" s="1" t="n">
        <v>44754</v>
      </c>
      <c r="E209" s="1" t="n">
        <v>46217</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37740-2022</t>
        </is>
      </c>
      <c r="B210" t="inlineStr">
        <is>
          <t>avverkningsanmälan</t>
        </is>
      </c>
      <c r="C210" t="inlineStr">
        <is>
          <t>Föryngringsavverkning</t>
        </is>
      </c>
      <c r="D210" s="1" t="n">
        <v>44810</v>
      </c>
      <c r="E210" s="1" t="n">
        <v>46217</v>
      </c>
      <c r="F210" t="inlineStr">
        <is>
          <t>DALARNAS LÄN</t>
        </is>
      </c>
      <c r="G210" t="inlineStr">
        <is>
          <t>ÄLVDALEN</t>
        </is>
      </c>
      <c r="H210" t="inlineStr">
        <is>
          <t>Bergvik skog väst AB</t>
        </is>
      </c>
      <c r="I210" t="n">
        <v>4</v>
      </c>
      <c r="J210" t="n">
        <v>0</v>
      </c>
      <c r="K210" t="n">
        <v>0</v>
      </c>
      <c r="L210" t="n">
        <v>0</v>
      </c>
      <c r="M210" t="n">
        <v>0</v>
      </c>
      <c r="N210" t="n">
        <v>0</v>
      </c>
      <c r="O210" t="n">
        <v>0</v>
      </c>
      <c r="P210" t="n">
        <v>0</v>
      </c>
      <c r="Q210" t="n">
        <v>0</v>
      </c>
      <c r="R210" t="n">
        <v>0</v>
      </c>
      <c r="S210" t="n">
        <v>0</v>
      </c>
      <c r="T210" t="n">
        <v>0</v>
      </c>
      <c r="U210" s="2" t="inlineStr"/>
    </row>
    <row r="211" ht="15" customHeight="1">
      <c r="A211" t="inlineStr">
        <is>
          <t>A 72813-2021</t>
        </is>
      </c>
      <c r="B211" t="inlineStr">
        <is>
          <t>avverkningsanmälan</t>
        </is>
      </c>
      <c r="C211" t="inlineStr">
        <is>
          <t>Föryngringsavverkning</t>
        </is>
      </c>
      <c r="D211" s="1" t="n">
        <v>44546</v>
      </c>
      <c r="E211" s="1" t="n">
        <v>46217</v>
      </c>
      <c r="F211" t="inlineStr">
        <is>
          <t>DALARNAS LÄN</t>
        </is>
      </c>
      <c r="G211" t="inlineStr">
        <is>
          <t>ÄLVDALEN</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54292-2021</t>
        </is>
      </c>
      <c r="B212" t="inlineStr">
        <is>
          <t>avverkningsanmälan</t>
        </is>
      </c>
      <c r="C212" t="inlineStr">
        <is>
          <t>Föryngringsavverkning</t>
        </is>
      </c>
      <c r="D212" s="1" t="n">
        <v>44471</v>
      </c>
      <c r="E212" s="1" t="n">
        <v>46217</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40235-2021</t>
        </is>
      </c>
      <c r="B213" t="inlineStr">
        <is>
          <t>avverkningsanmälan</t>
        </is>
      </c>
      <c r="C213" t="inlineStr">
        <is>
          <t>Föryngringsavverkning</t>
        </is>
      </c>
      <c r="D213" s="1" t="n">
        <v>44419</v>
      </c>
      <c r="E213" s="1" t="n">
        <v>46217</v>
      </c>
      <c r="F213" t="inlineStr">
        <is>
          <t>DALARNAS LÄN</t>
        </is>
      </c>
      <c r="G213" t="inlineStr">
        <is>
          <t>ÄLVDALEN</t>
        </is>
      </c>
      <c r="H213" t="inlineStr">
        <is>
          <t>Sveaskog</t>
        </is>
      </c>
      <c r="I213" t="n">
        <v>3.3</v>
      </c>
      <c r="J213" t="n">
        <v>0</v>
      </c>
      <c r="K213" t="n">
        <v>0</v>
      </c>
      <c r="L213" t="n">
        <v>0</v>
      </c>
      <c r="M213" t="n">
        <v>0</v>
      </c>
      <c r="N213" t="n">
        <v>0</v>
      </c>
      <c r="O213" t="n">
        <v>0</v>
      </c>
      <c r="P213" t="n">
        <v>0</v>
      </c>
      <c r="Q213" t="n">
        <v>0</v>
      </c>
      <c r="R213" t="n">
        <v>0</v>
      </c>
      <c r="S213" t="n">
        <v>0</v>
      </c>
      <c r="T213" t="n">
        <v>0</v>
      </c>
      <c r="U213" s="2" t="inlineStr"/>
    </row>
    <row r="214" ht="15" customHeight="1">
      <c r="A214" t="inlineStr">
        <is>
          <t>A 14235-2022</t>
        </is>
      </c>
      <c r="B214" t="inlineStr">
        <is>
          <t>avverkningsanmälan</t>
        </is>
      </c>
      <c r="C214" t="inlineStr">
        <is>
          <t>Föryngringsavverkning</t>
        </is>
      </c>
      <c r="D214" s="1" t="n">
        <v>44651</v>
      </c>
      <c r="E214" s="1" t="n">
        <v>46217</v>
      </c>
      <c r="F214" t="inlineStr">
        <is>
          <t>DALARNAS LÄN</t>
        </is>
      </c>
      <c r="G214" t="inlineStr">
        <is>
          <t>ÄLVDALEN</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52124-2021</t>
        </is>
      </c>
      <c r="B215" t="inlineStr">
        <is>
          <t>avverkningsanmälan</t>
        </is>
      </c>
      <c r="C215" t="inlineStr">
        <is>
          <t>Föryngringsavverkning</t>
        </is>
      </c>
      <c r="D215" s="1" t="n">
        <v>44463</v>
      </c>
      <c r="E215" s="1" t="n">
        <v>46217</v>
      </c>
      <c r="F215" t="inlineStr">
        <is>
          <t>DALARNAS LÄN</t>
        </is>
      </c>
      <c r="G215" t="inlineStr">
        <is>
          <t>ÄLVDALEN</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29716-2022</t>
        </is>
      </c>
      <c r="B216" t="inlineStr">
        <is>
          <t>avverkningsanmälan</t>
        </is>
      </c>
      <c r="C216" t="inlineStr">
        <is>
          <t>Föryngringsavverkning</t>
        </is>
      </c>
      <c r="D216" s="1" t="n">
        <v>44755</v>
      </c>
      <c r="E216" s="1" t="n">
        <v>46217</v>
      </c>
      <c r="F216" t="inlineStr">
        <is>
          <t>DALARNAS LÄN</t>
        </is>
      </c>
      <c r="G216" t="inlineStr">
        <is>
          <t>ÄLVDALEN</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40919-2021</t>
        </is>
      </c>
      <c r="B217" t="inlineStr">
        <is>
          <t>avverkningsanmälan</t>
        </is>
      </c>
      <c r="C217" t="inlineStr">
        <is>
          <t>Föryngringsavverkning</t>
        </is>
      </c>
      <c r="D217" s="1" t="n">
        <v>44421</v>
      </c>
      <c r="E217" s="1" t="n">
        <v>46217</v>
      </c>
      <c r="F217" t="inlineStr">
        <is>
          <t>DALARNAS LÄN</t>
        </is>
      </c>
      <c r="G217" t="inlineStr">
        <is>
          <t>ÄLVDALEN</t>
        </is>
      </c>
      <c r="H217" t="inlineStr">
        <is>
          <t>Kyrkan</t>
        </is>
      </c>
      <c r="I217" t="n">
        <v>3.4</v>
      </c>
      <c r="J217" t="n">
        <v>0</v>
      </c>
      <c r="K217" t="n">
        <v>0</v>
      </c>
      <c r="L217" t="n">
        <v>0</v>
      </c>
      <c r="M217" t="n">
        <v>0</v>
      </c>
      <c r="N217" t="n">
        <v>0</v>
      </c>
      <c r="O217" t="n">
        <v>0</v>
      </c>
      <c r="P217" t="n">
        <v>0</v>
      </c>
      <c r="Q217" t="n">
        <v>0</v>
      </c>
      <c r="R217" t="n">
        <v>0</v>
      </c>
      <c r="S217" t="n">
        <v>0</v>
      </c>
      <c r="T217" t="n">
        <v>0</v>
      </c>
      <c r="U217" s="2" t="inlineStr"/>
    </row>
    <row r="218" ht="15" customHeight="1">
      <c r="A218" t="inlineStr">
        <is>
          <t>A 66634-2021</t>
        </is>
      </c>
      <c r="B218" t="inlineStr">
        <is>
          <t>avverkningsanmälan</t>
        </is>
      </c>
      <c r="C218" t="inlineStr">
        <is>
          <t>Föryngringsavverkning</t>
        </is>
      </c>
      <c r="D218" s="1" t="n">
        <v>44519</v>
      </c>
      <c r="E218" s="1" t="n">
        <v>46217</v>
      </c>
      <c r="F218" t="inlineStr">
        <is>
          <t>DALARNAS LÄN</t>
        </is>
      </c>
      <c r="G218" t="inlineStr">
        <is>
          <t>ÄLVDALEN</t>
        </is>
      </c>
      <c r="H218" t="inlineStr">
        <is>
          <t>Sveaskog</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38957-2021</t>
        </is>
      </c>
      <c r="B219" t="inlineStr">
        <is>
          <t>avverkningsanmälan</t>
        </is>
      </c>
      <c r="C219" t="inlineStr">
        <is>
          <t>Föryngringsavverkning</t>
        </is>
      </c>
      <c r="D219" s="1" t="n">
        <v>44411</v>
      </c>
      <c r="E219" s="1" t="n">
        <v>46217</v>
      </c>
      <c r="F219" t="inlineStr">
        <is>
          <t>DALARNAS LÄN</t>
        </is>
      </c>
      <c r="G219" t="inlineStr">
        <is>
          <t>ÄLVDALEN</t>
        </is>
      </c>
      <c r="I219" t="n">
        <v>4.6</v>
      </c>
      <c r="J219" t="n">
        <v>0</v>
      </c>
      <c r="K219" t="n">
        <v>0</v>
      </c>
      <c r="L219" t="n">
        <v>0</v>
      </c>
      <c r="M219" t="n">
        <v>0</v>
      </c>
      <c r="N219" t="n">
        <v>0</v>
      </c>
      <c r="O219" t="n">
        <v>0</v>
      </c>
      <c r="P219" t="n">
        <v>0</v>
      </c>
      <c r="Q219" t="n">
        <v>0</v>
      </c>
      <c r="R219" t="n">
        <v>0</v>
      </c>
      <c r="S219" t="n">
        <v>0</v>
      </c>
      <c r="T219" t="n">
        <v>0</v>
      </c>
      <c r="U219" s="2" t="inlineStr"/>
    </row>
    <row r="220" ht="15" customHeight="1">
      <c r="A220" t="inlineStr">
        <is>
          <t>A 56045-2021</t>
        </is>
      </c>
      <c r="B220" t="inlineStr">
        <is>
          <t>avverkningsanmälan</t>
        </is>
      </c>
      <c r="C220" t="inlineStr">
        <is>
          <t>Föryngringsavverkning</t>
        </is>
      </c>
      <c r="D220" s="1" t="n">
        <v>44477</v>
      </c>
      <c r="E220" s="1" t="n">
        <v>46217</v>
      </c>
      <c r="F220" t="inlineStr">
        <is>
          <t>DALARNAS LÄN</t>
        </is>
      </c>
      <c r="G220" t="inlineStr">
        <is>
          <t>ÄLVDALEN</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73691-2021</t>
        </is>
      </c>
      <c r="B221" t="inlineStr">
        <is>
          <t>avverkningsanmälan</t>
        </is>
      </c>
      <c r="C221" t="inlineStr">
        <is>
          <t>Föryngringsavverkning</t>
        </is>
      </c>
      <c r="D221" s="1" t="n">
        <v>44552</v>
      </c>
      <c r="E221" s="1" t="n">
        <v>46217</v>
      </c>
      <c r="F221" t="inlineStr">
        <is>
          <t>DALARNAS LÄN</t>
        </is>
      </c>
      <c r="G221" t="inlineStr">
        <is>
          <t>ÄLVDALEN</t>
        </is>
      </c>
      <c r="H221" t="inlineStr">
        <is>
          <t>Bergvik skog väst AB</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36826-2021</t>
        </is>
      </c>
      <c r="B222" t="inlineStr">
        <is>
          <t>avverkningsanmälan</t>
        </is>
      </c>
      <c r="C222" t="inlineStr">
        <is>
          <t>Föryngringsavverkning</t>
        </is>
      </c>
      <c r="D222" s="1" t="n">
        <v>44393</v>
      </c>
      <c r="E222" s="1" t="n">
        <v>46217</v>
      </c>
      <c r="F222" t="inlineStr">
        <is>
          <t>DALARNAS LÄN</t>
        </is>
      </c>
      <c r="G222" t="inlineStr">
        <is>
          <t>ÄLVDALEN</t>
        </is>
      </c>
      <c r="H222" t="inlineStr">
        <is>
          <t>Sveaskog</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36846-2021</t>
        </is>
      </c>
      <c r="B223" t="inlineStr">
        <is>
          <t>avverkningsanmälan</t>
        </is>
      </c>
      <c r="C223" t="inlineStr">
        <is>
          <t>Föryngringsavverkning</t>
        </is>
      </c>
      <c r="D223" s="1" t="n">
        <v>44393</v>
      </c>
      <c r="E223" s="1" t="n">
        <v>46217</v>
      </c>
      <c r="F223" t="inlineStr">
        <is>
          <t>DALARNAS LÄN</t>
        </is>
      </c>
      <c r="G223" t="inlineStr">
        <is>
          <t>ÄLVDALEN</t>
        </is>
      </c>
      <c r="H223" t="inlineStr">
        <is>
          <t>Sveaskog</t>
        </is>
      </c>
      <c r="I223" t="n">
        <v>10.8</v>
      </c>
      <c r="J223" t="n">
        <v>0</v>
      </c>
      <c r="K223" t="n">
        <v>0</v>
      </c>
      <c r="L223" t="n">
        <v>0</v>
      </c>
      <c r="M223" t="n">
        <v>0</v>
      </c>
      <c r="N223" t="n">
        <v>0</v>
      </c>
      <c r="O223" t="n">
        <v>0</v>
      </c>
      <c r="P223" t="n">
        <v>0</v>
      </c>
      <c r="Q223" t="n">
        <v>0</v>
      </c>
      <c r="R223" t="n">
        <v>0</v>
      </c>
      <c r="S223" t="n">
        <v>0</v>
      </c>
      <c r="T223" t="n">
        <v>0</v>
      </c>
      <c r="U223" s="2" t="inlineStr"/>
    </row>
    <row r="224" ht="15" customHeight="1">
      <c r="A224" t="inlineStr">
        <is>
          <t>A 41020-2021</t>
        </is>
      </c>
      <c r="B224" t="inlineStr">
        <is>
          <t>avverkningsanmälan</t>
        </is>
      </c>
      <c r="C224" t="inlineStr">
        <is>
          <t>Föryngringsavverkning</t>
        </is>
      </c>
      <c r="D224" s="1" t="n">
        <v>44421</v>
      </c>
      <c r="E224" s="1" t="n">
        <v>46217</v>
      </c>
      <c r="F224" t="inlineStr">
        <is>
          <t>DALARNAS LÄN</t>
        </is>
      </c>
      <c r="G224" t="inlineStr">
        <is>
          <t>ÄLVDALEN</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52064-2022</t>
        </is>
      </c>
      <c r="B225" t="inlineStr">
        <is>
          <t>avverkningsanmälan</t>
        </is>
      </c>
      <c r="C225" t="inlineStr">
        <is>
          <t>Föryngringsavverkning</t>
        </is>
      </c>
      <c r="D225" s="1" t="n">
        <v>44873</v>
      </c>
      <c r="E225" s="1" t="n">
        <v>46217</v>
      </c>
      <c r="F225" t="inlineStr">
        <is>
          <t>DALARNAS LÄN</t>
        </is>
      </c>
      <c r="G225" t="inlineStr">
        <is>
          <t>ÄLVDALEN</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39311-2022</t>
        </is>
      </c>
      <c r="B226" t="inlineStr">
        <is>
          <t>avverkningsanmälan</t>
        </is>
      </c>
      <c r="C226" t="inlineStr">
        <is>
          <t>Föryngringsavverkning</t>
        </is>
      </c>
      <c r="D226" s="1" t="n">
        <v>44817</v>
      </c>
      <c r="E226" s="1" t="n">
        <v>46217</v>
      </c>
      <c r="F226" t="inlineStr">
        <is>
          <t>DALARNAS LÄN</t>
        </is>
      </c>
      <c r="G226" t="inlineStr">
        <is>
          <t>ÄLVDALEN</t>
        </is>
      </c>
      <c r="H226" t="inlineStr">
        <is>
          <t>Bergvik skog väst AB</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62680-2021</t>
        </is>
      </c>
      <c r="B227" t="inlineStr">
        <is>
          <t>avverkningsanmälan</t>
        </is>
      </c>
      <c r="C227" t="inlineStr">
        <is>
          <t>Föryngringsavverkning</t>
        </is>
      </c>
      <c r="D227" s="1" t="n">
        <v>44504</v>
      </c>
      <c r="E227" s="1" t="n">
        <v>46217</v>
      </c>
      <c r="F227" t="inlineStr">
        <is>
          <t>DALARNAS LÄN</t>
        </is>
      </c>
      <c r="G227" t="inlineStr">
        <is>
          <t>ÄLVDALEN</t>
        </is>
      </c>
      <c r="H227" t="inlineStr">
        <is>
          <t>Bergvik skog öst AB</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45785-2022</t>
        </is>
      </c>
      <c r="B228" t="inlineStr">
        <is>
          <t>avverkningsanmälan</t>
        </is>
      </c>
      <c r="C228" t="inlineStr">
        <is>
          <t>Föryngringsavverkning</t>
        </is>
      </c>
      <c r="D228" s="1" t="n">
        <v>44846</v>
      </c>
      <c r="E228" s="1" t="n">
        <v>46217</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50349-2021</t>
        </is>
      </c>
      <c r="B229" t="inlineStr">
        <is>
          <t>avverkningsanmälan</t>
        </is>
      </c>
      <c r="C229" t="inlineStr">
        <is>
          <t>Föryngringsavverkning</t>
        </is>
      </c>
      <c r="D229" s="1" t="n">
        <v>44459</v>
      </c>
      <c r="E229" s="1" t="n">
        <v>46217</v>
      </c>
      <c r="F229" t="inlineStr">
        <is>
          <t>DALARNAS LÄN</t>
        </is>
      </c>
      <c r="G229" t="inlineStr">
        <is>
          <t>ÄLVDALEN</t>
        </is>
      </c>
      <c r="H229" t="inlineStr">
        <is>
          <t>Sveaskog</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52877-2021</t>
        </is>
      </c>
      <c r="B230" t="inlineStr">
        <is>
          <t>avverkningsanmälan</t>
        </is>
      </c>
      <c r="C230" t="inlineStr">
        <is>
          <t>Föryngringsavverkning</t>
        </is>
      </c>
      <c r="D230" s="1" t="n">
        <v>44467</v>
      </c>
      <c r="E230" s="1" t="n">
        <v>46217</v>
      </c>
      <c r="F230" t="inlineStr">
        <is>
          <t>DALARNAS LÄN</t>
        </is>
      </c>
      <c r="G230" t="inlineStr">
        <is>
          <t>ÄLVDALEN</t>
        </is>
      </c>
      <c r="H230" t="inlineStr">
        <is>
          <t>Sveaskog</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70990-2021</t>
        </is>
      </c>
      <c r="B231" t="inlineStr">
        <is>
          <t>avverkningsanmälan</t>
        </is>
      </c>
      <c r="C231" t="inlineStr">
        <is>
          <t>Föryngringsavverkning</t>
        </is>
      </c>
      <c r="D231" s="1" t="n">
        <v>44538</v>
      </c>
      <c r="E231" s="1" t="n">
        <v>46217</v>
      </c>
      <c r="F231" t="inlineStr">
        <is>
          <t>DALARNAS LÄN</t>
        </is>
      </c>
      <c r="G231" t="inlineStr">
        <is>
          <t>ÄLVDALEN</t>
        </is>
      </c>
      <c r="H231" t="inlineStr">
        <is>
          <t>Kyrkan</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50209-2022</t>
        </is>
      </c>
      <c r="B232" t="inlineStr">
        <is>
          <t>avverkningsanmälan</t>
        </is>
      </c>
      <c r="C232" t="inlineStr">
        <is>
          <t>Föryngringsavverkning</t>
        </is>
      </c>
      <c r="D232" s="1" t="n">
        <v>44865</v>
      </c>
      <c r="E232" s="1" t="n">
        <v>46217</v>
      </c>
      <c r="F232" t="inlineStr">
        <is>
          <t>DALARNAS LÄN</t>
        </is>
      </c>
      <c r="G232" t="inlineStr">
        <is>
          <t>ÄLVDALEN</t>
        </is>
      </c>
      <c r="H232" t="inlineStr">
        <is>
          <t>Sveaskog</t>
        </is>
      </c>
      <c r="I232" t="n">
        <v>3.7</v>
      </c>
      <c r="J232" t="n">
        <v>0</v>
      </c>
      <c r="K232" t="n">
        <v>0</v>
      </c>
      <c r="L232" t="n">
        <v>0</v>
      </c>
      <c r="M232" t="n">
        <v>0</v>
      </c>
      <c r="N232" t="n">
        <v>0</v>
      </c>
      <c r="O232" t="n">
        <v>0</v>
      </c>
      <c r="P232" t="n">
        <v>0</v>
      </c>
      <c r="Q232" t="n">
        <v>0</v>
      </c>
      <c r="R232" t="n">
        <v>0</v>
      </c>
      <c r="S232" t="n">
        <v>0</v>
      </c>
      <c r="T232" t="n">
        <v>0</v>
      </c>
      <c r="U232" s="2" t="inlineStr"/>
    </row>
    <row r="233" ht="15" customHeight="1">
      <c r="A233" t="inlineStr">
        <is>
          <t>A 43972-2021</t>
        </is>
      </c>
      <c r="B233" t="inlineStr">
        <is>
          <t>avverkningsanmälan</t>
        </is>
      </c>
      <c r="C233" t="inlineStr">
        <is>
          <t>Föryngringsavverkning</t>
        </is>
      </c>
      <c r="D233" s="1" t="n">
        <v>44434</v>
      </c>
      <c r="E233" s="1" t="n">
        <v>46217</v>
      </c>
      <c r="F233" t="inlineStr">
        <is>
          <t>DALARNAS LÄN</t>
        </is>
      </c>
      <c r="G233" t="inlineStr">
        <is>
          <t>ÄLVDALEN</t>
        </is>
      </c>
      <c r="H233" t="inlineStr">
        <is>
          <t>Sveaskog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36824-2021</t>
        </is>
      </c>
      <c r="B234" t="inlineStr">
        <is>
          <t>avverkningsanmälan</t>
        </is>
      </c>
      <c r="C234" t="inlineStr">
        <is>
          <t>Föryngringsavverkning</t>
        </is>
      </c>
      <c r="D234" s="1" t="n">
        <v>44393</v>
      </c>
      <c r="E234" s="1" t="n">
        <v>46217</v>
      </c>
      <c r="F234" t="inlineStr">
        <is>
          <t>DALARNAS LÄN</t>
        </is>
      </c>
      <c r="G234" t="inlineStr">
        <is>
          <t>ÄLVDALEN</t>
        </is>
      </c>
      <c r="H234" t="inlineStr">
        <is>
          <t>Sveaskog</t>
        </is>
      </c>
      <c r="I234" t="n">
        <v>8.300000000000001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51844-2021</t>
        </is>
      </c>
      <c r="B235" t="inlineStr">
        <is>
          <t>avverkningsanmälan</t>
        </is>
      </c>
      <c r="C235" t="inlineStr">
        <is>
          <t>Föryngringsavverkning</t>
        </is>
      </c>
      <c r="D235" s="1" t="n">
        <v>44462</v>
      </c>
      <c r="E235" s="1" t="n">
        <v>46217</v>
      </c>
      <c r="F235" t="inlineStr">
        <is>
          <t>DALARNAS LÄN</t>
        </is>
      </c>
      <c r="G235" t="inlineStr">
        <is>
          <t>ÄLVDALEN</t>
        </is>
      </c>
      <c r="H235" t="inlineStr">
        <is>
          <t>Bergvik skog väst AB</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48558-2021</t>
        </is>
      </c>
      <c r="B236" t="inlineStr">
        <is>
          <t>avverkningsanmälan</t>
        </is>
      </c>
      <c r="C236" t="inlineStr">
        <is>
          <t>Avverkning för annat ändamål</t>
        </is>
      </c>
      <c r="D236" s="1" t="n">
        <v>44452</v>
      </c>
      <c r="E236" s="1" t="n">
        <v>46217</v>
      </c>
      <c r="F236" t="inlineStr">
        <is>
          <t>DALARNAS LÄN</t>
        </is>
      </c>
      <c r="G236" t="inlineStr">
        <is>
          <t>ÄLVDALEN</t>
        </is>
      </c>
      <c r="H236" t="inlineStr">
        <is>
          <t>Sveaskog</t>
        </is>
      </c>
      <c r="I236" t="n">
        <v>0.1</v>
      </c>
      <c r="J236" t="n">
        <v>0</v>
      </c>
      <c r="K236" t="n">
        <v>0</v>
      </c>
      <c r="L236" t="n">
        <v>0</v>
      </c>
      <c r="M236" t="n">
        <v>0</v>
      </c>
      <c r="N236" t="n">
        <v>0</v>
      </c>
      <c r="O236" t="n">
        <v>0</v>
      </c>
      <c r="P236" t="n">
        <v>0</v>
      </c>
      <c r="Q236" t="n">
        <v>0</v>
      </c>
      <c r="R236" t="n">
        <v>0</v>
      </c>
      <c r="S236" t="n">
        <v>0</v>
      </c>
      <c r="T236" t="n">
        <v>0</v>
      </c>
      <c r="U236" s="2" t="inlineStr"/>
    </row>
    <row r="237" ht="15" customHeight="1">
      <c r="A237" t="inlineStr">
        <is>
          <t>A 50708-2021</t>
        </is>
      </c>
      <c r="B237" t="inlineStr">
        <is>
          <t>avverkningsanmälan</t>
        </is>
      </c>
      <c r="C237" t="inlineStr">
        <is>
          <t>Föryngringsavverkning</t>
        </is>
      </c>
      <c r="D237" s="1" t="n">
        <v>44459</v>
      </c>
      <c r="E237" s="1" t="n">
        <v>46217</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19939-2022</t>
        </is>
      </c>
      <c r="B238" t="inlineStr">
        <is>
          <t>avverkningsanmälan</t>
        </is>
      </c>
      <c r="C238" t="inlineStr">
        <is>
          <t>Avverkning för annat ändamål</t>
        </is>
      </c>
      <c r="D238" s="1" t="n">
        <v>44697</v>
      </c>
      <c r="E238" s="1" t="n">
        <v>46217</v>
      </c>
      <c r="F238" t="inlineStr">
        <is>
          <t>DALARNAS LÄN</t>
        </is>
      </c>
      <c r="G238" t="inlineStr">
        <is>
          <t>ÄLVDALEN</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56047-2021</t>
        </is>
      </c>
      <c r="B239" t="inlineStr">
        <is>
          <t>avverkningsanmälan</t>
        </is>
      </c>
      <c r="C239" t="inlineStr">
        <is>
          <t>Föryngringsavverkning</t>
        </is>
      </c>
      <c r="D239" s="1" t="n">
        <v>44477</v>
      </c>
      <c r="E239" s="1" t="n">
        <v>46217</v>
      </c>
      <c r="F239" t="inlineStr">
        <is>
          <t>DALARNAS LÄN</t>
        </is>
      </c>
      <c r="G239" t="inlineStr">
        <is>
          <t>ÄLVDALEN</t>
        </is>
      </c>
      <c r="H239" t="inlineStr">
        <is>
          <t>Sveaskog</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46917-2021</t>
        </is>
      </c>
      <c r="B240" t="inlineStr">
        <is>
          <t>avverkningsanmälan</t>
        </is>
      </c>
      <c r="C240" t="inlineStr">
        <is>
          <t>Föryngringsavverkning</t>
        </is>
      </c>
      <c r="D240" s="1" t="n">
        <v>44446</v>
      </c>
      <c r="E240" s="1" t="n">
        <v>46217</v>
      </c>
      <c r="F240" t="inlineStr">
        <is>
          <t>DALARNAS LÄN</t>
        </is>
      </c>
      <c r="G240" t="inlineStr">
        <is>
          <t>ÄLVDALEN</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51161-2021</t>
        </is>
      </c>
      <c r="B241" t="inlineStr">
        <is>
          <t>avverkningsanmälan</t>
        </is>
      </c>
      <c r="C241" t="inlineStr">
        <is>
          <t>Föryngringsavverkning</t>
        </is>
      </c>
      <c r="D241" s="1" t="n">
        <v>44461</v>
      </c>
      <c r="E241" s="1" t="n">
        <v>46217</v>
      </c>
      <c r="F241" t="inlineStr">
        <is>
          <t>DALARNAS LÄN</t>
        </is>
      </c>
      <c r="G241" t="inlineStr">
        <is>
          <t>ÄLVDALEN</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61563-2021</t>
        </is>
      </c>
      <c r="B242" t="inlineStr">
        <is>
          <t>avverkningsanmälan</t>
        </is>
      </c>
      <c r="C242" t="inlineStr">
        <is>
          <t>Föryngringsavverkning</t>
        </is>
      </c>
      <c r="D242" s="1" t="n">
        <v>44501</v>
      </c>
      <c r="E242" s="1" t="n">
        <v>46217</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21279-2022</t>
        </is>
      </c>
      <c r="B243" t="inlineStr">
        <is>
          <t>avverkningsanmälan</t>
        </is>
      </c>
      <c r="C243" t="inlineStr">
        <is>
          <t>Föryngringsavverkning</t>
        </is>
      </c>
      <c r="D243" s="1" t="n">
        <v>44705</v>
      </c>
      <c r="E243" s="1" t="n">
        <v>46217</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s="2" t="inlineStr"/>
    </row>
    <row r="244" ht="15" customHeight="1">
      <c r="A244" t="inlineStr">
        <is>
          <t>A 40234-2021</t>
        </is>
      </c>
      <c r="B244" t="inlineStr">
        <is>
          <t>avverkningsanmälan</t>
        </is>
      </c>
      <c r="C244" t="inlineStr">
        <is>
          <t>Föryngringsavverkning</t>
        </is>
      </c>
      <c r="D244" s="1" t="n">
        <v>44419</v>
      </c>
      <c r="E244" s="1" t="n">
        <v>46217</v>
      </c>
      <c r="F244" t="inlineStr">
        <is>
          <t>DALARNAS LÄN</t>
        </is>
      </c>
      <c r="G244" t="inlineStr">
        <is>
          <t>ÄLVDALEN</t>
        </is>
      </c>
      <c r="H244" t="inlineStr">
        <is>
          <t>Sveaskog</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57783-2021</t>
        </is>
      </c>
      <c r="B245" t="inlineStr">
        <is>
          <t>avverkningsanmälan</t>
        </is>
      </c>
      <c r="C245" t="inlineStr">
        <is>
          <t>Föryngringsavverkning</t>
        </is>
      </c>
      <c r="D245" s="1" t="n">
        <v>44484</v>
      </c>
      <c r="E245" s="1" t="n">
        <v>46217</v>
      </c>
      <c r="F245" t="inlineStr">
        <is>
          <t>DALARNAS LÄN</t>
        </is>
      </c>
      <c r="G245" t="inlineStr">
        <is>
          <t>ÄLVDALEN</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55990-2021</t>
        </is>
      </c>
      <c r="B246" t="inlineStr">
        <is>
          <t>avverkningsanmälan</t>
        </is>
      </c>
      <c r="C246" t="inlineStr">
        <is>
          <t>Föryngringsavverkning</t>
        </is>
      </c>
      <c r="D246" s="1" t="n">
        <v>44477</v>
      </c>
      <c r="E246" s="1" t="n">
        <v>46217</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25602-2022</t>
        </is>
      </c>
      <c r="B247" t="inlineStr">
        <is>
          <t>avverkningsanmälan</t>
        </is>
      </c>
      <c r="C247" t="inlineStr">
        <is>
          <t>Föryngringsavverkning</t>
        </is>
      </c>
      <c r="D247" s="1" t="n">
        <v>44732</v>
      </c>
      <c r="E247" s="1" t="n">
        <v>46217</v>
      </c>
      <c r="F247" t="inlineStr">
        <is>
          <t>DALARNAS LÄN</t>
        </is>
      </c>
      <c r="G247" t="inlineStr">
        <is>
          <t>ÄLVDALEN</t>
        </is>
      </c>
      <c r="H247" t="inlineStr">
        <is>
          <t>Bergvik skog väst AB</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37009-2021</t>
        </is>
      </c>
      <c r="B248" t="inlineStr">
        <is>
          <t>avverkningsanmälan</t>
        </is>
      </c>
      <c r="C248" t="inlineStr">
        <is>
          <t>Föryngringsavverkning</t>
        </is>
      </c>
      <c r="D248" s="1" t="n">
        <v>44393</v>
      </c>
      <c r="E248" s="1" t="n">
        <v>46217</v>
      </c>
      <c r="F248" t="inlineStr">
        <is>
          <t>DALARNAS LÄN</t>
        </is>
      </c>
      <c r="G248" t="inlineStr">
        <is>
          <t>ÄLVDALEN</t>
        </is>
      </c>
      <c r="H248" t="inlineStr">
        <is>
          <t>Bergvik skog öst AB</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71282-2021</t>
        </is>
      </c>
      <c r="B249" t="inlineStr">
        <is>
          <t>avverkningsanmälan</t>
        </is>
      </c>
      <c r="C249" t="inlineStr">
        <is>
          <t>Föryngringsavverkning</t>
        </is>
      </c>
      <c r="D249" s="1" t="n">
        <v>44539</v>
      </c>
      <c r="E249" s="1" t="n">
        <v>46217</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70252-2021</t>
        </is>
      </c>
      <c r="B250" t="inlineStr">
        <is>
          <t>avverkningsanmälan</t>
        </is>
      </c>
      <c r="C250" t="inlineStr">
        <is>
          <t>Föryngringsavverkning</t>
        </is>
      </c>
      <c r="D250" s="1" t="n">
        <v>44536</v>
      </c>
      <c r="E250" s="1" t="n">
        <v>46217</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7530-2022</t>
        </is>
      </c>
      <c r="B251" t="inlineStr">
        <is>
          <t>avverkningsanmälan</t>
        </is>
      </c>
      <c r="C251" t="inlineStr">
        <is>
          <t>Föryngringsavverkning</t>
        </is>
      </c>
      <c r="D251" s="1" t="n">
        <v>44607</v>
      </c>
      <c r="E251" s="1" t="n">
        <v>46217</v>
      </c>
      <c r="F251" t="inlineStr">
        <is>
          <t>DALARNAS LÄN</t>
        </is>
      </c>
      <c r="G251" t="inlineStr">
        <is>
          <t>ÄLVDALEN</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37490-2021</t>
        </is>
      </c>
      <c r="B252" t="inlineStr">
        <is>
          <t>avverkningsanmälan</t>
        </is>
      </c>
      <c r="C252" t="inlineStr">
        <is>
          <t>Avverkning för annat ändamål</t>
        </is>
      </c>
      <c r="D252" s="1" t="n">
        <v>44399</v>
      </c>
      <c r="E252" s="1" t="n">
        <v>46217</v>
      </c>
      <c r="F252" t="inlineStr">
        <is>
          <t>DALARNAS LÄN</t>
        </is>
      </c>
      <c r="G252" t="inlineStr">
        <is>
          <t>ÄLVDALEN</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17627-2022</t>
        </is>
      </c>
      <c r="B253" t="inlineStr">
        <is>
          <t>avverkningsanmälan</t>
        </is>
      </c>
      <c r="C253" t="inlineStr">
        <is>
          <t>Avverkning för annat ändamål</t>
        </is>
      </c>
      <c r="D253" s="1" t="n">
        <v>44680</v>
      </c>
      <c r="E253" s="1" t="n">
        <v>46217</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54407-2022</t>
        </is>
      </c>
      <c r="B254" t="inlineStr">
        <is>
          <t>avverkningsanmälan</t>
        </is>
      </c>
      <c r="C254" t="inlineStr">
        <is>
          <t>Föryngringsavverkning</t>
        </is>
      </c>
      <c r="D254" s="1" t="n">
        <v>44882</v>
      </c>
      <c r="E254" s="1" t="n">
        <v>46217</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12066-2022</t>
        </is>
      </c>
      <c r="B255" t="inlineStr">
        <is>
          <t>avverkningsanmälan</t>
        </is>
      </c>
      <c r="C255" t="inlineStr">
        <is>
          <t>Föryngringsavverkning</t>
        </is>
      </c>
      <c r="D255" s="1" t="n">
        <v>44636</v>
      </c>
      <c r="E255" s="1" t="n">
        <v>46217</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38957-2022</t>
        </is>
      </c>
      <c r="B256" t="inlineStr">
        <is>
          <t>avverkningsanmälan</t>
        </is>
      </c>
      <c r="C256" t="inlineStr">
        <is>
          <t>Föryngringsavverkning</t>
        </is>
      </c>
      <c r="D256" s="1" t="n">
        <v>44816</v>
      </c>
      <c r="E256" s="1" t="n">
        <v>46217</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72846-2021</t>
        </is>
      </c>
      <c r="B257" t="inlineStr">
        <is>
          <t>avverkningsanmälan</t>
        </is>
      </c>
      <c r="C257" t="inlineStr">
        <is>
          <t>Avverkning för annat ändamål</t>
        </is>
      </c>
      <c r="D257" s="1" t="n">
        <v>44547</v>
      </c>
      <c r="E257" s="1" t="n">
        <v>46217</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27480-2022</t>
        </is>
      </c>
      <c r="B258" t="inlineStr">
        <is>
          <t>avverkningsanmälan</t>
        </is>
      </c>
      <c r="C258" t="inlineStr">
        <is>
          <t>Föryngringsavverkning</t>
        </is>
      </c>
      <c r="D258" s="1" t="n">
        <v>44742</v>
      </c>
      <c r="E258" s="1" t="n">
        <v>46217</v>
      </c>
      <c r="F258" t="inlineStr">
        <is>
          <t>DALARNAS LÄN</t>
        </is>
      </c>
      <c r="G258" t="inlineStr">
        <is>
          <t>ÄLVDALEN</t>
        </is>
      </c>
      <c r="H258" t="inlineStr">
        <is>
          <t>Bergvik skog väst AB</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19992-2023</t>
        </is>
      </c>
      <c r="B259" t="inlineStr">
        <is>
          <t>avverkningsanmälan</t>
        </is>
      </c>
      <c r="C259" t="inlineStr">
        <is>
          <t>Föryngringsavverkning</t>
        </is>
      </c>
      <c r="D259" s="1" t="n">
        <v>45054</v>
      </c>
      <c r="E259" s="1" t="n">
        <v>46217</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45245-2022</t>
        </is>
      </c>
      <c r="B260" t="inlineStr">
        <is>
          <t>avverkningsanmälan</t>
        </is>
      </c>
      <c r="C260" t="inlineStr">
        <is>
          <t>Föryngringsavverkning</t>
        </is>
      </c>
      <c r="D260" s="1" t="n">
        <v>44844</v>
      </c>
      <c r="E260" s="1" t="n">
        <v>46217</v>
      </c>
      <c r="F260" t="inlineStr">
        <is>
          <t>DALARNAS LÄN</t>
        </is>
      </c>
      <c r="G260" t="inlineStr">
        <is>
          <t>ÄLVDALEN</t>
        </is>
      </c>
      <c r="H260" t="inlineStr">
        <is>
          <t>Bergvik skog väst AB</t>
        </is>
      </c>
      <c r="I260" t="n">
        <v>3.1</v>
      </c>
      <c r="J260" t="n">
        <v>0</v>
      </c>
      <c r="K260" t="n">
        <v>0</v>
      </c>
      <c r="L260" t="n">
        <v>0</v>
      </c>
      <c r="M260" t="n">
        <v>0</v>
      </c>
      <c r="N260" t="n">
        <v>0</v>
      </c>
      <c r="O260" t="n">
        <v>0</v>
      </c>
      <c r="P260" t="n">
        <v>0</v>
      </c>
      <c r="Q260" t="n">
        <v>0</v>
      </c>
      <c r="R260" t="n">
        <v>0</v>
      </c>
      <c r="S260" t="n">
        <v>0</v>
      </c>
      <c r="T260" t="n">
        <v>0</v>
      </c>
      <c r="U260" s="2" t="inlineStr"/>
    </row>
    <row r="261" ht="15" customHeight="1">
      <c r="A261" t="inlineStr">
        <is>
          <t>A 49063-2023</t>
        </is>
      </c>
      <c r="B261" t="inlineStr">
        <is>
          <t>avverkningsanmälan</t>
        </is>
      </c>
      <c r="C261" t="inlineStr">
        <is>
          <t>Föryngringsavverkning</t>
        </is>
      </c>
      <c r="D261" s="1" t="n">
        <v>45210</v>
      </c>
      <c r="E261" s="1" t="n">
        <v>46217</v>
      </c>
      <c r="F261" t="inlineStr">
        <is>
          <t>DALARNAS LÄN</t>
        </is>
      </c>
      <c r="G261" t="inlineStr">
        <is>
          <t>ÄLVDALEN</t>
        </is>
      </c>
      <c r="I261" t="n">
        <v>4.1</v>
      </c>
      <c r="J261" t="n">
        <v>0</v>
      </c>
      <c r="K261" t="n">
        <v>0</v>
      </c>
      <c r="L261" t="n">
        <v>0</v>
      </c>
      <c r="M261" t="n">
        <v>0</v>
      </c>
      <c r="N261" t="n">
        <v>0</v>
      </c>
      <c r="O261" t="n">
        <v>0</v>
      </c>
      <c r="P261" t="n">
        <v>0</v>
      </c>
      <c r="Q261" t="n">
        <v>0</v>
      </c>
      <c r="R261" t="n">
        <v>0</v>
      </c>
      <c r="S261" t="n">
        <v>0</v>
      </c>
      <c r="T261" t="n">
        <v>0</v>
      </c>
      <c r="U261" s="2" t="inlineStr"/>
    </row>
    <row r="262" ht="15" customHeight="1">
      <c r="A262" t="inlineStr">
        <is>
          <t>A 2381-2024</t>
        </is>
      </c>
      <c r="B262" t="inlineStr">
        <is>
          <t>avverkningsanmälan</t>
        </is>
      </c>
      <c r="C262" t="inlineStr">
        <is>
          <t>Föryngringsavverkning</t>
        </is>
      </c>
      <c r="D262" s="1" t="n">
        <v>45310</v>
      </c>
      <c r="E262" s="1" t="n">
        <v>46217</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7232-2025</t>
        </is>
      </c>
      <c r="B263" t="inlineStr">
        <is>
          <t>avverkningsanmälan</t>
        </is>
      </c>
      <c r="C263" t="inlineStr">
        <is>
          <t>Avverkning för annat ändamål</t>
        </is>
      </c>
      <c r="D263" s="1" t="n">
        <v>45702</v>
      </c>
      <c r="E263" s="1" t="n">
        <v>46217</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53408-2023</t>
        </is>
      </c>
      <c r="B264" t="inlineStr">
        <is>
          <t>avverkningsanmälan</t>
        </is>
      </c>
      <c r="C264" t="inlineStr">
        <is>
          <t>Föryngringsavverkning</t>
        </is>
      </c>
      <c r="D264" s="1" t="n">
        <v>45229</v>
      </c>
      <c r="E264" s="1" t="n">
        <v>46217</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18075-2024</t>
        </is>
      </c>
      <c r="B265" t="inlineStr">
        <is>
          <t>avverkningsanmälan</t>
        </is>
      </c>
      <c r="C265" t="inlineStr">
        <is>
          <t>Föryngringsavverkning</t>
        </is>
      </c>
      <c r="D265" s="1" t="n">
        <v>45420</v>
      </c>
      <c r="E265" s="1" t="n">
        <v>46217</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s="2" t="inlineStr"/>
    </row>
    <row r="266" ht="15" customHeight="1">
      <c r="A266" t="inlineStr">
        <is>
          <t>A 28473-2024</t>
        </is>
      </c>
      <c r="B266" t="inlineStr">
        <is>
          <t>avverkningsanmälan</t>
        </is>
      </c>
      <c r="C266" t="inlineStr">
        <is>
          <t>Föryngringsavverkning</t>
        </is>
      </c>
      <c r="D266" s="1" t="n">
        <v>45477</v>
      </c>
      <c r="E266" s="1" t="n">
        <v>46217</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s="2" t="inlineStr"/>
    </row>
    <row r="267" ht="15" customHeight="1">
      <c r="A267" t="inlineStr">
        <is>
          <t>A 28479-2024</t>
        </is>
      </c>
      <c r="B267" t="inlineStr">
        <is>
          <t>avverkningsanmälan</t>
        </is>
      </c>
      <c r="C267" t="inlineStr">
        <is>
          <t>Föryngringsavverkning</t>
        </is>
      </c>
      <c r="D267" s="1" t="n">
        <v>45477</v>
      </c>
      <c r="E267" s="1" t="n">
        <v>46217</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s="2" t="inlineStr"/>
    </row>
    <row r="268" ht="15" customHeight="1">
      <c r="A268" t="inlineStr">
        <is>
          <t>A 33102-2023</t>
        </is>
      </c>
      <c r="B268" t="inlineStr">
        <is>
          <t>avverkningsanmälan</t>
        </is>
      </c>
      <c r="C268" t="inlineStr">
        <is>
          <t>Föryngringsavverkning</t>
        </is>
      </c>
      <c r="D268" s="1" t="n">
        <v>45114</v>
      </c>
      <c r="E268" s="1" t="n">
        <v>46217</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38277-2024</t>
        </is>
      </c>
      <c r="B269" t="inlineStr">
        <is>
          <t>avverkningsanmälan</t>
        </is>
      </c>
      <c r="C269" t="inlineStr">
        <is>
          <t>Föryngringsavverkning</t>
        </is>
      </c>
      <c r="D269" s="1" t="n">
        <v>45545</v>
      </c>
      <c r="E269" s="1" t="n">
        <v>46217</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s="2" t="inlineStr"/>
    </row>
    <row r="270" ht="15" customHeight="1">
      <c r="A270" t="inlineStr">
        <is>
          <t>A 32361-2024</t>
        </is>
      </c>
      <c r="B270" t="inlineStr">
        <is>
          <t>avverkningsanmälan</t>
        </is>
      </c>
      <c r="C270" t="inlineStr">
        <is>
          <t>Avverkning för annat ändamål</t>
        </is>
      </c>
      <c r="D270" s="1" t="n">
        <v>45512</v>
      </c>
      <c r="E270" s="1" t="n">
        <v>46217</v>
      </c>
      <c r="F270" t="inlineStr">
        <is>
          <t>DALARNAS LÄN</t>
        </is>
      </c>
      <c r="G270" t="inlineStr">
        <is>
          <t>ÄLVDALEN</t>
        </is>
      </c>
      <c r="H270" t="inlineStr">
        <is>
          <t>Sveaskog</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32363-2024</t>
        </is>
      </c>
      <c r="B271" t="inlineStr">
        <is>
          <t>avverkningsanmälan</t>
        </is>
      </c>
      <c r="C271" t="inlineStr">
        <is>
          <t>Avverkning för annat ändamål</t>
        </is>
      </c>
      <c r="D271" s="1" t="n">
        <v>45512</v>
      </c>
      <c r="E271" s="1" t="n">
        <v>46217</v>
      </c>
      <c r="F271" t="inlineStr">
        <is>
          <t>DALARNAS LÄN</t>
        </is>
      </c>
      <c r="G271" t="inlineStr">
        <is>
          <t>ÄLVDALEN</t>
        </is>
      </c>
      <c r="H271" t="inlineStr">
        <is>
          <t>Sveaskog</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27615-2023</t>
        </is>
      </c>
      <c r="B272" t="inlineStr">
        <is>
          <t>avverkningsanmälan</t>
        </is>
      </c>
      <c r="C272" t="inlineStr">
        <is>
          <t>Föryngringsavverkning</t>
        </is>
      </c>
      <c r="D272" s="1" t="n">
        <v>45097</v>
      </c>
      <c r="E272" s="1" t="n">
        <v>46217</v>
      </c>
      <c r="F272" t="inlineStr">
        <is>
          <t>DALARNAS LÄN</t>
        </is>
      </c>
      <c r="G272" t="inlineStr">
        <is>
          <t>ÄLVDALEN</t>
        </is>
      </c>
      <c r="H272" t="inlineStr">
        <is>
          <t>Bergvik skog väst AB</t>
        </is>
      </c>
      <c r="I272" t="n">
        <v>3.7</v>
      </c>
      <c r="J272" t="n">
        <v>0</v>
      </c>
      <c r="K272" t="n">
        <v>0</v>
      </c>
      <c r="L272" t="n">
        <v>0</v>
      </c>
      <c r="M272" t="n">
        <v>0</v>
      </c>
      <c r="N272" t="n">
        <v>0</v>
      </c>
      <c r="O272" t="n">
        <v>0</v>
      </c>
      <c r="P272" t="n">
        <v>0</v>
      </c>
      <c r="Q272" t="n">
        <v>0</v>
      </c>
      <c r="R272" t="n">
        <v>0</v>
      </c>
      <c r="S272" t="n">
        <v>0</v>
      </c>
      <c r="T272" t="n">
        <v>0</v>
      </c>
      <c r="U272" s="2" t="inlineStr"/>
    </row>
    <row r="273" ht="15" customHeight="1">
      <c r="A273" t="inlineStr">
        <is>
          <t>A 56882-2022</t>
        </is>
      </c>
      <c r="B273" t="inlineStr">
        <is>
          <t>avverkningsanmälan</t>
        </is>
      </c>
      <c r="C273" t="inlineStr">
        <is>
          <t>Föryngringsavverkning</t>
        </is>
      </c>
      <c r="D273" s="1" t="n">
        <v>44894</v>
      </c>
      <c r="E273" s="1" t="n">
        <v>46217</v>
      </c>
      <c r="F273" t="inlineStr">
        <is>
          <t>DALARNAS LÄN</t>
        </is>
      </c>
      <c r="G273" t="inlineStr">
        <is>
          <t>ÄLVDALEN</t>
        </is>
      </c>
      <c r="I273" t="n">
        <v>7.4</v>
      </c>
      <c r="J273" t="n">
        <v>0</v>
      </c>
      <c r="K273" t="n">
        <v>0</v>
      </c>
      <c r="L273" t="n">
        <v>0</v>
      </c>
      <c r="M273" t="n">
        <v>0</v>
      </c>
      <c r="N273" t="n">
        <v>0</v>
      </c>
      <c r="O273" t="n">
        <v>0</v>
      </c>
      <c r="P273" t="n">
        <v>0</v>
      </c>
      <c r="Q273" t="n">
        <v>0</v>
      </c>
      <c r="R273" t="n">
        <v>0</v>
      </c>
      <c r="S273" t="n">
        <v>0</v>
      </c>
      <c r="T273" t="n">
        <v>0</v>
      </c>
      <c r="U273" s="2" t="inlineStr"/>
    </row>
    <row r="274" ht="15" customHeight="1">
      <c r="A274" t="inlineStr">
        <is>
          <t>A 45167-2022</t>
        </is>
      </c>
      <c r="B274" t="inlineStr">
        <is>
          <t>avverkningsanmälan</t>
        </is>
      </c>
      <c r="C274" t="inlineStr">
        <is>
          <t>Föryngringsavverkning</t>
        </is>
      </c>
      <c r="D274" s="1" t="n">
        <v>44844</v>
      </c>
      <c r="E274" s="1" t="n">
        <v>46217</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55778-2021</t>
        </is>
      </c>
      <c r="B275" t="inlineStr">
        <is>
          <t>avverkningsanmälan</t>
        </is>
      </c>
      <c r="C275" t="inlineStr">
        <is>
          <t>Föryngringsavverkning</t>
        </is>
      </c>
      <c r="D275" s="1" t="n">
        <v>44476</v>
      </c>
      <c r="E275" s="1" t="n">
        <v>46217</v>
      </c>
      <c r="F275" t="inlineStr">
        <is>
          <t>DALARNAS LÄN</t>
        </is>
      </c>
      <c r="G275" t="inlineStr">
        <is>
          <t>ÄLVDALEN</t>
        </is>
      </c>
      <c r="I275" t="n">
        <v>3.2</v>
      </c>
      <c r="J275" t="n">
        <v>0</v>
      </c>
      <c r="K275" t="n">
        <v>0</v>
      </c>
      <c r="L275" t="n">
        <v>0</v>
      </c>
      <c r="M275" t="n">
        <v>0</v>
      </c>
      <c r="N275" t="n">
        <v>0</v>
      </c>
      <c r="O275" t="n">
        <v>0</v>
      </c>
      <c r="P275" t="n">
        <v>0</v>
      </c>
      <c r="Q275" t="n">
        <v>0</v>
      </c>
      <c r="R275" t="n">
        <v>0</v>
      </c>
      <c r="S275" t="n">
        <v>0</v>
      </c>
      <c r="T275" t="n">
        <v>0</v>
      </c>
      <c r="U275" s="2" t="inlineStr"/>
    </row>
    <row r="276" ht="15" customHeight="1">
      <c r="A276" t="inlineStr">
        <is>
          <t>A 30143-2024</t>
        </is>
      </c>
      <c r="B276" t="inlineStr">
        <is>
          <t>avverkningsanmälan</t>
        </is>
      </c>
      <c r="C276" t="inlineStr">
        <is>
          <t>Föryngringsavverkning</t>
        </is>
      </c>
      <c r="D276" s="1" t="n">
        <v>45488</v>
      </c>
      <c r="E276" s="1" t="n">
        <v>46217</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30147-2024</t>
        </is>
      </c>
      <c r="B277" t="inlineStr">
        <is>
          <t>avverkningsanmälan</t>
        </is>
      </c>
      <c r="C277" t="inlineStr">
        <is>
          <t>Föryngringsavverkning</t>
        </is>
      </c>
      <c r="D277" s="1" t="n">
        <v>45488</v>
      </c>
      <c r="E277" s="1" t="n">
        <v>46217</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5170-2024</t>
        </is>
      </c>
      <c r="B278" t="inlineStr">
        <is>
          <t>avverkningsanmälan</t>
        </is>
      </c>
      <c r="C278" t="inlineStr">
        <is>
          <t>Föryngringsavverkning</t>
        </is>
      </c>
      <c r="D278" s="1" t="n">
        <v>45330</v>
      </c>
      <c r="E278" s="1" t="n">
        <v>46217</v>
      </c>
      <c r="F278" t="inlineStr">
        <is>
          <t>DALARNAS LÄN</t>
        </is>
      </c>
      <c r="G278" t="inlineStr">
        <is>
          <t>ÄLVDALEN</t>
        </is>
      </c>
      <c r="I278" t="n">
        <v>15.8</v>
      </c>
      <c r="J278" t="n">
        <v>0</v>
      </c>
      <c r="K278" t="n">
        <v>0</v>
      </c>
      <c r="L278" t="n">
        <v>0</v>
      </c>
      <c r="M278" t="n">
        <v>0</v>
      </c>
      <c r="N278" t="n">
        <v>0</v>
      </c>
      <c r="O278" t="n">
        <v>0</v>
      </c>
      <c r="P278" t="n">
        <v>0</v>
      </c>
      <c r="Q278" t="n">
        <v>0</v>
      </c>
      <c r="R278" t="n">
        <v>0</v>
      </c>
      <c r="S278" t="n">
        <v>0</v>
      </c>
      <c r="T278" t="n">
        <v>0</v>
      </c>
      <c r="U278" s="2" t="inlineStr"/>
    </row>
    <row r="279" ht="15" customHeight="1">
      <c r="A279" t="inlineStr">
        <is>
          <t>A 9108-2024</t>
        </is>
      </c>
      <c r="B279" t="inlineStr">
        <is>
          <t>avverkningsanmälan</t>
        </is>
      </c>
      <c r="C279" t="inlineStr">
        <is>
          <t>Föryngringsavverkning</t>
        </is>
      </c>
      <c r="D279" s="1" t="n">
        <v>45357</v>
      </c>
      <c r="E279" s="1" t="n">
        <v>46217</v>
      </c>
      <c r="F279" t="inlineStr">
        <is>
          <t>DALARNAS LÄN</t>
        </is>
      </c>
      <c r="G279" t="inlineStr">
        <is>
          <t>ÄLVDALEN</t>
        </is>
      </c>
      <c r="H279" t="inlineStr">
        <is>
          <t>Övriga Aktiebolag</t>
        </is>
      </c>
      <c r="I279" t="n">
        <v>24.4</v>
      </c>
      <c r="J279" t="n">
        <v>0</v>
      </c>
      <c r="K279" t="n">
        <v>0</v>
      </c>
      <c r="L279" t="n">
        <v>0</v>
      </c>
      <c r="M279" t="n">
        <v>0</v>
      </c>
      <c r="N279" t="n">
        <v>0</v>
      </c>
      <c r="O279" t="n">
        <v>0</v>
      </c>
      <c r="P279" t="n">
        <v>0</v>
      </c>
      <c r="Q279" t="n">
        <v>0</v>
      </c>
      <c r="R279" t="n">
        <v>0</v>
      </c>
      <c r="S279" t="n">
        <v>0</v>
      </c>
      <c r="T279" t="n">
        <v>0</v>
      </c>
      <c r="U279" s="2" t="inlineStr"/>
    </row>
    <row r="280" ht="15" customHeight="1">
      <c r="A280" t="inlineStr">
        <is>
          <t>A 39006-2024</t>
        </is>
      </c>
      <c r="B280" t="inlineStr">
        <is>
          <t>avverkningsanmälan</t>
        </is>
      </c>
      <c r="C280" t="inlineStr">
        <is>
          <t>Föryngringsavverkning</t>
        </is>
      </c>
      <c r="D280" s="1" t="n">
        <v>45548</v>
      </c>
      <c r="E280" s="1" t="n">
        <v>46217</v>
      </c>
      <c r="F280" t="inlineStr">
        <is>
          <t>DALARNAS LÄN</t>
        </is>
      </c>
      <c r="G280" t="inlineStr">
        <is>
          <t>ÄLVDALEN</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52060-2022</t>
        </is>
      </c>
      <c r="B281" t="inlineStr">
        <is>
          <t>avverkningsanmälan</t>
        </is>
      </c>
      <c r="C281" t="inlineStr">
        <is>
          <t>Föryngringsavverkning</t>
        </is>
      </c>
      <c r="D281" s="1" t="n">
        <v>44873</v>
      </c>
      <c r="E281" s="1" t="n">
        <v>46217</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36462-2024</t>
        </is>
      </c>
      <c r="B282" t="inlineStr">
        <is>
          <t>avverkningsanmälan</t>
        </is>
      </c>
      <c r="C282" t="inlineStr">
        <is>
          <t>Föryngringsavverkning</t>
        </is>
      </c>
      <c r="D282" s="1" t="n">
        <v>45537</v>
      </c>
      <c r="E282" s="1" t="n">
        <v>46217</v>
      </c>
      <c r="F282" t="inlineStr">
        <is>
          <t>DALARNAS LÄN</t>
        </is>
      </c>
      <c r="G282" t="inlineStr">
        <is>
          <t>ÄLVDALEN</t>
        </is>
      </c>
      <c r="I282" t="n">
        <v>5</v>
      </c>
      <c r="J282" t="n">
        <v>0</v>
      </c>
      <c r="K282" t="n">
        <v>0</v>
      </c>
      <c r="L282" t="n">
        <v>0</v>
      </c>
      <c r="M282" t="n">
        <v>0</v>
      </c>
      <c r="N282" t="n">
        <v>0</v>
      </c>
      <c r="O282" t="n">
        <v>0</v>
      </c>
      <c r="P282" t="n">
        <v>0</v>
      </c>
      <c r="Q282" t="n">
        <v>0</v>
      </c>
      <c r="R282" t="n">
        <v>0</v>
      </c>
      <c r="S282" t="n">
        <v>0</v>
      </c>
      <c r="T282" t="n">
        <v>0</v>
      </c>
      <c r="U282" s="2" t="inlineStr"/>
    </row>
    <row r="283" ht="15" customHeight="1">
      <c r="A283" t="inlineStr">
        <is>
          <t>A 68204-2021</t>
        </is>
      </c>
      <c r="B283" t="inlineStr">
        <is>
          <t>avverkningsanmälan</t>
        </is>
      </c>
      <c r="C283" t="inlineStr">
        <is>
          <t>Föryngringsavverkning</t>
        </is>
      </c>
      <c r="D283" s="1" t="n">
        <v>44526</v>
      </c>
      <c r="E283" s="1" t="n">
        <v>46217</v>
      </c>
      <c r="F283" t="inlineStr">
        <is>
          <t>DALARNAS LÄN</t>
        </is>
      </c>
      <c r="G283" t="inlineStr">
        <is>
          <t>ÄLVDALEN</t>
        </is>
      </c>
      <c r="H283" t="inlineStr">
        <is>
          <t>Kyrkan</t>
        </is>
      </c>
      <c r="I283" t="n">
        <v>5</v>
      </c>
      <c r="J283" t="n">
        <v>0</v>
      </c>
      <c r="K283" t="n">
        <v>0</v>
      </c>
      <c r="L283" t="n">
        <v>0</v>
      </c>
      <c r="M283" t="n">
        <v>0</v>
      </c>
      <c r="N283" t="n">
        <v>0</v>
      </c>
      <c r="O283" t="n">
        <v>0</v>
      </c>
      <c r="P283" t="n">
        <v>0</v>
      </c>
      <c r="Q283" t="n">
        <v>0</v>
      </c>
      <c r="R283" t="n">
        <v>0</v>
      </c>
      <c r="S283" t="n">
        <v>0</v>
      </c>
      <c r="T283" t="n">
        <v>0</v>
      </c>
      <c r="U283" s="2" t="inlineStr"/>
    </row>
    <row r="284" ht="15" customHeight="1">
      <c r="A284" t="inlineStr">
        <is>
          <t>A 61575-2024</t>
        </is>
      </c>
      <c r="B284" t="inlineStr">
        <is>
          <t>avverkningsanmälan</t>
        </is>
      </c>
      <c r="C284" t="inlineStr">
        <is>
          <t>Föryngringsavverkning</t>
        </is>
      </c>
      <c r="D284" s="1" t="n">
        <v>45646</v>
      </c>
      <c r="E284" s="1" t="n">
        <v>46217</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771-2025</t>
        </is>
      </c>
      <c r="B285" t="inlineStr">
        <is>
          <t>avverkningsanmälan</t>
        </is>
      </c>
      <c r="C285" t="inlineStr">
        <is>
          <t>Föryngringsavverkning</t>
        </is>
      </c>
      <c r="D285" s="1" t="n">
        <v>45665</v>
      </c>
      <c r="E285" s="1" t="n">
        <v>46217</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39064-2021</t>
        </is>
      </c>
      <c r="B286" t="inlineStr">
        <is>
          <t>avverkningsanmälan</t>
        </is>
      </c>
      <c r="C286" t="inlineStr">
        <is>
          <t>Föryngringsavverkning</t>
        </is>
      </c>
      <c r="D286" s="1" t="n">
        <v>44411</v>
      </c>
      <c r="E286" s="1" t="n">
        <v>46217</v>
      </c>
      <c r="F286" t="inlineStr">
        <is>
          <t>DALARNAS LÄN</t>
        </is>
      </c>
      <c r="G286" t="inlineStr">
        <is>
          <t>ÄLVDALEN</t>
        </is>
      </c>
      <c r="H286" t="inlineStr">
        <is>
          <t>Övriga statliga verk och myndigheter</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52469-2022</t>
        </is>
      </c>
      <c r="B287" t="inlineStr">
        <is>
          <t>avverkningsanmälan</t>
        </is>
      </c>
      <c r="C287" t="inlineStr">
        <is>
          <t>Föryngringsavverkning</t>
        </is>
      </c>
      <c r="D287" s="1" t="n">
        <v>44874</v>
      </c>
      <c r="E287" s="1" t="n">
        <v>46217</v>
      </c>
      <c r="F287" t="inlineStr">
        <is>
          <t>DALARNAS LÄN</t>
        </is>
      </c>
      <c r="G287" t="inlineStr">
        <is>
          <t>ÄLVDALEN</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30411-2024</t>
        </is>
      </c>
      <c r="B288" t="inlineStr">
        <is>
          <t>avverkningsanmälan</t>
        </is>
      </c>
      <c r="C288" t="inlineStr">
        <is>
          <t>Föryngringsavverkning</t>
        </is>
      </c>
      <c r="D288" s="1" t="n">
        <v>45491</v>
      </c>
      <c r="E288" s="1" t="n">
        <v>46217</v>
      </c>
      <c r="F288" t="inlineStr">
        <is>
          <t>DALARNAS LÄN</t>
        </is>
      </c>
      <c r="G288" t="inlineStr">
        <is>
          <t>ÄLVDALEN</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32740-2024</t>
        </is>
      </c>
      <c r="B289" t="inlineStr">
        <is>
          <t>avverkningsanmälan</t>
        </is>
      </c>
      <c r="C289" t="inlineStr">
        <is>
          <t>Föryngringsavverkning</t>
        </is>
      </c>
      <c r="D289" s="1" t="n">
        <v>45516</v>
      </c>
      <c r="E289" s="1" t="n">
        <v>46217</v>
      </c>
      <c r="F289" t="inlineStr">
        <is>
          <t>DALARNAS LÄN</t>
        </is>
      </c>
      <c r="G289" t="inlineStr">
        <is>
          <t>ÄLVDALEN</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59108-2022</t>
        </is>
      </c>
      <c r="B290" t="inlineStr">
        <is>
          <t>avverkningsanmälan</t>
        </is>
      </c>
      <c r="C290" t="inlineStr">
        <is>
          <t>Föryngringsavverkning</t>
        </is>
      </c>
      <c r="D290" s="1" t="n">
        <v>44904</v>
      </c>
      <c r="E290" s="1" t="n">
        <v>46217</v>
      </c>
      <c r="F290" t="inlineStr">
        <is>
          <t>DALARNAS LÄN</t>
        </is>
      </c>
      <c r="G290" t="inlineStr">
        <is>
          <t>ÄLVDALEN</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49723-2023</t>
        </is>
      </c>
      <c r="B291" t="inlineStr">
        <is>
          <t>avverkningsanmälan</t>
        </is>
      </c>
      <c r="C291" t="inlineStr">
        <is>
          <t>Föryngringsavverkning</t>
        </is>
      </c>
      <c r="D291" s="1" t="n">
        <v>45212</v>
      </c>
      <c r="E291" s="1" t="n">
        <v>46217</v>
      </c>
      <c r="F291" t="inlineStr">
        <is>
          <t>DALARNAS LÄN</t>
        </is>
      </c>
      <c r="G291" t="inlineStr">
        <is>
          <t>ÄLVDALEN</t>
        </is>
      </c>
      <c r="H291" t="inlineStr">
        <is>
          <t>Bergvik skog väst AB</t>
        </is>
      </c>
      <c r="I291" t="n">
        <v>5</v>
      </c>
      <c r="J291" t="n">
        <v>0</v>
      </c>
      <c r="K291" t="n">
        <v>0</v>
      </c>
      <c r="L291" t="n">
        <v>0</v>
      </c>
      <c r="M291" t="n">
        <v>0</v>
      </c>
      <c r="N291" t="n">
        <v>0</v>
      </c>
      <c r="O291" t="n">
        <v>0</v>
      </c>
      <c r="P291" t="n">
        <v>0</v>
      </c>
      <c r="Q291" t="n">
        <v>0</v>
      </c>
      <c r="R291" t="n">
        <v>0</v>
      </c>
      <c r="S291" t="n">
        <v>0</v>
      </c>
      <c r="T291" t="n">
        <v>0</v>
      </c>
      <c r="U291" s="2" t="inlineStr"/>
    </row>
    <row r="292" ht="15" customHeight="1">
      <c r="A292" t="inlineStr">
        <is>
          <t>A 43900-2024</t>
        </is>
      </c>
      <c r="B292" t="inlineStr">
        <is>
          <t>avverkningsanmälan</t>
        </is>
      </c>
      <c r="C292" t="inlineStr">
        <is>
          <t>Föryngringsavverkning</t>
        </is>
      </c>
      <c r="D292" s="1" t="n">
        <v>45572</v>
      </c>
      <c r="E292" s="1" t="n">
        <v>46217</v>
      </c>
      <c r="F292" t="inlineStr">
        <is>
          <t>DALARNAS LÄN</t>
        </is>
      </c>
      <c r="G292" t="inlineStr">
        <is>
          <t>ÄLVDALEN</t>
        </is>
      </c>
      <c r="H292" t="inlineStr">
        <is>
          <t>Bergvik skog väst AB</t>
        </is>
      </c>
      <c r="I292" t="n">
        <v>7.3</v>
      </c>
      <c r="J292" t="n">
        <v>0</v>
      </c>
      <c r="K292" t="n">
        <v>0</v>
      </c>
      <c r="L292" t="n">
        <v>0</v>
      </c>
      <c r="M292" t="n">
        <v>0</v>
      </c>
      <c r="N292" t="n">
        <v>0</v>
      </c>
      <c r="O292" t="n">
        <v>0</v>
      </c>
      <c r="P292" t="n">
        <v>0</v>
      </c>
      <c r="Q292" t="n">
        <v>0</v>
      </c>
      <c r="R292" t="n">
        <v>0</v>
      </c>
      <c r="S292" t="n">
        <v>0</v>
      </c>
      <c r="T292" t="n">
        <v>0</v>
      </c>
      <c r="U292" s="2" t="inlineStr"/>
    </row>
    <row r="293" ht="15" customHeight="1">
      <c r="A293" t="inlineStr">
        <is>
          <t>A 43903-2024</t>
        </is>
      </c>
      <c r="B293" t="inlineStr">
        <is>
          <t>avverkningsanmälan</t>
        </is>
      </c>
      <c r="C293" t="inlineStr">
        <is>
          <t>Föryngringsavverkning</t>
        </is>
      </c>
      <c r="D293" s="1" t="n">
        <v>45572</v>
      </c>
      <c r="E293" s="1" t="n">
        <v>46217</v>
      </c>
      <c r="F293" t="inlineStr">
        <is>
          <t>DALARNAS LÄN</t>
        </is>
      </c>
      <c r="G293" t="inlineStr">
        <is>
          <t>ÄLVDALEN</t>
        </is>
      </c>
      <c r="H293" t="inlineStr">
        <is>
          <t>Bergvik skog väst AB</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5885-2024</t>
        </is>
      </c>
      <c r="B294" t="inlineStr">
        <is>
          <t>avverkningsanmälan</t>
        </is>
      </c>
      <c r="C294" t="inlineStr">
        <is>
          <t>Föryngringsavverkning</t>
        </is>
      </c>
      <c r="D294" s="1" t="n">
        <v>45335</v>
      </c>
      <c r="E294" s="1" t="n">
        <v>46217</v>
      </c>
      <c r="F294" t="inlineStr">
        <is>
          <t>DALARNAS LÄN</t>
        </is>
      </c>
      <c r="G294" t="inlineStr">
        <is>
          <t>ÄLVDALEN</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59209-2022</t>
        </is>
      </c>
      <c r="B295" t="inlineStr">
        <is>
          <t>avverkningsanmälan</t>
        </is>
      </c>
      <c r="C295" t="inlineStr">
        <is>
          <t>Föryngringsavverkning</t>
        </is>
      </c>
      <c r="D295" s="1" t="n">
        <v>44904</v>
      </c>
      <c r="E295" s="1" t="n">
        <v>46217</v>
      </c>
      <c r="F295" t="inlineStr">
        <is>
          <t>DALARNAS LÄN</t>
        </is>
      </c>
      <c r="G295" t="inlineStr">
        <is>
          <t>ÄLVDALEN</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8492-2025</t>
        </is>
      </c>
      <c r="B296" t="inlineStr">
        <is>
          <t>avverkningsanmälan</t>
        </is>
      </c>
      <c r="C296" t="inlineStr">
        <is>
          <t>Föryngringsavverkning</t>
        </is>
      </c>
      <c r="D296" s="1" t="n">
        <v>45709</v>
      </c>
      <c r="E296" s="1" t="n">
        <v>46217</v>
      </c>
      <c r="F296" t="inlineStr">
        <is>
          <t>DALARNAS LÄN</t>
        </is>
      </c>
      <c r="G296" t="inlineStr">
        <is>
          <t>ÄLVDALEN</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54493-2023</t>
        </is>
      </c>
      <c r="B297" t="inlineStr">
        <is>
          <t>avverkningsanmälan</t>
        </is>
      </c>
      <c r="C297" t="inlineStr">
        <is>
          <t>Föryngringsavverkning</t>
        </is>
      </c>
      <c r="D297" s="1" t="n">
        <v>45233</v>
      </c>
      <c r="E297" s="1" t="n">
        <v>46217</v>
      </c>
      <c r="F297" t="inlineStr">
        <is>
          <t>DALARNAS LÄN</t>
        </is>
      </c>
      <c r="G297" t="inlineStr">
        <is>
          <t>ÄLVDALEN</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36830-2025</t>
        </is>
      </c>
      <c r="B298" t="inlineStr">
        <is>
          <t>avverkningsanmälan</t>
        </is>
      </c>
      <c r="C298" t="inlineStr">
        <is>
          <t>Föryngringsavverkning</t>
        </is>
      </c>
      <c r="D298" s="1" t="n">
        <v>45874</v>
      </c>
      <c r="E298" s="1" t="n">
        <v>46217</v>
      </c>
      <c r="F298" t="inlineStr">
        <is>
          <t>DALARNAS LÄN</t>
        </is>
      </c>
      <c r="G298" t="inlineStr">
        <is>
          <t>ÄLVDALEN</t>
        </is>
      </c>
      <c r="H298" t="inlineStr">
        <is>
          <t>Bergvik skog väst AB</t>
        </is>
      </c>
      <c r="I298" t="n">
        <v>5</v>
      </c>
      <c r="J298" t="n">
        <v>0</v>
      </c>
      <c r="K298" t="n">
        <v>0</v>
      </c>
      <c r="L298" t="n">
        <v>0</v>
      </c>
      <c r="M298" t="n">
        <v>0</v>
      </c>
      <c r="N298" t="n">
        <v>0</v>
      </c>
      <c r="O298" t="n">
        <v>0</v>
      </c>
      <c r="P298" t="n">
        <v>0</v>
      </c>
      <c r="Q298" t="n">
        <v>0</v>
      </c>
      <c r="R298" t="n">
        <v>0</v>
      </c>
      <c r="S298" t="n">
        <v>0</v>
      </c>
      <c r="T298" t="n">
        <v>0</v>
      </c>
      <c r="U298" s="2" t="inlineStr"/>
    </row>
    <row r="299" ht="15" customHeight="1">
      <c r="A299" t="inlineStr">
        <is>
          <t>A 37186-2025</t>
        </is>
      </c>
      <c r="B299" t="inlineStr">
        <is>
          <t>avverkningsanmälan</t>
        </is>
      </c>
      <c r="C299" t="inlineStr">
        <is>
          <t>Avverkning för annat ändamål</t>
        </is>
      </c>
      <c r="D299" s="1" t="n">
        <v>45875</v>
      </c>
      <c r="E299" s="1" t="n">
        <v>46217</v>
      </c>
      <c r="F299" t="inlineStr">
        <is>
          <t>DALARNAS LÄN</t>
        </is>
      </c>
      <c r="G299" t="inlineStr">
        <is>
          <t>ÄLVDALEN</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7576-2024</t>
        </is>
      </c>
      <c r="B300" t="inlineStr">
        <is>
          <t>avverkningsanmälan</t>
        </is>
      </c>
      <c r="C300" t="inlineStr">
        <is>
          <t>Föryngringsavverkning</t>
        </is>
      </c>
      <c r="D300" s="1" t="n">
        <v>45348</v>
      </c>
      <c r="E300" s="1" t="n">
        <v>46217</v>
      </c>
      <c r="F300" t="inlineStr">
        <is>
          <t>DALARNAS LÄN</t>
        </is>
      </c>
      <c r="G300" t="inlineStr">
        <is>
          <t>ÄLVDALEN</t>
        </is>
      </c>
      <c r="I300" t="n">
        <v>11.1</v>
      </c>
      <c r="J300" t="n">
        <v>0</v>
      </c>
      <c r="K300" t="n">
        <v>0</v>
      </c>
      <c r="L300" t="n">
        <v>0</v>
      </c>
      <c r="M300" t="n">
        <v>0</v>
      </c>
      <c r="N300" t="n">
        <v>0</v>
      </c>
      <c r="O300" t="n">
        <v>0</v>
      </c>
      <c r="P300" t="n">
        <v>0</v>
      </c>
      <c r="Q300" t="n">
        <v>0</v>
      </c>
      <c r="R300" t="n">
        <v>0</v>
      </c>
      <c r="S300" t="n">
        <v>0</v>
      </c>
      <c r="T300" t="n">
        <v>0</v>
      </c>
      <c r="U300" s="2" t="inlineStr"/>
    </row>
    <row r="301" ht="15" customHeight="1">
      <c r="A301" t="inlineStr">
        <is>
          <t>A 37873-2025</t>
        </is>
      </c>
      <c r="B301" t="inlineStr">
        <is>
          <t>avverkningsanmälan</t>
        </is>
      </c>
      <c r="C301" t="inlineStr">
        <is>
          <t>Föryngringsavverkning</t>
        </is>
      </c>
      <c r="D301" s="1" t="n">
        <v>45881</v>
      </c>
      <c r="E301" s="1" t="n">
        <v>46217</v>
      </c>
      <c r="F301" t="inlineStr">
        <is>
          <t>DALARNAS LÄN</t>
        </is>
      </c>
      <c r="G301" t="inlineStr">
        <is>
          <t>ÄLVDALEN</t>
        </is>
      </c>
      <c r="H301" t="inlineStr">
        <is>
          <t>Övriga Aktiebolag</t>
        </is>
      </c>
      <c r="I301" t="n">
        <v>40.7</v>
      </c>
      <c r="J301" t="n">
        <v>0</v>
      </c>
      <c r="K301" t="n">
        <v>0</v>
      </c>
      <c r="L301" t="n">
        <v>0</v>
      </c>
      <c r="M301" t="n">
        <v>0</v>
      </c>
      <c r="N301" t="n">
        <v>0</v>
      </c>
      <c r="O301" t="n">
        <v>0</v>
      </c>
      <c r="P301" t="n">
        <v>0</v>
      </c>
      <c r="Q301" t="n">
        <v>0</v>
      </c>
      <c r="R301" t="n">
        <v>0</v>
      </c>
      <c r="S301" t="n">
        <v>0</v>
      </c>
      <c r="T301" t="n">
        <v>0</v>
      </c>
      <c r="U301" s="2" t="inlineStr"/>
    </row>
    <row r="302" ht="15" customHeight="1">
      <c r="A302" t="inlineStr">
        <is>
          <t>A 62315-2022</t>
        </is>
      </c>
      <c r="B302" t="inlineStr">
        <is>
          <t>avverkningsanmälan</t>
        </is>
      </c>
      <c r="C302" t="inlineStr">
        <is>
          <t>Föryngringsavverkning</t>
        </is>
      </c>
      <c r="D302" s="1" t="n">
        <v>44916</v>
      </c>
      <c r="E302" s="1" t="n">
        <v>46217</v>
      </c>
      <c r="F302" t="inlineStr">
        <is>
          <t>DALARNAS LÄN</t>
        </is>
      </c>
      <c r="G302" t="inlineStr">
        <is>
          <t>ÄLVDALEN</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33099-2023</t>
        </is>
      </c>
      <c r="B303" t="inlineStr">
        <is>
          <t>avverkningsanmälan</t>
        </is>
      </c>
      <c r="C303" t="inlineStr">
        <is>
          <t>Föryngringsavverkning</t>
        </is>
      </c>
      <c r="D303" s="1" t="n">
        <v>45114</v>
      </c>
      <c r="E303" s="1" t="n">
        <v>46217</v>
      </c>
      <c r="F303" t="inlineStr">
        <is>
          <t>DALARNAS LÄN</t>
        </is>
      </c>
      <c r="G303" t="inlineStr">
        <is>
          <t>ÄLVDALEN</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39041-2025</t>
        </is>
      </c>
      <c r="B304" t="inlineStr">
        <is>
          <t>avverkningsanmälan</t>
        </is>
      </c>
      <c r="C304" t="inlineStr">
        <is>
          <t>Avverkning för annat ändamål</t>
        </is>
      </c>
      <c r="D304" s="1" t="n">
        <v>45888</v>
      </c>
      <c r="E304" s="1" t="n">
        <v>46217</v>
      </c>
      <c r="F304" t="inlineStr">
        <is>
          <t>DALARNAS LÄN</t>
        </is>
      </c>
      <c r="G304" t="inlineStr">
        <is>
          <t>ÄLVDALEN</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1790-2024</t>
        </is>
      </c>
      <c r="B305" t="inlineStr">
        <is>
          <t>avverkningsanmälan</t>
        </is>
      </c>
      <c r="C305" t="inlineStr">
        <is>
          <t>Föryngringsavverkning</t>
        </is>
      </c>
      <c r="D305" s="1" t="n">
        <v>45307</v>
      </c>
      <c r="E305" s="1" t="n">
        <v>46217</v>
      </c>
      <c r="F305" t="inlineStr">
        <is>
          <t>DALARNAS LÄN</t>
        </is>
      </c>
      <c r="G305" t="inlineStr">
        <is>
          <t>ÄLVDALEN</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38754-2025</t>
        </is>
      </c>
      <c r="B306" t="inlineStr">
        <is>
          <t>avverkningsanmälan</t>
        </is>
      </c>
      <c r="C306" t="inlineStr">
        <is>
          <t>Föryngringsavverkning</t>
        </is>
      </c>
      <c r="D306" s="1" t="n">
        <v>45887</v>
      </c>
      <c r="E306" s="1" t="n">
        <v>46217</v>
      </c>
      <c r="F306" t="inlineStr">
        <is>
          <t>DALARNAS LÄN</t>
        </is>
      </c>
      <c r="G306" t="inlineStr">
        <is>
          <t>ÄLVDALEN</t>
        </is>
      </c>
      <c r="H306" t="inlineStr">
        <is>
          <t>Bergvik skog väst AB</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41115-2025</t>
        </is>
      </c>
      <c r="B307" t="inlineStr">
        <is>
          <t>avverkningsanmälan</t>
        </is>
      </c>
      <c r="C307" t="inlineStr">
        <is>
          <t>Föryngringsavverkning</t>
        </is>
      </c>
      <c r="D307" s="1" t="n">
        <v>45898</v>
      </c>
      <c r="E307" s="1" t="n">
        <v>46217</v>
      </c>
      <c r="F307" t="inlineStr">
        <is>
          <t>DALARNAS LÄN</t>
        </is>
      </c>
      <c r="G307" t="inlineStr">
        <is>
          <t>ÄLVDALEN</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59483-2024</t>
        </is>
      </c>
      <c r="B308" t="inlineStr">
        <is>
          <t>avverkningsanmälan</t>
        </is>
      </c>
      <c r="C308" t="inlineStr">
        <is>
          <t>Föryngringsavverkning</t>
        </is>
      </c>
      <c r="D308" s="1" t="n">
        <v>45638</v>
      </c>
      <c r="E308" s="1" t="n">
        <v>46217</v>
      </c>
      <c r="F308" t="inlineStr">
        <is>
          <t>DALARNAS LÄN</t>
        </is>
      </c>
      <c r="G308" t="inlineStr">
        <is>
          <t>ÄLVDALEN</t>
        </is>
      </c>
      <c r="H308" t="inlineStr">
        <is>
          <t>Allmännings- och besparingsskogar</t>
        </is>
      </c>
      <c r="I308" t="n">
        <v>6.9</v>
      </c>
      <c r="J308" t="n">
        <v>0</v>
      </c>
      <c r="K308" t="n">
        <v>0</v>
      </c>
      <c r="L308" t="n">
        <v>0</v>
      </c>
      <c r="M308" t="n">
        <v>0</v>
      </c>
      <c r="N308" t="n">
        <v>0</v>
      </c>
      <c r="O308" t="n">
        <v>0</v>
      </c>
      <c r="P308" t="n">
        <v>0</v>
      </c>
      <c r="Q308" t="n">
        <v>0</v>
      </c>
      <c r="R308" t="n">
        <v>0</v>
      </c>
      <c r="S308" t="n">
        <v>0</v>
      </c>
      <c r="T308" t="n">
        <v>0</v>
      </c>
      <c r="U308" s="2" t="inlineStr"/>
    </row>
    <row r="309" ht="15" customHeight="1">
      <c r="A309" t="inlineStr">
        <is>
          <t>A 25606-2026</t>
        </is>
      </c>
      <c r="B309" t="inlineStr">
        <is>
          <t>avverkningsanmälan</t>
        </is>
      </c>
      <c r="C309" t="inlineStr">
        <is>
          <t>Föryngringsavverkning</t>
        </is>
      </c>
      <c r="D309" s="1" t="n">
        <v>46177</v>
      </c>
      <c r="E309" s="1" t="n">
        <v>46217</v>
      </c>
      <c r="F309" t="inlineStr">
        <is>
          <t>DALARNAS LÄN</t>
        </is>
      </c>
      <c r="G309" t="inlineStr">
        <is>
          <t>ÄLVDALEN</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31332-2023</t>
        </is>
      </c>
      <c r="B310" t="inlineStr">
        <is>
          <t>avverkningsanmälan</t>
        </is>
      </c>
      <c r="C310" t="inlineStr">
        <is>
          <t>Föryngringsavverkning</t>
        </is>
      </c>
      <c r="D310" s="1" t="n">
        <v>45114</v>
      </c>
      <c r="E310" s="1" t="n">
        <v>46217</v>
      </c>
      <c r="F310" t="inlineStr">
        <is>
          <t>DALARNAS LÄN</t>
        </is>
      </c>
      <c r="G310" t="inlineStr">
        <is>
          <t>ÄLVDALEN</t>
        </is>
      </c>
      <c r="H310" t="inlineStr">
        <is>
          <t>Övriga statliga verk och myndigheter</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43602-2025</t>
        </is>
      </c>
      <c r="B311" t="inlineStr">
        <is>
          <t>avverkningsanmälan</t>
        </is>
      </c>
      <c r="C311" t="inlineStr">
        <is>
          <t>Föryngringsavverkning</t>
        </is>
      </c>
      <c r="D311" s="1" t="n">
        <v>45911</v>
      </c>
      <c r="E311" s="1" t="n">
        <v>46217</v>
      </c>
      <c r="F311" t="inlineStr">
        <is>
          <t>DALARNAS LÄN</t>
        </is>
      </c>
      <c r="G311" t="inlineStr">
        <is>
          <t>ÄLVDALEN</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43514-2025</t>
        </is>
      </c>
      <c r="B312" t="inlineStr">
        <is>
          <t>avverkningsanmälan</t>
        </is>
      </c>
      <c r="C312" t="inlineStr">
        <is>
          <t>Föryngringsavverkning</t>
        </is>
      </c>
      <c r="D312" s="1" t="n">
        <v>45911</v>
      </c>
      <c r="E312" s="1" t="n">
        <v>46217</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43585-2025</t>
        </is>
      </c>
      <c r="B313" t="inlineStr">
        <is>
          <t>avverkningsanmälan</t>
        </is>
      </c>
      <c r="C313" t="inlineStr">
        <is>
          <t>Föryngringsavverkning</t>
        </is>
      </c>
      <c r="D313" s="1" t="n">
        <v>45911</v>
      </c>
      <c r="E313" s="1" t="n">
        <v>46217</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41566-2025</t>
        </is>
      </c>
      <c r="B314" t="inlineStr">
        <is>
          <t>avverkningsanmälan</t>
        </is>
      </c>
      <c r="C314" t="inlineStr">
        <is>
          <t>Föryngringsavverkning</t>
        </is>
      </c>
      <c r="D314" s="1" t="n">
        <v>45901</v>
      </c>
      <c r="E314" s="1" t="n">
        <v>46217</v>
      </c>
      <c r="F314" t="inlineStr">
        <is>
          <t>DALARNAS LÄN</t>
        </is>
      </c>
      <c r="G314" t="inlineStr">
        <is>
          <t>ÄLVDALEN</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45156-2025</t>
        </is>
      </c>
      <c r="B315" t="inlineStr">
        <is>
          <t>avverkningsanmälan</t>
        </is>
      </c>
      <c r="C315" t="inlineStr">
        <is>
          <t>Föryngringsavverkning</t>
        </is>
      </c>
      <c r="D315" s="1" t="n">
        <v>45919</v>
      </c>
      <c r="E315" s="1" t="n">
        <v>46217</v>
      </c>
      <c r="F315" t="inlineStr">
        <is>
          <t>DALARNAS LÄN</t>
        </is>
      </c>
      <c r="G315" t="inlineStr">
        <is>
          <t>ÄLVDALEN</t>
        </is>
      </c>
      <c r="H315" t="inlineStr">
        <is>
          <t>Allmännings- och besparingsskogar</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29713-2022</t>
        </is>
      </c>
      <c r="B316" t="inlineStr">
        <is>
          <t>avverkningsanmälan</t>
        </is>
      </c>
      <c r="C316" t="inlineStr">
        <is>
          <t>Föryngringsavverkning</t>
        </is>
      </c>
      <c r="D316" s="1" t="n">
        <v>44755</v>
      </c>
      <c r="E316" s="1" t="n">
        <v>46217</v>
      </c>
      <c r="F316" t="inlineStr">
        <is>
          <t>DALARNAS LÄN</t>
        </is>
      </c>
      <c r="G316" t="inlineStr">
        <is>
          <t>ÄLVDALEN</t>
        </is>
      </c>
      <c r="I316" t="n">
        <v>2.8</v>
      </c>
      <c r="J316" t="n">
        <v>0</v>
      </c>
      <c r="K316" t="n">
        <v>0</v>
      </c>
      <c r="L316" t="n">
        <v>0</v>
      </c>
      <c r="M316" t="n">
        <v>0</v>
      </c>
      <c r="N316" t="n">
        <v>0</v>
      </c>
      <c r="O316" t="n">
        <v>0</v>
      </c>
      <c r="P316" t="n">
        <v>0</v>
      </c>
      <c r="Q316" t="n">
        <v>0</v>
      </c>
      <c r="R316" t="n">
        <v>0</v>
      </c>
      <c r="S316" t="n">
        <v>0</v>
      </c>
      <c r="T316" t="n">
        <v>0</v>
      </c>
      <c r="U316" s="2" t="inlineStr"/>
    </row>
    <row r="317" ht="15" customHeight="1">
      <c r="A317" t="inlineStr">
        <is>
          <t>A 627-2025</t>
        </is>
      </c>
      <c r="B317" t="inlineStr">
        <is>
          <t>avverkningsanmälan</t>
        </is>
      </c>
      <c r="C317" t="inlineStr">
        <is>
          <t>Föryngringsavverkning</t>
        </is>
      </c>
      <c r="D317" s="1" t="n">
        <v>45660</v>
      </c>
      <c r="E317" s="1" t="n">
        <v>46217</v>
      </c>
      <c r="F317" t="inlineStr">
        <is>
          <t>DALARNAS LÄN</t>
        </is>
      </c>
      <c r="G317" t="inlineStr">
        <is>
          <t>ÄLVDALEN</t>
        </is>
      </c>
      <c r="H317" t="inlineStr">
        <is>
          <t>Allmännings- och besparingsskogar</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10817-2025</t>
        </is>
      </c>
      <c r="B318" t="inlineStr">
        <is>
          <t>avverkningsanmälan</t>
        </is>
      </c>
      <c r="C318" t="inlineStr">
        <is>
          <t>Föryngringsavverkning</t>
        </is>
      </c>
      <c r="D318" s="1" t="n">
        <v>45722</v>
      </c>
      <c r="E318" s="1" t="n">
        <v>46217</v>
      </c>
      <c r="F318" t="inlineStr">
        <is>
          <t>DALARNAS LÄN</t>
        </is>
      </c>
      <c r="G318" t="inlineStr">
        <is>
          <t>ÄLVDALEN</t>
        </is>
      </c>
      <c r="H318" t="inlineStr">
        <is>
          <t>Kommuner</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10831-2025</t>
        </is>
      </c>
      <c r="B319" t="inlineStr">
        <is>
          <t>avverkningsanmälan</t>
        </is>
      </c>
      <c r="C319" t="inlineStr">
        <is>
          <t>Föryngringsavverkning</t>
        </is>
      </c>
      <c r="D319" s="1" t="n">
        <v>45722</v>
      </c>
      <c r="E319" s="1" t="n">
        <v>46217</v>
      </c>
      <c r="F319" t="inlineStr">
        <is>
          <t>DALARNAS LÄN</t>
        </is>
      </c>
      <c r="G319" t="inlineStr">
        <is>
          <t>ÄLVDALEN</t>
        </is>
      </c>
      <c r="H319" t="inlineStr">
        <is>
          <t>Kommuner</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46582-2025</t>
        </is>
      </c>
      <c r="B320" t="inlineStr">
        <is>
          <t>avverkningsanmälan</t>
        </is>
      </c>
      <c r="C320" t="inlineStr">
        <is>
          <t>Föryngringsavverkning</t>
        </is>
      </c>
      <c r="D320" s="1" t="n">
        <v>45926</v>
      </c>
      <c r="E320" s="1" t="n">
        <v>46217</v>
      </c>
      <c r="F320" t="inlineStr">
        <is>
          <t>DALARNAS LÄN</t>
        </is>
      </c>
      <c r="G320" t="inlineStr">
        <is>
          <t>ÄLVDALEN</t>
        </is>
      </c>
      <c r="H320" t="inlineStr">
        <is>
          <t>Allmännings- och besparingsskogar</t>
        </is>
      </c>
      <c r="I320" t="n">
        <v>20.7</v>
      </c>
      <c r="J320" t="n">
        <v>0</v>
      </c>
      <c r="K320" t="n">
        <v>0</v>
      </c>
      <c r="L320" t="n">
        <v>0</v>
      </c>
      <c r="M320" t="n">
        <v>0</v>
      </c>
      <c r="N320" t="n">
        <v>0</v>
      </c>
      <c r="O320" t="n">
        <v>0</v>
      </c>
      <c r="P320" t="n">
        <v>0</v>
      </c>
      <c r="Q320" t="n">
        <v>0</v>
      </c>
      <c r="R320" t="n">
        <v>0</v>
      </c>
      <c r="S320" t="n">
        <v>0</v>
      </c>
      <c r="T320" t="n">
        <v>0</v>
      </c>
      <c r="U320" s="2" t="inlineStr"/>
    </row>
    <row r="321" ht="15" customHeight="1">
      <c r="A321" t="inlineStr">
        <is>
          <t>A 47081-2023</t>
        </is>
      </c>
      <c r="B321" t="inlineStr">
        <is>
          <t>avverkningsanmälan</t>
        </is>
      </c>
      <c r="C321" t="inlineStr">
        <is>
          <t>Föryngringsavverkning</t>
        </is>
      </c>
      <c r="D321" s="1" t="n">
        <v>45201</v>
      </c>
      <c r="E321" s="1" t="n">
        <v>46217</v>
      </c>
      <c r="F321" t="inlineStr">
        <is>
          <t>DALARNAS LÄN</t>
        </is>
      </c>
      <c r="G321" t="inlineStr">
        <is>
          <t>ÄLVDALEN</t>
        </is>
      </c>
      <c r="H321" t="inlineStr">
        <is>
          <t>Bergvik skog väst AB</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23369-2023</t>
        </is>
      </c>
      <c r="B322" t="inlineStr">
        <is>
          <t>avverkningsanmälan</t>
        </is>
      </c>
      <c r="C322" t="inlineStr">
        <is>
          <t>Avverkning för annat ändamål</t>
        </is>
      </c>
      <c r="D322" s="1" t="n">
        <v>45076</v>
      </c>
      <c r="E322" s="1" t="n">
        <v>46217</v>
      </c>
      <c r="F322" t="inlineStr">
        <is>
          <t>DALARNAS LÄN</t>
        </is>
      </c>
      <c r="G322" t="inlineStr">
        <is>
          <t>ÄLVDALEN</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47018-2025</t>
        </is>
      </c>
      <c r="B323" t="inlineStr">
        <is>
          <t>avverkningsanmälan</t>
        </is>
      </c>
      <c r="C323" t="inlineStr">
        <is>
          <t>Föryngringsavverkning</t>
        </is>
      </c>
      <c r="D323" s="1" t="n">
        <v>45929</v>
      </c>
      <c r="E323" s="1" t="n">
        <v>46217</v>
      </c>
      <c r="F323" t="inlineStr">
        <is>
          <t>DALARNAS LÄN</t>
        </is>
      </c>
      <c r="G323" t="inlineStr">
        <is>
          <t>ÄLVDALEN</t>
        </is>
      </c>
      <c r="H323" t="inlineStr">
        <is>
          <t>Allmännings- och besparingsskogar</t>
        </is>
      </c>
      <c r="I323" t="n">
        <v>3.4</v>
      </c>
      <c r="J323" t="n">
        <v>0</v>
      </c>
      <c r="K323" t="n">
        <v>0</v>
      </c>
      <c r="L323" t="n">
        <v>0</v>
      </c>
      <c r="M323" t="n">
        <v>0</v>
      </c>
      <c r="N323" t="n">
        <v>0</v>
      </c>
      <c r="O323" t="n">
        <v>0</v>
      </c>
      <c r="P323" t="n">
        <v>0</v>
      </c>
      <c r="Q323" t="n">
        <v>0</v>
      </c>
      <c r="R323" t="n">
        <v>0</v>
      </c>
      <c r="S323" t="n">
        <v>0</v>
      </c>
      <c r="T323" t="n">
        <v>0</v>
      </c>
      <c r="U323" s="2" t="inlineStr"/>
    </row>
    <row r="324" ht="15" customHeight="1">
      <c r="A324" t="inlineStr">
        <is>
          <t>A 46882-2025</t>
        </is>
      </c>
      <c r="B324" t="inlineStr">
        <is>
          <t>avverkningsanmälan</t>
        </is>
      </c>
      <c r="C324" t="inlineStr">
        <is>
          <t>Föryngringsavverkning</t>
        </is>
      </c>
      <c r="D324" s="1" t="n">
        <v>45929</v>
      </c>
      <c r="E324" s="1" t="n">
        <v>46217</v>
      </c>
      <c r="F324" t="inlineStr">
        <is>
          <t>DALARNAS LÄN</t>
        </is>
      </c>
      <c r="G324" t="inlineStr">
        <is>
          <t>ÄLVDALEN</t>
        </is>
      </c>
      <c r="H324" t="inlineStr">
        <is>
          <t>Allmännings- och besparingsskogar</t>
        </is>
      </c>
      <c r="I324" t="n">
        <v>4.9</v>
      </c>
      <c r="J324" t="n">
        <v>0</v>
      </c>
      <c r="K324" t="n">
        <v>0</v>
      </c>
      <c r="L324" t="n">
        <v>0</v>
      </c>
      <c r="M324" t="n">
        <v>0</v>
      </c>
      <c r="N324" t="n">
        <v>0</v>
      </c>
      <c r="O324" t="n">
        <v>0</v>
      </c>
      <c r="P324" t="n">
        <v>0</v>
      </c>
      <c r="Q324" t="n">
        <v>0</v>
      </c>
      <c r="R324" t="n">
        <v>0</v>
      </c>
      <c r="S324" t="n">
        <v>0</v>
      </c>
      <c r="T324" t="n">
        <v>0</v>
      </c>
      <c r="U324" s="2" t="inlineStr"/>
    </row>
    <row r="325" ht="15" customHeight="1">
      <c r="A325" t="inlineStr">
        <is>
          <t>A 9719-2023</t>
        </is>
      </c>
      <c r="B325" t="inlineStr">
        <is>
          <t>avverkningsanmälan</t>
        </is>
      </c>
      <c r="C325" t="inlineStr">
        <is>
          <t>Föryngringsavverkning</t>
        </is>
      </c>
      <c r="D325" s="1" t="n">
        <v>44978</v>
      </c>
      <c r="E325" s="1" t="n">
        <v>46217</v>
      </c>
      <c r="F325" t="inlineStr">
        <is>
          <t>DALARNAS LÄN</t>
        </is>
      </c>
      <c r="G325" t="inlineStr">
        <is>
          <t>ÄLVDALEN</t>
        </is>
      </c>
      <c r="I325" t="n">
        <v>20.2</v>
      </c>
      <c r="J325" t="n">
        <v>0</v>
      </c>
      <c r="K325" t="n">
        <v>0</v>
      </c>
      <c r="L325" t="n">
        <v>0</v>
      </c>
      <c r="M325" t="n">
        <v>0</v>
      </c>
      <c r="N325" t="n">
        <v>0</v>
      </c>
      <c r="O325" t="n">
        <v>0</v>
      </c>
      <c r="P325" t="n">
        <v>0</v>
      </c>
      <c r="Q325" t="n">
        <v>0</v>
      </c>
      <c r="R325" t="n">
        <v>0</v>
      </c>
      <c r="S325" t="n">
        <v>0</v>
      </c>
      <c r="T325" t="n">
        <v>0</v>
      </c>
      <c r="U325" s="2" t="inlineStr"/>
    </row>
    <row r="326" ht="15" customHeight="1">
      <c r="A326" t="inlineStr">
        <is>
          <t>A 40003-2022</t>
        </is>
      </c>
      <c r="B326" t="inlineStr">
        <is>
          <t>avverkningsanmälan</t>
        </is>
      </c>
      <c r="C326" t="inlineStr">
        <is>
          <t>Föryngringsavverkning</t>
        </is>
      </c>
      <c r="D326" s="1" t="n">
        <v>44820</v>
      </c>
      <c r="E326" s="1" t="n">
        <v>46217</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48849-2022</t>
        </is>
      </c>
      <c r="B327" t="inlineStr">
        <is>
          <t>avverkningsanmälan</t>
        </is>
      </c>
      <c r="C327" t="inlineStr">
        <is>
          <t>Avverkning för annat ändamål</t>
        </is>
      </c>
      <c r="D327" s="1" t="n">
        <v>44859</v>
      </c>
      <c r="E327" s="1" t="n">
        <v>46217</v>
      </c>
      <c r="F327" t="inlineStr">
        <is>
          <t>DALARNAS LÄN</t>
        </is>
      </c>
      <c r="G327" t="inlineStr">
        <is>
          <t>ÄLVDALEN</t>
        </is>
      </c>
      <c r="H327" t="inlineStr">
        <is>
          <t>Allmännings- och besparingsskogar</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47692-2025</t>
        </is>
      </c>
      <c r="B328" t="inlineStr">
        <is>
          <t>avverkningsanmälan</t>
        </is>
      </c>
      <c r="C328" t="inlineStr">
        <is>
          <t>Föryngringsavverkning</t>
        </is>
      </c>
      <c r="D328" s="1" t="n">
        <v>45931</v>
      </c>
      <c r="E328" s="1" t="n">
        <v>46217</v>
      </c>
      <c r="F328" t="inlineStr">
        <is>
          <t>DALARNAS LÄN</t>
        </is>
      </c>
      <c r="G328" t="inlineStr">
        <is>
          <t>ÄLVDALEN</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47707-2025</t>
        </is>
      </c>
      <c r="B329" t="inlineStr">
        <is>
          <t>avverkningsanmälan</t>
        </is>
      </c>
      <c r="C329" t="inlineStr">
        <is>
          <t>Föryngringsavverkning</t>
        </is>
      </c>
      <c r="D329" s="1" t="n">
        <v>45931</v>
      </c>
      <c r="E329" s="1" t="n">
        <v>46217</v>
      </c>
      <c r="F329" t="inlineStr">
        <is>
          <t>DALARNAS LÄN</t>
        </is>
      </c>
      <c r="G329" t="inlineStr">
        <is>
          <t>ÄLVDALEN</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8538-2025</t>
        </is>
      </c>
      <c r="B330" t="inlineStr">
        <is>
          <t>avverkningsanmälan</t>
        </is>
      </c>
      <c r="C330" t="inlineStr">
        <is>
          <t>Föryngringsavverkning</t>
        </is>
      </c>
      <c r="D330" s="1" t="n">
        <v>45709</v>
      </c>
      <c r="E330" s="1" t="n">
        <v>46217</v>
      </c>
      <c r="F330" t="inlineStr">
        <is>
          <t>DALARNAS LÄN</t>
        </is>
      </c>
      <c r="G330" t="inlineStr">
        <is>
          <t>ÄLVDALEN</t>
        </is>
      </c>
      <c r="H330" t="inlineStr">
        <is>
          <t>Allmännings- och besparingsskogar</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48135-2025</t>
        </is>
      </c>
      <c r="B331" t="inlineStr">
        <is>
          <t>avverkningsanmälan</t>
        </is>
      </c>
      <c r="C331" t="inlineStr">
        <is>
          <t>Föryngringsavverkning</t>
        </is>
      </c>
      <c r="D331" s="1" t="n">
        <v>45933</v>
      </c>
      <c r="E331" s="1" t="n">
        <v>46217</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s="2" t="inlineStr"/>
    </row>
    <row r="332" ht="15" customHeight="1">
      <c r="A332" t="inlineStr">
        <is>
          <t>A 54632-2021</t>
        </is>
      </c>
      <c r="B332" t="inlineStr">
        <is>
          <t>avverkningsanmälan</t>
        </is>
      </c>
      <c r="C332" t="inlineStr">
        <is>
          <t>Föryngringsavverkning</t>
        </is>
      </c>
      <c r="D332" s="1" t="n">
        <v>44473</v>
      </c>
      <c r="E332" s="1" t="n">
        <v>46217</v>
      </c>
      <c r="F332" t="inlineStr">
        <is>
          <t>DALARNAS LÄN</t>
        </is>
      </c>
      <c r="G332" t="inlineStr">
        <is>
          <t>ÄLVDALEN</t>
        </is>
      </c>
      <c r="I332" t="n">
        <v>0.5</v>
      </c>
      <c r="J332" t="n">
        <v>0</v>
      </c>
      <c r="K332" t="n">
        <v>0</v>
      </c>
      <c r="L332" t="n">
        <v>0</v>
      </c>
      <c r="M332" t="n">
        <v>0</v>
      </c>
      <c r="N332" t="n">
        <v>0</v>
      </c>
      <c r="O332" t="n">
        <v>0</v>
      </c>
      <c r="P332" t="n">
        <v>0</v>
      </c>
      <c r="Q332" t="n">
        <v>0</v>
      </c>
      <c r="R332" t="n">
        <v>0</v>
      </c>
      <c r="S332" t="n">
        <v>0</v>
      </c>
      <c r="T332" t="n">
        <v>0</v>
      </c>
      <c r="U332" s="2" t="inlineStr"/>
      <c r="W332">
        <f>HYPERLINK("https://klasma.github.io/Logging_2039/kartor/A 54632-2021 karta.png", "A 54632-2021")</f>
        <v/>
      </c>
      <c r="Y332">
        <f>HYPERLINK("https://klasma.github.io/Logging_2039/klagomål/A 54632-2021 FSC-klagomål.docx", "A 54632-2021")</f>
        <v/>
      </c>
      <c r="Z332">
        <f>HYPERLINK("https://klasma.github.io/Logging_2039/klagomålsmail/A 54632-2021 FSC-klagomål mail.docx", "A 54632-2021")</f>
        <v/>
      </c>
      <c r="AA332">
        <f>HYPERLINK("https://klasma.github.io/Logging_2039/tillsyn/A 54632-2021 tillsynsbegäran.docx", "A 54632-2021")</f>
        <v/>
      </c>
      <c r="AB332">
        <f>HYPERLINK("https://klasma.github.io/Logging_2039/tillsynsmail/A 54632-2021 tillsynsbegäran mail.docx", "A 54632-2021")</f>
        <v/>
      </c>
    </row>
    <row r="333" ht="15" customHeight="1">
      <c r="A333" t="inlineStr">
        <is>
          <t>A 3196-2025</t>
        </is>
      </c>
      <c r="B333" t="inlineStr">
        <is>
          <t>avverkningsanmälan</t>
        </is>
      </c>
      <c r="C333" t="inlineStr">
        <is>
          <t>Föryngringsavverkning</t>
        </is>
      </c>
      <c r="D333" s="1" t="n">
        <v>45679</v>
      </c>
      <c r="E333" s="1" t="n">
        <v>46217</v>
      </c>
      <c r="F333" t="inlineStr">
        <is>
          <t>DALARNAS LÄN</t>
        </is>
      </c>
      <c r="G333" t="inlineStr">
        <is>
          <t>ÄLVDALEN</t>
        </is>
      </c>
      <c r="I333" t="n">
        <v>5.2</v>
      </c>
      <c r="J333" t="n">
        <v>0</v>
      </c>
      <c r="K333" t="n">
        <v>0</v>
      </c>
      <c r="L333" t="n">
        <v>0</v>
      </c>
      <c r="M333" t="n">
        <v>0</v>
      </c>
      <c r="N333" t="n">
        <v>0</v>
      </c>
      <c r="O333" t="n">
        <v>0</v>
      </c>
      <c r="P333" t="n">
        <v>0</v>
      </c>
      <c r="Q333" t="n">
        <v>0</v>
      </c>
      <c r="R333" t="n">
        <v>0</v>
      </c>
      <c r="S333" t="n">
        <v>0</v>
      </c>
      <c r="T333" t="n">
        <v>0</v>
      </c>
      <c r="U333" s="2" t="inlineStr"/>
    </row>
    <row r="334" ht="15" customHeight="1">
      <c r="A334" t="inlineStr">
        <is>
          <t>A 19182-2023</t>
        </is>
      </c>
      <c r="B334" t="inlineStr">
        <is>
          <t>avverkningsanmälan</t>
        </is>
      </c>
      <c r="C334" t="inlineStr">
        <is>
          <t>Föryngringsavverkning</t>
        </is>
      </c>
      <c r="D334" s="1" t="n">
        <v>45048</v>
      </c>
      <c r="E334" s="1" t="n">
        <v>46217</v>
      </c>
      <c r="F334" t="inlineStr">
        <is>
          <t>DALARNAS LÄN</t>
        </is>
      </c>
      <c r="G334" t="inlineStr">
        <is>
          <t>ÄLVDALEN</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6230-2024</t>
        </is>
      </c>
      <c r="B335" t="inlineStr">
        <is>
          <t>avverkningsanmälan</t>
        </is>
      </c>
      <c r="C335" t="inlineStr">
        <is>
          <t>Föryngringsavverkning</t>
        </is>
      </c>
      <c r="D335" s="1" t="n">
        <v>45337</v>
      </c>
      <c r="E335" s="1" t="n">
        <v>46217</v>
      </c>
      <c r="F335" t="inlineStr">
        <is>
          <t>DALARNAS LÄN</t>
        </is>
      </c>
      <c r="G335" t="inlineStr">
        <is>
          <t>ÄLVDALEN</t>
        </is>
      </c>
      <c r="I335" t="n">
        <v>6.2</v>
      </c>
      <c r="J335" t="n">
        <v>0</v>
      </c>
      <c r="K335" t="n">
        <v>0</v>
      </c>
      <c r="L335" t="n">
        <v>0</v>
      </c>
      <c r="M335" t="n">
        <v>0</v>
      </c>
      <c r="N335" t="n">
        <v>0</v>
      </c>
      <c r="O335" t="n">
        <v>0</v>
      </c>
      <c r="P335" t="n">
        <v>0</v>
      </c>
      <c r="Q335" t="n">
        <v>0</v>
      </c>
      <c r="R335" t="n">
        <v>0</v>
      </c>
      <c r="S335" t="n">
        <v>0</v>
      </c>
      <c r="T335" t="n">
        <v>0</v>
      </c>
      <c r="U335" s="2" t="inlineStr"/>
    </row>
    <row r="336" ht="15" customHeight="1">
      <c r="A336" t="inlineStr">
        <is>
          <t>A 30225-2023</t>
        </is>
      </c>
      <c r="B336" t="inlineStr">
        <is>
          <t>avverkningsanmälan</t>
        </is>
      </c>
      <c r="C336" t="inlineStr">
        <is>
          <t>Föryngringsavverkning</t>
        </is>
      </c>
      <c r="D336" s="1" t="n">
        <v>45110</v>
      </c>
      <c r="E336" s="1" t="n">
        <v>46217</v>
      </c>
      <c r="F336" t="inlineStr">
        <is>
          <t>DALARNAS LÄN</t>
        </is>
      </c>
      <c r="G336" t="inlineStr">
        <is>
          <t>ÄLVDALEN</t>
        </is>
      </c>
      <c r="H336" t="inlineStr">
        <is>
          <t>Allmännings- och besparingsskogar</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51392-2025</t>
        </is>
      </c>
      <c r="B337" t="inlineStr">
        <is>
          <t>avverkningsanmälan</t>
        </is>
      </c>
      <c r="C337" t="inlineStr">
        <is>
          <t>Föryngringsavverkning</t>
        </is>
      </c>
      <c r="D337" s="1" t="n">
        <v>45950</v>
      </c>
      <c r="E337" s="1" t="n">
        <v>46217</v>
      </c>
      <c r="F337" t="inlineStr">
        <is>
          <t>DALARNAS LÄN</t>
        </is>
      </c>
      <c r="G337" t="inlineStr">
        <is>
          <t>ÄLVDALEN</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70140-2021</t>
        </is>
      </c>
      <c r="B338" t="inlineStr">
        <is>
          <t>avverkningsanmälan</t>
        </is>
      </c>
      <c r="C338" t="inlineStr">
        <is>
          <t>Föryngringsavverkning</t>
        </is>
      </c>
      <c r="D338" s="1" t="n">
        <v>44533</v>
      </c>
      <c r="E338" s="1" t="n">
        <v>46217</v>
      </c>
      <c r="F338" t="inlineStr">
        <is>
          <t>DALARNAS LÄN</t>
        </is>
      </c>
      <c r="G338" t="inlineStr">
        <is>
          <t>ÄLVDALEN</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51381-2025</t>
        </is>
      </c>
      <c r="B339" t="inlineStr">
        <is>
          <t>avverkningsanmälan</t>
        </is>
      </c>
      <c r="C339" t="inlineStr">
        <is>
          <t>Föryngringsavverkning</t>
        </is>
      </c>
      <c r="D339" s="1" t="n">
        <v>45950</v>
      </c>
      <c r="E339" s="1" t="n">
        <v>46217</v>
      </c>
      <c r="F339" t="inlineStr">
        <is>
          <t>DALARNAS LÄN</t>
        </is>
      </c>
      <c r="G339" t="inlineStr">
        <is>
          <t>ÄLVDALEN</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32031-2023</t>
        </is>
      </c>
      <c r="B340" t="inlineStr">
        <is>
          <t>avverkningsanmälan</t>
        </is>
      </c>
      <c r="C340" t="inlineStr">
        <is>
          <t>Avverkning för annat ändamål</t>
        </is>
      </c>
      <c r="D340" s="1" t="n">
        <v>45107</v>
      </c>
      <c r="E340" s="1" t="n">
        <v>46217</v>
      </c>
      <c r="F340" t="inlineStr">
        <is>
          <t>DALARNAS LÄN</t>
        </is>
      </c>
      <c r="G340" t="inlineStr">
        <is>
          <t>ÄLVDALEN</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51461-2025</t>
        </is>
      </c>
      <c r="B341" t="inlineStr">
        <is>
          <t>avverkningsanmälan</t>
        </is>
      </c>
      <c r="C341" t="inlineStr">
        <is>
          <t>Föryngringsavverkning</t>
        </is>
      </c>
      <c r="D341" s="1" t="n">
        <v>45950</v>
      </c>
      <c r="E341" s="1" t="n">
        <v>46217</v>
      </c>
      <c r="F341" t="inlineStr">
        <is>
          <t>DALARNAS LÄN</t>
        </is>
      </c>
      <c r="G341" t="inlineStr">
        <is>
          <t>ÄLVDALEN</t>
        </is>
      </c>
      <c r="H341" t="inlineStr">
        <is>
          <t>Allmännings- och besparingsskogar</t>
        </is>
      </c>
      <c r="I341" t="n">
        <v>5</v>
      </c>
      <c r="J341" t="n">
        <v>0</v>
      </c>
      <c r="K341" t="n">
        <v>0</v>
      </c>
      <c r="L341" t="n">
        <v>0</v>
      </c>
      <c r="M341" t="n">
        <v>0</v>
      </c>
      <c r="N341" t="n">
        <v>0</v>
      </c>
      <c r="O341" t="n">
        <v>0</v>
      </c>
      <c r="P341" t="n">
        <v>0</v>
      </c>
      <c r="Q341" t="n">
        <v>0</v>
      </c>
      <c r="R341" t="n">
        <v>0</v>
      </c>
      <c r="S341" t="n">
        <v>0</v>
      </c>
      <c r="T341" t="n">
        <v>0</v>
      </c>
      <c r="U341" s="2" t="inlineStr"/>
    </row>
    <row r="342" ht="15" customHeight="1">
      <c r="A342" t="inlineStr">
        <is>
          <t>A 51442-2025</t>
        </is>
      </c>
      <c r="B342" t="inlineStr">
        <is>
          <t>avverkningsanmälan</t>
        </is>
      </c>
      <c r="C342" t="inlineStr">
        <is>
          <t>Föryngringsavverkning</t>
        </is>
      </c>
      <c r="D342" s="1" t="n">
        <v>45950</v>
      </c>
      <c r="E342" s="1" t="n">
        <v>46217</v>
      </c>
      <c r="F342" t="inlineStr">
        <is>
          <t>DALARNAS LÄN</t>
        </is>
      </c>
      <c r="G342" t="inlineStr">
        <is>
          <t>ÄLVDALEN</t>
        </is>
      </c>
      <c r="H342" t="inlineStr">
        <is>
          <t>Bergvik skog väst AB</t>
        </is>
      </c>
      <c r="I342" t="n">
        <v>6.3</v>
      </c>
      <c r="J342" t="n">
        <v>0</v>
      </c>
      <c r="K342" t="n">
        <v>0</v>
      </c>
      <c r="L342" t="n">
        <v>0</v>
      </c>
      <c r="M342" t="n">
        <v>0</v>
      </c>
      <c r="N342" t="n">
        <v>0</v>
      </c>
      <c r="O342" t="n">
        <v>0</v>
      </c>
      <c r="P342" t="n">
        <v>0</v>
      </c>
      <c r="Q342" t="n">
        <v>0</v>
      </c>
      <c r="R342" t="n">
        <v>0</v>
      </c>
      <c r="S342" t="n">
        <v>0</v>
      </c>
      <c r="T342" t="n">
        <v>0</v>
      </c>
      <c r="U342" s="2" t="inlineStr"/>
    </row>
    <row r="343" ht="15" customHeight="1">
      <c r="A343" t="inlineStr">
        <is>
          <t>A 8496-2025</t>
        </is>
      </c>
      <c r="B343" t="inlineStr">
        <is>
          <t>avverkningsanmälan</t>
        </is>
      </c>
      <c r="C343" t="inlineStr">
        <is>
          <t>Föryngringsavverkning</t>
        </is>
      </c>
      <c r="D343" s="1" t="n">
        <v>45709</v>
      </c>
      <c r="E343" s="1" t="n">
        <v>46217</v>
      </c>
      <c r="F343" t="inlineStr">
        <is>
          <t>DALARNAS LÄN</t>
        </is>
      </c>
      <c r="G343" t="inlineStr">
        <is>
          <t>ÄLVDALEN</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52033-2025</t>
        </is>
      </c>
      <c r="B344" t="inlineStr">
        <is>
          <t>avverkningsanmälan</t>
        </is>
      </c>
      <c r="C344" t="inlineStr">
        <is>
          <t>Föryngringsavverkning</t>
        </is>
      </c>
      <c r="D344" s="1" t="n">
        <v>45952</v>
      </c>
      <c r="E344" s="1" t="n">
        <v>46217</v>
      </c>
      <c r="F344" t="inlineStr">
        <is>
          <t>DALARNAS LÄN</t>
        </is>
      </c>
      <c r="G344" t="inlineStr">
        <is>
          <t>ÄLVDALEN</t>
        </is>
      </c>
      <c r="H344" t="inlineStr">
        <is>
          <t>Allmännings- och besparingsskogar</t>
        </is>
      </c>
      <c r="I344" t="n">
        <v>3.5</v>
      </c>
      <c r="J344" t="n">
        <v>0</v>
      </c>
      <c r="K344" t="n">
        <v>0</v>
      </c>
      <c r="L344" t="n">
        <v>0</v>
      </c>
      <c r="M344" t="n">
        <v>0</v>
      </c>
      <c r="N344" t="n">
        <v>0</v>
      </c>
      <c r="O344" t="n">
        <v>0</v>
      </c>
      <c r="P344" t="n">
        <v>0</v>
      </c>
      <c r="Q344" t="n">
        <v>0</v>
      </c>
      <c r="R344" t="n">
        <v>0</v>
      </c>
      <c r="S344" t="n">
        <v>0</v>
      </c>
      <c r="T344" t="n">
        <v>0</v>
      </c>
      <c r="U344" s="2" t="inlineStr"/>
    </row>
    <row r="345" ht="15" customHeight="1">
      <c r="A345" t="inlineStr">
        <is>
          <t>A 51975-2025</t>
        </is>
      </c>
      <c r="B345" t="inlineStr">
        <is>
          <t>avverkningsanmälan</t>
        </is>
      </c>
      <c r="C345" t="inlineStr">
        <is>
          <t>Föryngringsavverkning</t>
        </is>
      </c>
      <c r="D345" s="1" t="n">
        <v>45952</v>
      </c>
      <c r="E345" s="1" t="n">
        <v>46217</v>
      </c>
      <c r="F345" t="inlineStr">
        <is>
          <t>DALARNAS LÄN</t>
        </is>
      </c>
      <c r="G345" t="inlineStr">
        <is>
          <t>ÄLVDALEN</t>
        </is>
      </c>
      <c r="H345" t="inlineStr">
        <is>
          <t>Allmännings- och besparingsskogar</t>
        </is>
      </c>
      <c r="I345" t="n">
        <v>3.5</v>
      </c>
      <c r="J345" t="n">
        <v>0</v>
      </c>
      <c r="K345" t="n">
        <v>0</v>
      </c>
      <c r="L345" t="n">
        <v>0</v>
      </c>
      <c r="M345" t="n">
        <v>0</v>
      </c>
      <c r="N345" t="n">
        <v>0</v>
      </c>
      <c r="O345" t="n">
        <v>0</v>
      </c>
      <c r="P345" t="n">
        <v>0</v>
      </c>
      <c r="Q345" t="n">
        <v>0</v>
      </c>
      <c r="R345" t="n">
        <v>0</v>
      </c>
      <c r="S345" t="n">
        <v>0</v>
      </c>
      <c r="T345" t="n">
        <v>0</v>
      </c>
      <c r="U345" s="2" t="inlineStr"/>
    </row>
    <row r="346" ht="15" customHeight="1">
      <c r="A346" t="inlineStr">
        <is>
          <t>A 52072-2025</t>
        </is>
      </c>
      <c r="B346" t="inlineStr">
        <is>
          <t>avverkningsanmälan</t>
        </is>
      </c>
      <c r="C346" t="inlineStr">
        <is>
          <t>Föryngringsavverkning</t>
        </is>
      </c>
      <c r="D346" s="1" t="n">
        <v>45952</v>
      </c>
      <c r="E346" s="1" t="n">
        <v>46217</v>
      </c>
      <c r="F346" t="inlineStr">
        <is>
          <t>DALARNAS LÄN</t>
        </is>
      </c>
      <c r="G346" t="inlineStr">
        <is>
          <t>ÄLVDALEN</t>
        </is>
      </c>
      <c r="H346" t="inlineStr">
        <is>
          <t>Allmännings- och besparingsskogar</t>
        </is>
      </c>
      <c r="I346" t="n">
        <v>54.2</v>
      </c>
      <c r="J346" t="n">
        <v>0</v>
      </c>
      <c r="K346" t="n">
        <v>0</v>
      </c>
      <c r="L346" t="n">
        <v>0</v>
      </c>
      <c r="M346" t="n">
        <v>0</v>
      </c>
      <c r="N346" t="n">
        <v>0</v>
      </c>
      <c r="O346" t="n">
        <v>0</v>
      </c>
      <c r="P346" t="n">
        <v>0</v>
      </c>
      <c r="Q346" t="n">
        <v>0</v>
      </c>
      <c r="R346" t="n">
        <v>0</v>
      </c>
      <c r="S346" t="n">
        <v>0</v>
      </c>
      <c r="T346" t="n">
        <v>0</v>
      </c>
      <c r="U346" s="2" t="inlineStr"/>
    </row>
    <row r="347" ht="15" customHeight="1">
      <c r="A347" t="inlineStr">
        <is>
          <t>A 57560-2024</t>
        </is>
      </c>
      <c r="B347" t="inlineStr">
        <is>
          <t>avverkningsanmälan</t>
        </is>
      </c>
      <c r="C347" t="inlineStr">
        <is>
          <t>Föryngringsavverkning</t>
        </is>
      </c>
      <c r="D347" s="1" t="n">
        <v>45630</v>
      </c>
      <c r="E347" s="1" t="n">
        <v>46217</v>
      </c>
      <c r="F347" t="inlineStr">
        <is>
          <t>DALARNAS LÄN</t>
        </is>
      </c>
      <c r="G347" t="inlineStr">
        <is>
          <t>ÄLVDALEN</t>
        </is>
      </c>
      <c r="I347" t="n">
        <v>9.199999999999999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51915-2025</t>
        </is>
      </c>
      <c r="B348" t="inlineStr">
        <is>
          <t>avverkningsanmälan</t>
        </is>
      </c>
      <c r="C348" t="inlineStr">
        <is>
          <t>Föryngringsavverkning</t>
        </is>
      </c>
      <c r="D348" s="1" t="n">
        <v>45952</v>
      </c>
      <c r="E348" s="1" t="n">
        <v>46217</v>
      </c>
      <c r="F348" t="inlineStr">
        <is>
          <t>DALARNAS LÄN</t>
        </is>
      </c>
      <c r="G348" t="inlineStr">
        <is>
          <t>ÄLVDALEN</t>
        </is>
      </c>
      <c r="H348" t="inlineStr">
        <is>
          <t>Allmännings- och besparingsskogar</t>
        </is>
      </c>
      <c r="I348" t="n">
        <v>66.7</v>
      </c>
      <c r="J348" t="n">
        <v>0</v>
      </c>
      <c r="K348" t="n">
        <v>0</v>
      </c>
      <c r="L348" t="n">
        <v>0</v>
      </c>
      <c r="M348" t="n">
        <v>0</v>
      </c>
      <c r="N348" t="n">
        <v>0</v>
      </c>
      <c r="O348" t="n">
        <v>0</v>
      </c>
      <c r="P348" t="n">
        <v>0</v>
      </c>
      <c r="Q348" t="n">
        <v>0</v>
      </c>
      <c r="R348" t="n">
        <v>0</v>
      </c>
      <c r="S348" t="n">
        <v>0</v>
      </c>
      <c r="T348" t="n">
        <v>0</v>
      </c>
      <c r="U348" s="2" t="inlineStr"/>
    </row>
    <row r="349" ht="15" customHeight="1">
      <c r="A349" t="inlineStr">
        <is>
          <t>A 52152-2025</t>
        </is>
      </c>
      <c r="B349" t="inlineStr">
        <is>
          <t>avverkningsanmälan</t>
        </is>
      </c>
      <c r="C349" t="inlineStr">
        <is>
          <t>Föryngringsavverkning</t>
        </is>
      </c>
      <c r="D349" s="1" t="n">
        <v>45953</v>
      </c>
      <c r="E349" s="1" t="n">
        <v>46217</v>
      </c>
      <c r="F349" t="inlineStr">
        <is>
          <t>DALARNAS LÄN</t>
        </is>
      </c>
      <c r="G349" t="inlineStr">
        <is>
          <t>ÄLVDALEN</t>
        </is>
      </c>
      <c r="H349" t="inlineStr">
        <is>
          <t>Allmännings- och besparingsskogar</t>
        </is>
      </c>
      <c r="I349" t="n">
        <v>22.3</v>
      </c>
      <c r="J349" t="n">
        <v>0</v>
      </c>
      <c r="K349" t="n">
        <v>0</v>
      </c>
      <c r="L349" t="n">
        <v>0</v>
      </c>
      <c r="M349" t="n">
        <v>0</v>
      </c>
      <c r="N349" t="n">
        <v>0</v>
      </c>
      <c r="O349" t="n">
        <v>0</v>
      </c>
      <c r="P349" t="n">
        <v>0</v>
      </c>
      <c r="Q349" t="n">
        <v>0</v>
      </c>
      <c r="R349" t="n">
        <v>0</v>
      </c>
      <c r="S349" t="n">
        <v>0</v>
      </c>
      <c r="T349" t="n">
        <v>0</v>
      </c>
      <c r="U349" s="2" t="inlineStr"/>
    </row>
    <row r="350" ht="15" customHeight="1">
      <c r="A350" t="inlineStr">
        <is>
          <t>A 2674-2026</t>
        </is>
      </c>
      <c r="B350" t="inlineStr">
        <is>
          <t>avverkningsanmälan</t>
        </is>
      </c>
      <c r="C350" t="inlineStr">
        <is>
          <t>Föryngringsavverkning</t>
        </is>
      </c>
      <c r="D350" s="1" t="n">
        <v>46037</v>
      </c>
      <c r="E350" s="1" t="n">
        <v>46217</v>
      </c>
      <c r="F350" t="inlineStr">
        <is>
          <t>DALARNAS LÄN</t>
        </is>
      </c>
      <c r="G350" t="inlineStr">
        <is>
          <t>ÄLVDALEN</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11084-2026</t>
        </is>
      </c>
      <c r="B351" t="inlineStr">
        <is>
          <t>avverkningsanmälan</t>
        </is>
      </c>
      <c r="C351" t="inlineStr">
        <is>
          <t>Föryngringsavverkning</t>
        </is>
      </c>
      <c r="D351" s="1" t="n">
        <v>46079</v>
      </c>
      <c r="E351" s="1" t="n">
        <v>46217</v>
      </c>
      <c r="F351" t="inlineStr">
        <is>
          <t>DALARNAS LÄN</t>
        </is>
      </c>
      <c r="G351" t="inlineStr">
        <is>
          <t>ÄLVDALEN</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60793-2022</t>
        </is>
      </c>
      <c r="B352" t="inlineStr">
        <is>
          <t>avverkningsanmälan</t>
        </is>
      </c>
      <c r="C352" t="inlineStr">
        <is>
          <t>Föryngringsavverkning</t>
        </is>
      </c>
      <c r="D352" s="1" t="n">
        <v>44911</v>
      </c>
      <c r="E352" s="1" t="n">
        <v>46217</v>
      </c>
      <c r="F352" t="inlineStr">
        <is>
          <t>DALARNAS LÄN</t>
        </is>
      </c>
      <c r="G352" t="inlineStr">
        <is>
          <t>ÄLVDALEN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54114-2025</t>
        </is>
      </c>
      <c r="B353" t="inlineStr">
        <is>
          <t>avverkningsanmälan</t>
        </is>
      </c>
      <c r="C353" t="inlineStr">
        <is>
          <t>Föryngringsavverkning</t>
        </is>
      </c>
      <c r="D353" s="1" t="n">
        <v>45964</v>
      </c>
      <c r="E353" s="1" t="n">
        <v>46217</v>
      </c>
      <c r="F353" t="inlineStr">
        <is>
          <t>DALARNAS LÄN</t>
        </is>
      </c>
      <c r="G353" t="inlineStr">
        <is>
          <t>ÄLVDALEN</t>
        </is>
      </c>
      <c r="H353" t="inlineStr">
        <is>
          <t>Bergvik skog väst AB</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42332-2023</t>
        </is>
      </c>
      <c r="B354" t="inlineStr">
        <is>
          <t>avverkningsanmälan</t>
        </is>
      </c>
      <c r="C354" t="inlineStr">
        <is>
          <t>Föryngringsavverkning</t>
        </is>
      </c>
      <c r="D354" s="1" t="n">
        <v>45175</v>
      </c>
      <c r="E354" s="1" t="n">
        <v>46217</v>
      </c>
      <c r="F354" t="inlineStr">
        <is>
          <t>DALARNAS LÄN</t>
        </is>
      </c>
      <c r="G354" t="inlineStr">
        <is>
          <t>ÄLVDALEN</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59177-2023</t>
        </is>
      </c>
      <c r="B355" t="inlineStr">
        <is>
          <t>avverkningsanmälan</t>
        </is>
      </c>
      <c r="C355" t="inlineStr">
        <is>
          <t>Föryngringsavverkning</t>
        </is>
      </c>
      <c r="D355" s="1" t="n">
        <v>45253</v>
      </c>
      <c r="E355" s="1" t="n">
        <v>46217</v>
      </c>
      <c r="F355" t="inlineStr">
        <is>
          <t>DALARNAS LÄN</t>
        </is>
      </c>
      <c r="G355" t="inlineStr">
        <is>
          <t>ÄLVDALEN</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55176-2025</t>
        </is>
      </c>
      <c r="B356" t="inlineStr">
        <is>
          <t>avverkningsanmälan</t>
        </is>
      </c>
      <c r="C356" t="inlineStr">
        <is>
          <t>Föryngringsavverkning</t>
        </is>
      </c>
      <c r="D356" s="1" t="n">
        <v>45968</v>
      </c>
      <c r="E356" s="1" t="n">
        <v>46217</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55919-2025</t>
        </is>
      </c>
      <c r="B357" t="inlineStr">
        <is>
          <t>avverkningsanmälan</t>
        </is>
      </c>
      <c r="C357" t="inlineStr">
        <is>
          <t>Föryngringsavverkning</t>
        </is>
      </c>
      <c r="D357" s="1" t="n">
        <v>45973</v>
      </c>
      <c r="E357" s="1" t="n">
        <v>46217</v>
      </c>
      <c r="F357" t="inlineStr">
        <is>
          <t>DALARNAS LÄN</t>
        </is>
      </c>
      <c r="G357" t="inlineStr">
        <is>
          <t>ÄLVDALEN</t>
        </is>
      </c>
      <c r="H357" t="inlineStr">
        <is>
          <t>Övriga statliga verk och myndigheter</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55924-2025</t>
        </is>
      </c>
      <c r="B358" t="inlineStr">
        <is>
          <t>avverkningsanmälan</t>
        </is>
      </c>
      <c r="C358" t="inlineStr">
        <is>
          <t>Föryngringsavverkning</t>
        </is>
      </c>
      <c r="D358" s="1" t="n">
        <v>45973</v>
      </c>
      <c r="E358" s="1" t="n">
        <v>46217</v>
      </c>
      <c r="F358" t="inlineStr">
        <is>
          <t>DALARNAS LÄN</t>
        </is>
      </c>
      <c r="G358" t="inlineStr">
        <is>
          <t>ÄLVDALEN</t>
        </is>
      </c>
      <c r="H358" t="inlineStr">
        <is>
          <t>Övriga statliga verk och myndigheter</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56252-2025</t>
        </is>
      </c>
      <c r="B359" t="inlineStr">
        <is>
          <t>avverkningsanmälan</t>
        </is>
      </c>
      <c r="C359" t="inlineStr">
        <is>
          <t>Föryngringsavverkning</t>
        </is>
      </c>
      <c r="D359" s="1" t="n">
        <v>45974</v>
      </c>
      <c r="E359" s="1" t="n">
        <v>46217</v>
      </c>
      <c r="F359" t="inlineStr">
        <is>
          <t>DALARNAS LÄN</t>
        </is>
      </c>
      <c r="G359" t="inlineStr">
        <is>
          <t>ÄLVDALEN</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47936-2024</t>
        </is>
      </c>
      <c r="B360" t="inlineStr">
        <is>
          <t>avverkningsanmälan</t>
        </is>
      </c>
      <c r="C360" t="inlineStr">
        <is>
          <t>Föryngringsavverkning</t>
        </is>
      </c>
      <c r="D360" s="1" t="n">
        <v>45589</v>
      </c>
      <c r="E360" s="1" t="n">
        <v>46217</v>
      </c>
      <c r="F360" t="inlineStr">
        <is>
          <t>DALARNAS LÄN</t>
        </is>
      </c>
      <c r="G360" t="inlineStr">
        <is>
          <t>ÄLVDALEN</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30985-2023</t>
        </is>
      </c>
      <c r="B361" t="inlineStr">
        <is>
          <t>avverkningsanmälan</t>
        </is>
      </c>
      <c r="C361" t="inlineStr">
        <is>
          <t>Föryngringsavverkning</t>
        </is>
      </c>
      <c r="D361" s="1" t="n">
        <v>45113</v>
      </c>
      <c r="E361" s="1" t="n">
        <v>46217</v>
      </c>
      <c r="F361" t="inlineStr">
        <is>
          <t>DALARNAS LÄN</t>
        </is>
      </c>
      <c r="G361" t="inlineStr">
        <is>
          <t>ÄLVDALEN</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s="2" t="inlineStr"/>
    </row>
    <row r="362" ht="15" customHeight="1">
      <c r="A362" t="inlineStr">
        <is>
          <t>A 57510-2025</t>
        </is>
      </c>
      <c r="B362" t="inlineStr">
        <is>
          <t>avverkningsanmälan</t>
        </is>
      </c>
      <c r="C362" t="inlineStr">
        <is>
          <t>Föryngringsavverkning</t>
        </is>
      </c>
      <c r="D362" s="1" t="n">
        <v>45980</v>
      </c>
      <c r="E362" s="1" t="n">
        <v>46217</v>
      </c>
      <c r="F362" t="inlineStr">
        <is>
          <t>DALARNAS LÄN</t>
        </is>
      </c>
      <c r="G362" t="inlineStr">
        <is>
          <t>ÄLVDALEN</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14938-2023</t>
        </is>
      </c>
      <c r="B363" t="inlineStr">
        <is>
          <t>avverkningsanmälan</t>
        </is>
      </c>
      <c r="C363" t="inlineStr">
        <is>
          <t>Föryngringsavverkning</t>
        </is>
      </c>
      <c r="D363" s="1" t="n">
        <v>45015</v>
      </c>
      <c r="E363" s="1" t="n">
        <v>46217</v>
      </c>
      <c r="F363" t="inlineStr">
        <is>
          <t>DALARNAS LÄN</t>
        </is>
      </c>
      <c r="G363" t="inlineStr">
        <is>
          <t>ÄLVDALEN</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60265-2021</t>
        </is>
      </c>
      <c r="B364" t="inlineStr">
        <is>
          <t>avverkningsanmälan</t>
        </is>
      </c>
      <c r="C364" t="inlineStr">
        <is>
          <t>Föryngringsavverkning</t>
        </is>
      </c>
      <c r="D364" s="1" t="n">
        <v>44495</v>
      </c>
      <c r="E364" s="1" t="n">
        <v>46217</v>
      </c>
      <c r="F364" t="inlineStr">
        <is>
          <t>DALARNAS LÄN</t>
        </is>
      </c>
      <c r="G364" t="inlineStr">
        <is>
          <t>ÄLVDALEN</t>
        </is>
      </c>
      <c r="H364" t="inlineStr">
        <is>
          <t>Allmännings- och besparingsskogar</t>
        </is>
      </c>
      <c r="I364" t="n">
        <v>10</v>
      </c>
      <c r="J364" t="n">
        <v>0</v>
      </c>
      <c r="K364" t="n">
        <v>0</v>
      </c>
      <c r="L364" t="n">
        <v>0</v>
      </c>
      <c r="M364" t="n">
        <v>0</v>
      </c>
      <c r="N364" t="n">
        <v>0</v>
      </c>
      <c r="O364" t="n">
        <v>0</v>
      </c>
      <c r="P364" t="n">
        <v>0</v>
      </c>
      <c r="Q364" t="n">
        <v>0</v>
      </c>
      <c r="R364" t="n">
        <v>0</v>
      </c>
      <c r="S364" t="n">
        <v>0</v>
      </c>
      <c r="T364" t="n">
        <v>0</v>
      </c>
      <c r="U364" s="2" t="inlineStr"/>
    </row>
    <row r="365" ht="15" customHeight="1">
      <c r="A365" t="inlineStr">
        <is>
          <t>A 3859-2026</t>
        </is>
      </c>
      <c r="B365" t="inlineStr">
        <is>
          <t>avverkningsanmälan</t>
        </is>
      </c>
      <c r="C365" t="inlineStr">
        <is>
          <t>Föryngringsavverkning</t>
        </is>
      </c>
      <c r="D365" s="1" t="n">
        <v>46043</v>
      </c>
      <c r="E365" s="1" t="n">
        <v>46217</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21412-2026</t>
        </is>
      </c>
      <c r="B366" t="inlineStr">
        <is>
          <t>avverkningsanmälan</t>
        </is>
      </c>
      <c r="C366" t="inlineStr">
        <is>
          <t>Föryngringsavverkning</t>
        </is>
      </c>
      <c r="D366" s="1" t="n">
        <v>46148</v>
      </c>
      <c r="E366" s="1" t="n">
        <v>46217</v>
      </c>
      <c r="F366" t="inlineStr">
        <is>
          <t>DALARNAS LÄN</t>
        </is>
      </c>
      <c r="G366" t="inlineStr">
        <is>
          <t>ÄLVDALEN</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21433-2026</t>
        </is>
      </c>
      <c r="B367" t="inlineStr">
        <is>
          <t>avverkningsanmälan</t>
        </is>
      </c>
      <c r="C367" t="inlineStr">
        <is>
          <t>Föryngringsavverkning</t>
        </is>
      </c>
      <c r="D367" s="1" t="n">
        <v>46148</v>
      </c>
      <c r="E367" s="1" t="n">
        <v>46217</v>
      </c>
      <c r="F367" t="inlineStr">
        <is>
          <t>DALARNAS LÄN</t>
        </is>
      </c>
      <c r="G367" t="inlineStr">
        <is>
          <t>ÄLVDALEN</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21456-2026</t>
        </is>
      </c>
      <c r="B368" t="inlineStr">
        <is>
          <t>avverkningsanmälan</t>
        </is>
      </c>
      <c r="C368" t="inlineStr">
        <is>
          <t>Föryngringsavverkning</t>
        </is>
      </c>
      <c r="D368" s="1" t="n">
        <v>46148</v>
      </c>
      <c r="E368" s="1" t="n">
        <v>46217</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58739-2025</t>
        </is>
      </c>
      <c r="B369" t="inlineStr">
        <is>
          <t>avverkningsanmälan</t>
        </is>
      </c>
      <c r="C369" t="inlineStr">
        <is>
          <t>Föryngringsavverkning</t>
        </is>
      </c>
      <c r="D369" s="1" t="n">
        <v>45986</v>
      </c>
      <c r="E369" s="1" t="n">
        <v>46217</v>
      </c>
      <c r="F369" t="inlineStr">
        <is>
          <t>DALARNAS LÄN</t>
        </is>
      </c>
      <c r="G369" t="inlineStr">
        <is>
          <t>ÄLVDALEN</t>
        </is>
      </c>
      <c r="H369" t="inlineStr">
        <is>
          <t>Övriga statliga verk och myndigheter</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21716-2026</t>
        </is>
      </c>
      <c r="B370" t="inlineStr">
        <is>
          <t>avverkningsanmälan</t>
        </is>
      </c>
      <c r="C370" t="inlineStr">
        <is>
          <t>Föryngringsavverkning</t>
        </is>
      </c>
      <c r="D370" s="1" t="n">
        <v>46149</v>
      </c>
      <c r="E370" s="1" t="n">
        <v>46217</v>
      </c>
      <c r="F370" t="inlineStr">
        <is>
          <t>DALARNAS LÄN</t>
        </is>
      </c>
      <c r="G370" t="inlineStr">
        <is>
          <t>ÄLVDALEN</t>
        </is>
      </c>
      <c r="H370" t="inlineStr">
        <is>
          <t>Bergvik skog väst AB</t>
        </is>
      </c>
      <c r="I370" t="n">
        <v>4.5</v>
      </c>
      <c r="J370" t="n">
        <v>0</v>
      </c>
      <c r="K370" t="n">
        <v>0</v>
      </c>
      <c r="L370" t="n">
        <v>0</v>
      </c>
      <c r="M370" t="n">
        <v>0</v>
      </c>
      <c r="N370" t="n">
        <v>0</v>
      </c>
      <c r="O370" t="n">
        <v>0</v>
      </c>
      <c r="P370" t="n">
        <v>0</v>
      </c>
      <c r="Q370" t="n">
        <v>0</v>
      </c>
      <c r="R370" t="n">
        <v>0</v>
      </c>
      <c r="S370" t="n">
        <v>0</v>
      </c>
      <c r="T370" t="n">
        <v>0</v>
      </c>
      <c r="U370" s="2" t="inlineStr"/>
    </row>
    <row r="371" ht="15" customHeight="1">
      <c r="A371" t="inlineStr">
        <is>
          <t>A 21724-2026</t>
        </is>
      </c>
      <c r="B371" t="inlineStr">
        <is>
          <t>avverkningsanmälan</t>
        </is>
      </c>
      <c r="C371" t="inlineStr">
        <is>
          <t>Föryngringsavverkning</t>
        </is>
      </c>
      <c r="D371" s="1" t="n">
        <v>46149</v>
      </c>
      <c r="E371" s="1" t="n">
        <v>46217</v>
      </c>
      <c r="F371" t="inlineStr">
        <is>
          <t>DALARNAS LÄN</t>
        </is>
      </c>
      <c r="G371" t="inlineStr">
        <is>
          <t>ÄLVDALEN</t>
        </is>
      </c>
      <c r="H371" t="inlineStr">
        <is>
          <t>Bergvik skog väst AB</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21713-2026</t>
        </is>
      </c>
      <c r="B372" t="inlineStr">
        <is>
          <t>avverkningsanmälan</t>
        </is>
      </c>
      <c r="C372" t="inlineStr">
        <is>
          <t>Föryngringsavverkning</t>
        </is>
      </c>
      <c r="D372" s="1" t="n">
        <v>46149</v>
      </c>
      <c r="E372" s="1" t="n">
        <v>46217</v>
      </c>
      <c r="F372" t="inlineStr">
        <is>
          <t>DALARNAS LÄN</t>
        </is>
      </c>
      <c r="G372" t="inlineStr">
        <is>
          <t>ÄLVDALEN</t>
        </is>
      </c>
      <c r="H372" t="inlineStr">
        <is>
          <t>Bergvik skog väst AB</t>
        </is>
      </c>
      <c r="I372" t="n">
        <v>2.9</v>
      </c>
      <c r="J372" t="n">
        <v>0</v>
      </c>
      <c r="K372" t="n">
        <v>0</v>
      </c>
      <c r="L372" t="n">
        <v>0</v>
      </c>
      <c r="M372" t="n">
        <v>0</v>
      </c>
      <c r="N372" t="n">
        <v>0</v>
      </c>
      <c r="O372" t="n">
        <v>0</v>
      </c>
      <c r="P372" t="n">
        <v>0</v>
      </c>
      <c r="Q372" t="n">
        <v>0</v>
      </c>
      <c r="R372" t="n">
        <v>0</v>
      </c>
      <c r="S372" t="n">
        <v>0</v>
      </c>
      <c r="T372" t="n">
        <v>0</v>
      </c>
      <c r="U372" s="2" t="inlineStr"/>
    </row>
    <row r="373" ht="15" customHeight="1">
      <c r="A373" t="inlineStr">
        <is>
          <t>A 59256-2025</t>
        </is>
      </c>
      <c r="B373" t="inlineStr">
        <is>
          <t>avverkningsanmälan</t>
        </is>
      </c>
      <c r="C373" t="inlineStr">
        <is>
          <t>Föryngringsavverkning</t>
        </is>
      </c>
      <c r="D373" s="1" t="n">
        <v>45988</v>
      </c>
      <c r="E373" s="1" t="n">
        <v>46217</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29565-2022</t>
        </is>
      </c>
      <c r="B374" t="inlineStr">
        <is>
          <t>avverkningsanmälan</t>
        </is>
      </c>
      <c r="C374" t="inlineStr">
        <is>
          <t>Föryngringsavverkning</t>
        </is>
      </c>
      <c r="D374" s="1" t="n">
        <v>44754</v>
      </c>
      <c r="E374" s="1" t="n">
        <v>46217</v>
      </c>
      <c r="F374" t="inlineStr">
        <is>
          <t>DALARNAS LÄN</t>
        </is>
      </c>
      <c r="G374" t="inlineStr">
        <is>
          <t>ÄLVDALEN</t>
        </is>
      </c>
      <c r="I374" t="n">
        <v>8.300000000000001</v>
      </c>
      <c r="J374" t="n">
        <v>0</v>
      </c>
      <c r="K374" t="n">
        <v>0</v>
      </c>
      <c r="L374" t="n">
        <v>0</v>
      </c>
      <c r="M374" t="n">
        <v>0</v>
      </c>
      <c r="N374" t="n">
        <v>0</v>
      </c>
      <c r="O374" t="n">
        <v>0</v>
      </c>
      <c r="P374" t="n">
        <v>0</v>
      </c>
      <c r="Q374" t="n">
        <v>0</v>
      </c>
      <c r="R374" t="n">
        <v>0</v>
      </c>
      <c r="S374" t="n">
        <v>0</v>
      </c>
      <c r="T374" t="n">
        <v>0</v>
      </c>
      <c r="U374" s="2" t="inlineStr"/>
    </row>
    <row r="375" ht="15" customHeight="1">
      <c r="A375" t="inlineStr">
        <is>
          <t>A 59234-2025</t>
        </is>
      </c>
      <c r="B375" t="inlineStr">
        <is>
          <t>avverkningsanmälan</t>
        </is>
      </c>
      <c r="C375" t="inlineStr">
        <is>
          <t>Föryngringsavverkning</t>
        </is>
      </c>
      <c r="D375" s="1" t="n">
        <v>45988</v>
      </c>
      <c r="E375" s="1" t="n">
        <v>46217</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5826-2023</t>
        </is>
      </c>
      <c r="B376" t="inlineStr">
        <is>
          <t>avverkningsanmälan</t>
        </is>
      </c>
      <c r="C376" t="inlineStr">
        <is>
          <t>Föryngringsavverkning</t>
        </is>
      </c>
      <c r="D376" s="1" t="n">
        <v>44963</v>
      </c>
      <c r="E376" s="1" t="n">
        <v>46217</v>
      </c>
      <c r="F376" t="inlineStr">
        <is>
          <t>DALARNAS LÄN</t>
        </is>
      </c>
      <c r="G376" t="inlineStr">
        <is>
          <t>ÄLVDALEN</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59250-2025</t>
        </is>
      </c>
      <c r="B377" t="inlineStr">
        <is>
          <t>avverkningsanmälan</t>
        </is>
      </c>
      <c r="C377" t="inlineStr">
        <is>
          <t>Föryngringsavverkning</t>
        </is>
      </c>
      <c r="D377" s="1" t="n">
        <v>45988</v>
      </c>
      <c r="E377" s="1" t="n">
        <v>46217</v>
      </c>
      <c r="F377" t="inlineStr">
        <is>
          <t>DALARNAS LÄN</t>
        </is>
      </c>
      <c r="G377" t="inlineStr">
        <is>
          <t>ÄLVDALEN</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59590-2025</t>
        </is>
      </c>
      <c r="B378" t="inlineStr">
        <is>
          <t>avverkningsanmälan</t>
        </is>
      </c>
      <c r="C378" t="inlineStr">
        <is>
          <t>Föryngringsavverkning</t>
        </is>
      </c>
      <c r="D378" s="1" t="n">
        <v>45992</v>
      </c>
      <c r="E378" s="1" t="n">
        <v>46217</v>
      </c>
      <c r="F378" t="inlineStr">
        <is>
          <t>DALARNAS LÄN</t>
        </is>
      </c>
      <c r="G378" t="inlineStr">
        <is>
          <t>ÄLVDALEN</t>
        </is>
      </c>
      <c r="H378" t="inlineStr">
        <is>
          <t>Sveaskog</t>
        </is>
      </c>
      <c r="I378" t="n">
        <v>4.2</v>
      </c>
      <c r="J378" t="n">
        <v>0</v>
      </c>
      <c r="K378" t="n">
        <v>0</v>
      </c>
      <c r="L378" t="n">
        <v>0</v>
      </c>
      <c r="M378" t="n">
        <v>0</v>
      </c>
      <c r="N378" t="n">
        <v>0</v>
      </c>
      <c r="O378" t="n">
        <v>0</v>
      </c>
      <c r="P378" t="n">
        <v>0</v>
      </c>
      <c r="Q378" t="n">
        <v>0</v>
      </c>
      <c r="R378" t="n">
        <v>0</v>
      </c>
      <c r="S378" t="n">
        <v>0</v>
      </c>
      <c r="T378" t="n">
        <v>0</v>
      </c>
      <c r="U378" s="2" t="inlineStr"/>
    </row>
    <row r="379" ht="15" customHeight="1">
      <c r="A379" t="inlineStr">
        <is>
          <t>A 59588-2025</t>
        </is>
      </c>
      <c r="B379" t="inlineStr">
        <is>
          <t>avverkningsanmälan</t>
        </is>
      </c>
      <c r="C379" t="inlineStr">
        <is>
          <t>Föryngringsavverkning</t>
        </is>
      </c>
      <c r="D379" s="1" t="n">
        <v>45992</v>
      </c>
      <c r="E379" s="1" t="n">
        <v>46217</v>
      </c>
      <c r="F379" t="inlineStr">
        <is>
          <t>DALARNAS LÄN</t>
        </is>
      </c>
      <c r="G379" t="inlineStr">
        <is>
          <t>ÄLVDALEN</t>
        </is>
      </c>
      <c r="H379" t="inlineStr">
        <is>
          <t>Sveaskog</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59591-2025</t>
        </is>
      </c>
      <c r="B380" t="inlineStr">
        <is>
          <t>avverkningsanmälan</t>
        </is>
      </c>
      <c r="C380" t="inlineStr">
        <is>
          <t>Föryngringsavverkning</t>
        </is>
      </c>
      <c r="D380" s="1" t="n">
        <v>45992</v>
      </c>
      <c r="E380" s="1" t="n">
        <v>46217</v>
      </c>
      <c r="F380" t="inlineStr">
        <is>
          <t>DALARNAS LÄN</t>
        </is>
      </c>
      <c r="G380" t="inlineStr">
        <is>
          <t>ÄLVDALEN</t>
        </is>
      </c>
      <c r="H380" t="inlineStr">
        <is>
          <t>Sveaskog</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60292-2025</t>
        </is>
      </c>
      <c r="B381" t="inlineStr">
        <is>
          <t>avverkningsanmälan</t>
        </is>
      </c>
      <c r="C381" t="inlineStr">
        <is>
          <t>Föryngringsavverkning</t>
        </is>
      </c>
      <c r="D381" s="1" t="n">
        <v>45994</v>
      </c>
      <c r="E381" s="1" t="n">
        <v>46217</v>
      </c>
      <c r="F381" t="inlineStr">
        <is>
          <t>DALARNAS LÄN</t>
        </is>
      </c>
      <c r="G381" t="inlineStr">
        <is>
          <t>ÄLVDALEN</t>
        </is>
      </c>
      <c r="H381" t="inlineStr">
        <is>
          <t>Allmännings- och besparingsskogar</t>
        </is>
      </c>
      <c r="I381" t="n">
        <v>11.8</v>
      </c>
      <c r="J381" t="n">
        <v>0</v>
      </c>
      <c r="K381" t="n">
        <v>0</v>
      </c>
      <c r="L381" t="n">
        <v>0</v>
      </c>
      <c r="M381" t="n">
        <v>0</v>
      </c>
      <c r="N381" t="n">
        <v>0</v>
      </c>
      <c r="O381" t="n">
        <v>0</v>
      </c>
      <c r="P381" t="n">
        <v>0</v>
      </c>
      <c r="Q381" t="n">
        <v>0</v>
      </c>
      <c r="R381" t="n">
        <v>0</v>
      </c>
      <c r="S381" t="n">
        <v>0</v>
      </c>
      <c r="T381" t="n">
        <v>0</v>
      </c>
      <c r="U381" s="2" t="inlineStr"/>
    </row>
    <row r="382" ht="15" customHeight="1">
      <c r="A382" t="inlineStr">
        <is>
          <t>A 22306-2026</t>
        </is>
      </c>
      <c r="B382" t="inlineStr">
        <is>
          <t>avverkningsanmälan</t>
        </is>
      </c>
      <c r="C382" t="inlineStr">
        <is>
          <t>Föryngringsavverkning</t>
        </is>
      </c>
      <c r="D382" s="1" t="n">
        <v>46154</v>
      </c>
      <c r="E382" s="1" t="n">
        <v>46217</v>
      </c>
      <c r="F382" t="inlineStr">
        <is>
          <t>DALARNAS LÄN</t>
        </is>
      </c>
      <c r="G382" t="inlineStr">
        <is>
          <t>ÄLVDALEN</t>
        </is>
      </c>
      <c r="I382" t="n">
        <v>8.6</v>
      </c>
      <c r="J382" t="n">
        <v>0</v>
      </c>
      <c r="K382" t="n">
        <v>0</v>
      </c>
      <c r="L382" t="n">
        <v>0</v>
      </c>
      <c r="M382" t="n">
        <v>0</v>
      </c>
      <c r="N382" t="n">
        <v>0</v>
      </c>
      <c r="O382" t="n">
        <v>0</v>
      </c>
      <c r="P382" t="n">
        <v>0</v>
      </c>
      <c r="Q382" t="n">
        <v>0</v>
      </c>
      <c r="R382" t="n">
        <v>0</v>
      </c>
      <c r="S382" t="n">
        <v>0</v>
      </c>
      <c r="T382" t="n">
        <v>0</v>
      </c>
      <c r="U382" s="2" t="inlineStr"/>
    </row>
    <row r="383" ht="15" customHeight="1">
      <c r="A383" t="inlineStr">
        <is>
          <t>A 30987-2023</t>
        </is>
      </c>
      <c r="B383" t="inlineStr">
        <is>
          <t>avverkningsanmälan</t>
        </is>
      </c>
      <c r="C383" t="inlineStr">
        <is>
          <t>Föryngringsavverkning</t>
        </is>
      </c>
      <c r="D383" s="1" t="n">
        <v>45113</v>
      </c>
      <c r="E383" s="1" t="n">
        <v>46217</v>
      </c>
      <c r="F383" t="inlineStr">
        <is>
          <t>DALARNAS LÄN</t>
        </is>
      </c>
      <c r="G383" t="inlineStr">
        <is>
          <t>ÄLVDALEN</t>
        </is>
      </c>
      <c r="H383" t="inlineStr">
        <is>
          <t>Allmännings- och besparingsskogar</t>
        </is>
      </c>
      <c r="I383" t="n">
        <v>3.8</v>
      </c>
      <c r="J383" t="n">
        <v>0</v>
      </c>
      <c r="K383" t="n">
        <v>0</v>
      </c>
      <c r="L383" t="n">
        <v>0</v>
      </c>
      <c r="M383" t="n">
        <v>0</v>
      </c>
      <c r="N383" t="n">
        <v>0</v>
      </c>
      <c r="O383" t="n">
        <v>0</v>
      </c>
      <c r="P383" t="n">
        <v>0</v>
      </c>
      <c r="Q383" t="n">
        <v>0</v>
      </c>
      <c r="R383" t="n">
        <v>0</v>
      </c>
      <c r="S383" t="n">
        <v>0</v>
      </c>
      <c r="T383" t="n">
        <v>0</v>
      </c>
      <c r="U383" s="2" t="inlineStr"/>
    </row>
    <row r="384" ht="15" customHeight="1">
      <c r="A384" t="inlineStr">
        <is>
          <t>A 22225-2026</t>
        </is>
      </c>
      <c r="B384" t="inlineStr">
        <is>
          <t>avverkningsanmälan</t>
        </is>
      </c>
      <c r="C384" t="inlineStr">
        <is>
          <t>Föryngringsavverkning</t>
        </is>
      </c>
      <c r="D384" s="1" t="n">
        <v>46153</v>
      </c>
      <c r="E384" s="1" t="n">
        <v>46217</v>
      </c>
      <c r="F384" t="inlineStr">
        <is>
          <t>DALARNAS LÄN</t>
        </is>
      </c>
      <c r="G384" t="inlineStr">
        <is>
          <t>ÄLVDALEN</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60672-2025</t>
        </is>
      </c>
      <c r="B385" t="inlineStr">
        <is>
          <t>avverkningsanmälan</t>
        </is>
      </c>
      <c r="C385" t="inlineStr">
        <is>
          <t>Föryngringsavverkning</t>
        </is>
      </c>
      <c r="D385" s="1" t="n">
        <v>45996</v>
      </c>
      <c r="E385" s="1" t="n">
        <v>46217</v>
      </c>
      <c r="F385" t="inlineStr">
        <is>
          <t>DALARNAS LÄN</t>
        </is>
      </c>
      <c r="G385" t="inlineStr">
        <is>
          <t>ÄLVDALEN</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47080-2024</t>
        </is>
      </c>
      <c r="B386" t="inlineStr">
        <is>
          <t>avverkningsanmälan</t>
        </is>
      </c>
      <c r="C386" t="inlineStr">
        <is>
          <t>Föryngringsavverkning</t>
        </is>
      </c>
      <c r="D386" s="1" t="n">
        <v>45586</v>
      </c>
      <c r="E386" s="1" t="n">
        <v>46217</v>
      </c>
      <c r="F386" t="inlineStr">
        <is>
          <t>DALARNAS LÄN</t>
        </is>
      </c>
      <c r="G386" t="inlineStr">
        <is>
          <t>ÄLVDALEN</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2377-2024</t>
        </is>
      </c>
      <c r="B387" t="inlineStr">
        <is>
          <t>avverkningsanmälan</t>
        </is>
      </c>
      <c r="C387" t="inlineStr">
        <is>
          <t>Föryngringsavverkning</t>
        </is>
      </c>
      <c r="D387" s="1" t="n">
        <v>45310</v>
      </c>
      <c r="E387" s="1" t="n">
        <v>46217</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2384-2024</t>
        </is>
      </c>
      <c r="B388" t="inlineStr">
        <is>
          <t>avverkningsanmälan</t>
        </is>
      </c>
      <c r="C388" t="inlineStr">
        <is>
          <t>Föryngringsavverkning</t>
        </is>
      </c>
      <c r="D388" s="1" t="n">
        <v>45310</v>
      </c>
      <c r="E388" s="1" t="n">
        <v>46217</v>
      </c>
      <c r="F388" t="inlineStr">
        <is>
          <t>DALARNAS LÄN</t>
        </is>
      </c>
      <c r="G388" t="inlineStr">
        <is>
          <t>ÄLVDALEN</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5883-2024</t>
        </is>
      </c>
      <c r="B389" t="inlineStr">
        <is>
          <t>avverkningsanmälan</t>
        </is>
      </c>
      <c r="C389" t="inlineStr">
        <is>
          <t>Föryngringsavverkning</t>
        </is>
      </c>
      <c r="D389" s="1" t="n">
        <v>45335</v>
      </c>
      <c r="E389" s="1" t="n">
        <v>46217</v>
      </c>
      <c r="F389" t="inlineStr">
        <is>
          <t>DALARNAS LÄN</t>
        </is>
      </c>
      <c r="G389" t="inlineStr">
        <is>
          <t>ÄLVDALEN</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61477-2025</t>
        </is>
      </c>
      <c r="B390" t="inlineStr">
        <is>
          <t>avverkningsanmälan</t>
        </is>
      </c>
      <c r="C390" t="inlineStr">
        <is>
          <t>Föryngringsavverkning</t>
        </is>
      </c>
      <c r="D390" s="1" t="n">
        <v>46001</v>
      </c>
      <c r="E390" s="1" t="n">
        <v>46217</v>
      </c>
      <c r="F390" t="inlineStr">
        <is>
          <t>DALARNAS LÄN</t>
        </is>
      </c>
      <c r="G390" t="inlineStr">
        <is>
          <t>ÄLVDALEN</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63079-2021</t>
        </is>
      </c>
      <c r="B391" t="inlineStr">
        <is>
          <t>avverkningsanmälan</t>
        </is>
      </c>
      <c r="C391" t="inlineStr">
        <is>
          <t>Föryngringsavverkning</t>
        </is>
      </c>
      <c r="D391" s="1" t="n">
        <v>44505</v>
      </c>
      <c r="E391" s="1" t="n">
        <v>46217</v>
      </c>
      <c r="F391" t="inlineStr">
        <is>
          <t>DALARNAS LÄN</t>
        </is>
      </c>
      <c r="G391" t="inlineStr">
        <is>
          <t>ÄLVDALEN</t>
        </is>
      </c>
      <c r="H391" t="inlineStr">
        <is>
          <t>Bergvik skog väst AB</t>
        </is>
      </c>
      <c r="I391" t="n">
        <v>4</v>
      </c>
      <c r="J391" t="n">
        <v>0</v>
      </c>
      <c r="K391" t="n">
        <v>0</v>
      </c>
      <c r="L391" t="n">
        <v>0</v>
      </c>
      <c r="M391" t="n">
        <v>0</v>
      </c>
      <c r="N391" t="n">
        <v>0</v>
      </c>
      <c r="O391" t="n">
        <v>0</v>
      </c>
      <c r="P391" t="n">
        <v>0</v>
      </c>
      <c r="Q391" t="n">
        <v>0</v>
      </c>
      <c r="R391" t="n">
        <v>0</v>
      </c>
      <c r="S391" t="n">
        <v>0</v>
      </c>
      <c r="T391" t="n">
        <v>0</v>
      </c>
      <c r="U391" s="2" t="inlineStr"/>
    </row>
    <row r="392" ht="15" customHeight="1">
      <c r="A392" t="inlineStr">
        <is>
          <t>A 74324-2021</t>
        </is>
      </c>
      <c r="B392" t="inlineStr">
        <is>
          <t>avverkningsanmälan</t>
        </is>
      </c>
      <c r="C392" t="inlineStr">
        <is>
          <t>Föryngringsavverkning</t>
        </is>
      </c>
      <c r="D392" s="1" t="n">
        <v>44558</v>
      </c>
      <c r="E392" s="1" t="n">
        <v>46217</v>
      </c>
      <c r="F392" t="inlineStr">
        <is>
          <t>DALARNAS LÄN</t>
        </is>
      </c>
      <c r="G392" t="inlineStr">
        <is>
          <t>ÄLVDALEN</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46800-2025</t>
        </is>
      </c>
      <c r="B393" t="inlineStr">
        <is>
          <t>avverkningsanmälan</t>
        </is>
      </c>
      <c r="C393" t="inlineStr">
        <is>
          <t>Föryngringsavverkning</t>
        </is>
      </c>
      <c r="D393" s="1" t="n">
        <v>45926</v>
      </c>
      <c r="E393" s="1" t="n">
        <v>46217</v>
      </c>
      <c r="F393" t="inlineStr">
        <is>
          <t>DALARNAS LÄN</t>
        </is>
      </c>
      <c r="G393" t="inlineStr">
        <is>
          <t>ÄLVDALEN</t>
        </is>
      </c>
      <c r="H393" t="inlineStr">
        <is>
          <t>Allmännings- och besparingsskogar</t>
        </is>
      </c>
      <c r="I393" t="n">
        <v>0.8</v>
      </c>
      <c r="J393" t="n">
        <v>0</v>
      </c>
      <c r="K393" t="n">
        <v>0</v>
      </c>
      <c r="L393" t="n">
        <v>0</v>
      </c>
      <c r="M393" t="n">
        <v>0</v>
      </c>
      <c r="N393" t="n">
        <v>0</v>
      </c>
      <c r="O393" t="n">
        <v>0</v>
      </c>
      <c r="P393" t="n">
        <v>0</v>
      </c>
      <c r="Q393" t="n">
        <v>0</v>
      </c>
      <c r="R393" t="n">
        <v>0</v>
      </c>
      <c r="S393" t="n">
        <v>0</v>
      </c>
      <c r="T393" t="n">
        <v>0</v>
      </c>
      <c r="U393" s="2" t="inlineStr"/>
      <c r="W393">
        <f>HYPERLINK("https://klasma.github.io/Logging_2039/kartor/A 46800-2025 karta.png", "A 46800-2025")</f>
        <v/>
      </c>
      <c r="Y393">
        <f>HYPERLINK("https://klasma.github.io/Logging_2039/klagomål/A 46800-2025 FSC-klagomål.docx", "A 46800-2025")</f>
        <v/>
      </c>
      <c r="Z393">
        <f>HYPERLINK("https://klasma.github.io/Logging_2039/klagomålsmail/A 46800-2025 FSC-klagomål mail.docx", "A 46800-2025")</f>
        <v/>
      </c>
      <c r="AA393">
        <f>HYPERLINK("https://klasma.github.io/Logging_2039/tillsyn/A 46800-2025 tillsynsbegäran.docx", "A 46800-2025")</f>
        <v/>
      </c>
      <c r="AB393">
        <f>HYPERLINK("https://klasma.github.io/Logging_2039/tillsynsmail/A 46800-2025 tillsynsbegäran mail.docx", "A 46800-2025")</f>
        <v/>
      </c>
      <c r="AC393">
        <f>HYPERLINK("https://klasma.github.io/Logging_2039/fåglar/A 46800-2025 prioriterade fågelarter.docx", "A 46800-2025")</f>
        <v/>
      </c>
    </row>
    <row r="394" ht="15" customHeight="1">
      <c r="A394" t="inlineStr">
        <is>
          <t>A 62106-2025</t>
        </is>
      </c>
      <c r="B394" t="inlineStr">
        <is>
          <t>avverkningsanmälan</t>
        </is>
      </c>
      <c r="C394" t="inlineStr">
        <is>
          <t>Föryngringsavverkning</t>
        </is>
      </c>
      <c r="D394" s="1" t="n">
        <v>46006</v>
      </c>
      <c r="E394" s="1" t="n">
        <v>46217</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61973-2025</t>
        </is>
      </c>
      <c r="B395" t="inlineStr">
        <is>
          <t>avverkningsanmälan</t>
        </is>
      </c>
      <c r="C395" t="inlineStr">
        <is>
          <t>Föryngringsavverkning</t>
        </is>
      </c>
      <c r="D395" s="1" t="n">
        <v>46003</v>
      </c>
      <c r="E395" s="1" t="n">
        <v>46217</v>
      </c>
      <c r="F395" t="inlineStr">
        <is>
          <t>DALARNAS LÄN</t>
        </is>
      </c>
      <c r="G395" t="inlineStr">
        <is>
          <t>ÄLVDALEN</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34835-2023</t>
        </is>
      </c>
      <c r="B396" t="inlineStr">
        <is>
          <t>avverkningsanmälan</t>
        </is>
      </c>
      <c r="C396" t="inlineStr">
        <is>
          <t>Föryngringsavverkning</t>
        </is>
      </c>
      <c r="D396" s="1" t="n">
        <v>45141</v>
      </c>
      <c r="E396" s="1" t="n">
        <v>46217</v>
      </c>
      <c r="F396" t="inlineStr">
        <is>
          <t>DALARNAS LÄN</t>
        </is>
      </c>
      <c r="G396" t="inlineStr">
        <is>
          <t>ÄLVDALEN</t>
        </is>
      </c>
      <c r="I396" t="n">
        <v>3.4</v>
      </c>
      <c r="J396" t="n">
        <v>0</v>
      </c>
      <c r="K396" t="n">
        <v>0</v>
      </c>
      <c r="L396" t="n">
        <v>0</v>
      </c>
      <c r="M396" t="n">
        <v>0</v>
      </c>
      <c r="N396" t="n">
        <v>0</v>
      </c>
      <c r="O396" t="n">
        <v>0</v>
      </c>
      <c r="P396" t="n">
        <v>0</v>
      </c>
      <c r="Q396" t="n">
        <v>0</v>
      </c>
      <c r="R396" t="n">
        <v>0</v>
      </c>
      <c r="S396" t="n">
        <v>0</v>
      </c>
      <c r="T396" t="n">
        <v>0</v>
      </c>
      <c r="U396" s="2" t="inlineStr"/>
    </row>
    <row r="397" ht="15" customHeight="1">
      <c r="A397" t="inlineStr">
        <is>
          <t>A 63107-2025</t>
        </is>
      </c>
      <c r="B397" t="inlineStr">
        <is>
          <t>avverkningsanmälan</t>
        </is>
      </c>
      <c r="C397" t="inlineStr">
        <is>
          <t>Föryngringsavverkning</t>
        </is>
      </c>
      <c r="D397" s="1" t="n">
        <v>46009</v>
      </c>
      <c r="E397" s="1" t="n">
        <v>46217</v>
      </c>
      <c r="F397" t="inlineStr">
        <is>
          <t>DALARNAS LÄN</t>
        </is>
      </c>
      <c r="G397" t="inlineStr">
        <is>
          <t>ÄLVDALEN</t>
        </is>
      </c>
      <c r="I397" t="n">
        <v>4.6</v>
      </c>
      <c r="J397" t="n">
        <v>0</v>
      </c>
      <c r="K397" t="n">
        <v>0</v>
      </c>
      <c r="L397" t="n">
        <v>0</v>
      </c>
      <c r="M397" t="n">
        <v>0</v>
      </c>
      <c r="N397" t="n">
        <v>0</v>
      </c>
      <c r="O397" t="n">
        <v>0</v>
      </c>
      <c r="P397" t="n">
        <v>0</v>
      </c>
      <c r="Q397" t="n">
        <v>0</v>
      </c>
      <c r="R397" t="n">
        <v>0</v>
      </c>
      <c r="S397" t="n">
        <v>0</v>
      </c>
      <c r="T397" t="n">
        <v>0</v>
      </c>
      <c r="U397" s="2" t="inlineStr"/>
    </row>
    <row r="398" ht="15" customHeight="1">
      <c r="A398" t="inlineStr">
        <is>
          <t>A 63525-2025</t>
        </is>
      </c>
      <c r="B398" t="inlineStr">
        <is>
          <t>avverkningsanmälan</t>
        </is>
      </c>
      <c r="C398" t="inlineStr">
        <is>
          <t>Föryngringsavverkning</t>
        </is>
      </c>
      <c r="D398" s="1" t="n">
        <v>46013</v>
      </c>
      <c r="E398" s="1" t="n">
        <v>46217</v>
      </c>
      <c r="F398" t="inlineStr">
        <is>
          <t>DALARNAS LÄN</t>
        </is>
      </c>
      <c r="G398" t="inlineStr">
        <is>
          <t>ÄLVDALEN</t>
        </is>
      </c>
      <c r="I398" t="n">
        <v>2.9</v>
      </c>
      <c r="J398" t="n">
        <v>0</v>
      </c>
      <c r="K398" t="n">
        <v>0</v>
      </c>
      <c r="L398" t="n">
        <v>0</v>
      </c>
      <c r="M398" t="n">
        <v>0</v>
      </c>
      <c r="N398" t="n">
        <v>0</v>
      </c>
      <c r="O398" t="n">
        <v>0</v>
      </c>
      <c r="P398" t="n">
        <v>0</v>
      </c>
      <c r="Q398" t="n">
        <v>0</v>
      </c>
      <c r="R398" t="n">
        <v>0</v>
      </c>
      <c r="S398" t="n">
        <v>0</v>
      </c>
      <c r="T398" t="n">
        <v>0</v>
      </c>
      <c r="U398" s="2" t="inlineStr"/>
    </row>
    <row r="399" ht="15" customHeight="1">
      <c r="A399" t="inlineStr">
        <is>
          <t>A 63601-2025</t>
        </is>
      </c>
      <c r="B399" t="inlineStr">
        <is>
          <t>avverkningsanmälan</t>
        </is>
      </c>
      <c r="C399" t="inlineStr">
        <is>
          <t>Föryngringsavverkning</t>
        </is>
      </c>
      <c r="D399" s="1" t="n">
        <v>46014</v>
      </c>
      <c r="E399" s="1" t="n">
        <v>46217</v>
      </c>
      <c r="F399" t="inlineStr">
        <is>
          <t>DALARNAS LÄN</t>
        </is>
      </c>
      <c r="G399" t="inlineStr">
        <is>
          <t>ÄLVDALEN</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17051-2023</t>
        </is>
      </c>
      <c r="B400" t="inlineStr">
        <is>
          <t>avverkningsanmälan</t>
        </is>
      </c>
      <c r="C400" t="inlineStr">
        <is>
          <t>Föryngringsavverkning</t>
        </is>
      </c>
      <c r="D400" s="1" t="n">
        <v>45034</v>
      </c>
      <c r="E400" s="1" t="n">
        <v>46217</v>
      </c>
      <c r="F400" t="inlineStr">
        <is>
          <t>DALARNAS LÄN</t>
        </is>
      </c>
      <c r="G400" t="inlineStr">
        <is>
          <t>ÄLVDALEN</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47071-2023</t>
        </is>
      </c>
      <c r="B401" t="inlineStr">
        <is>
          <t>avverkningsanmälan</t>
        </is>
      </c>
      <c r="C401" t="inlineStr">
        <is>
          <t>Föryngringsavverkning</t>
        </is>
      </c>
      <c r="D401" s="1" t="n">
        <v>45201</v>
      </c>
      <c r="E401" s="1" t="n">
        <v>46217</v>
      </c>
      <c r="F401" t="inlineStr">
        <is>
          <t>DALARNAS LÄN</t>
        </is>
      </c>
      <c r="G401" t="inlineStr">
        <is>
          <t>ÄLVDALEN</t>
        </is>
      </c>
      <c r="H401" t="inlineStr">
        <is>
          <t>Bergvik skog väst AB</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62314-2022</t>
        </is>
      </c>
      <c r="B402" t="inlineStr">
        <is>
          <t>avverkningsanmälan</t>
        </is>
      </c>
      <c r="C402" t="inlineStr">
        <is>
          <t>Föryngringsavverkning</t>
        </is>
      </c>
      <c r="D402" s="1" t="n">
        <v>44916</v>
      </c>
      <c r="E402" s="1" t="n">
        <v>46217</v>
      </c>
      <c r="F402" t="inlineStr">
        <is>
          <t>DALARNAS LÄN</t>
        </is>
      </c>
      <c r="G402" t="inlineStr">
        <is>
          <t>ÄLVDALEN</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241-2026</t>
        </is>
      </c>
      <c r="B403" t="inlineStr">
        <is>
          <t>avverkningsanmälan</t>
        </is>
      </c>
      <c r="C403" t="inlineStr">
        <is>
          <t>Föryngringsavverkning</t>
        </is>
      </c>
      <c r="D403" s="1" t="n">
        <v>46027</v>
      </c>
      <c r="E403" s="1" t="n">
        <v>46217</v>
      </c>
      <c r="F403" t="inlineStr">
        <is>
          <t>DALARNAS LÄN</t>
        </is>
      </c>
      <c r="G403" t="inlineStr">
        <is>
          <t>ÄLVDALEN</t>
        </is>
      </c>
      <c r="H403" t="inlineStr">
        <is>
          <t>Bergvik skog väst AB</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1011-2026</t>
        </is>
      </c>
      <c r="B404" t="inlineStr">
        <is>
          <t>avverkningsanmälan</t>
        </is>
      </c>
      <c r="C404" t="inlineStr">
        <is>
          <t>Föryngringsavverkning</t>
        </is>
      </c>
      <c r="D404" s="1" t="n">
        <v>46030</v>
      </c>
      <c r="E404" s="1" t="n">
        <v>46217</v>
      </c>
      <c r="F404" t="inlineStr">
        <is>
          <t>DALARNAS LÄN</t>
        </is>
      </c>
      <c r="G404" t="inlineStr">
        <is>
          <t>ÄLVDALEN</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583-2026</t>
        </is>
      </c>
      <c r="B405" t="inlineStr">
        <is>
          <t>avverkningsanmälan</t>
        </is>
      </c>
      <c r="C405" t="inlineStr">
        <is>
          <t>Föryngringsavverkning</t>
        </is>
      </c>
      <c r="D405" s="1" t="n">
        <v>46029</v>
      </c>
      <c r="E405" s="1" t="n">
        <v>46217</v>
      </c>
      <c r="F405" t="inlineStr">
        <is>
          <t>DALARNAS LÄN</t>
        </is>
      </c>
      <c r="G405" t="inlineStr">
        <is>
          <t>ÄLVDALEN</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47751-2024</t>
        </is>
      </c>
      <c r="B406" t="inlineStr">
        <is>
          <t>avverkningsanmälan</t>
        </is>
      </c>
      <c r="C406" t="inlineStr">
        <is>
          <t>Föryngringsavverkning</t>
        </is>
      </c>
      <c r="D406" s="1" t="n">
        <v>45588</v>
      </c>
      <c r="E406" s="1" t="n">
        <v>46217</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1138-2026</t>
        </is>
      </c>
      <c r="B407" t="inlineStr">
        <is>
          <t>avverkningsanmälan</t>
        </is>
      </c>
      <c r="C407" t="inlineStr">
        <is>
          <t>Föryngringsavverkning</t>
        </is>
      </c>
      <c r="D407" s="1" t="n">
        <v>46030</v>
      </c>
      <c r="E407" s="1" t="n">
        <v>46217</v>
      </c>
      <c r="F407" t="inlineStr">
        <is>
          <t>DALARNAS LÄN</t>
        </is>
      </c>
      <c r="G407" t="inlineStr">
        <is>
          <t>ÄLVDALEN</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588-2026</t>
        </is>
      </c>
      <c r="B408" t="inlineStr">
        <is>
          <t>avverkningsanmälan</t>
        </is>
      </c>
      <c r="C408" t="inlineStr">
        <is>
          <t>Föryngringsavverkning</t>
        </is>
      </c>
      <c r="D408" s="1" t="n">
        <v>46029</v>
      </c>
      <c r="E408" s="1" t="n">
        <v>46217</v>
      </c>
      <c r="F408" t="inlineStr">
        <is>
          <t>DALARNAS LÄN</t>
        </is>
      </c>
      <c r="G408" t="inlineStr">
        <is>
          <t>ÄLVDALEN</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575-2026</t>
        </is>
      </c>
      <c r="B409" t="inlineStr">
        <is>
          <t>avverkningsanmälan</t>
        </is>
      </c>
      <c r="C409" t="inlineStr">
        <is>
          <t>Föryngringsavverkning</t>
        </is>
      </c>
      <c r="D409" s="1" t="n">
        <v>46029</v>
      </c>
      <c r="E409" s="1" t="n">
        <v>46217</v>
      </c>
      <c r="F409" t="inlineStr">
        <is>
          <t>DALARNAS LÄN</t>
        </is>
      </c>
      <c r="G409" t="inlineStr">
        <is>
          <t>ÄLVDALEN</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32352-2023</t>
        </is>
      </c>
      <c r="B410" t="inlineStr">
        <is>
          <t>avverkningsanmälan</t>
        </is>
      </c>
      <c r="C410" t="inlineStr">
        <is>
          <t>Föryngringsavverkning</t>
        </is>
      </c>
      <c r="D410" s="1" t="n">
        <v>45120</v>
      </c>
      <c r="E410" s="1" t="n">
        <v>46217</v>
      </c>
      <c r="F410" t="inlineStr">
        <is>
          <t>DALARNAS LÄN</t>
        </is>
      </c>
      <c r="G410" t="inlineStr">
        <is>
          <t>ÄLVDALEN</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1934-2026</t>
        </is>
      </c>
      <c r="B411" t="inlineStr">
        <is>
          <t>avverkningsanmälan</t>
        </is>
      </c>
      <c r="C411" t="inlineStr">
        <is>
          <t>Föryngringsavverkning</t>
        </is>
      </c>
      <c r="D411" s="1" t="n">
        <v>46035</v>
      </c>
      <c r="E411" s="1" t="n">
        <v>46217</v>
      </c>
      <c r="F411" t="inlineStr">
        <is>
          <t>DALARNAS LÄN</t>
        </is>
      </c>
      <c r="G411" t="inlineStr">
        <is>
          <t>ÄLVDALEN</t>
        </is>
      </c>
      <c r="H411" t="inlineStr">
        <is>
          <t>Övriga statliga verk och myndigheter</t>
        </is>
      </c>
      <c r="I411" t="n">
        <v>22.9</v>
      </c>
      <c r="J411" t="n">
        <v>0</v>
      </c>
      <c r="K411" t="n">
        <v>0</v>
      </c>
      <c r="L411" t="n">
        <v>0</v>
      </c>
      <c r="M411" t="n">
        <v>0</v>
      </c>
      <c r="N411" t="n">
        <v>0</v>
      </c>
      <c r="O411" t="n">
        <v>0</v>
      </c>
      <c r="P411" t="n">
        <v>0</v>
      </c>
      <c r="Q411" t="n">
        <v>0</v>
      </c>
      <c r="R411" t="n">
        <v>0</v>
      </c>
      <c r="S411" t="n">
        <v>0</v>
      </c>
      <c r="T411" t="n">
        <v>0</v>
      </c>
      <c r="U411" s="2" t="inlineStr"/>
    </row>
    <row r="412" ht="15" customHeight="1">
      <c r="A412" t="inlineStr">
        <is>
          <t>A 47877-2023</t>
        </is>
      </c>
      <c r="B412" t="inlineStr">
        <is>
          <t>avverkningsanmälan</t>
        </is>
      </c>
      <c r="C412" t="inlineStr">
        <is>
          <t>Föryngringsavverkning</t>
        </is>
      </c>
      <c r="D412" s="1" t="n">
        <v>45204</v>
      </c>
      <c r="E412" s="1" t="n">
        <v>46217</v>
      </c>
      <c r="F412" t="inlineStr">
        <is>
          <t>DALARNAS LÄN</t>
        </is>
      </c>
      <c r="G412" t="inlineStr">
        <is>
          <t>ÄLVDALEN</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2939-2026</t>
        </is>
      </c>
      <c r="B413" t="inlineStr">
        <is>
          <t>avverkningsanmälan</t>
        </is>
      </c>
      <c r="C413" t="inlineStr">
        <is>
          <t>Föryngringsavverkning</t>
        </is>
      </c>
      <c r="D413" s="1" t="n">
        <v>46038</v>
      </c>
      <c r="E413" s="1" t="n">
        <v>46217</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33107-2023</t>
        </is>
      </c>
      <c r="B414" t="inlineStr">
        <is>
          <t>avverkningsanmälan</t>
        </is>
      </c>
      <c r="C414" t="inlineStr">
        <is>
          <t>Föryngringsavverkning</t>
        </is>
      </c>
      <c r="D414" s="1" t="n">
        <v>45114</v>
      </c>
      <c r="E414" s="1" t="n">
        <v>46217</v>
      </c>
      <c r="F414" t="inlineStr">
        <is>
          <t>DALARNAS LÄN</t>
        </is>
      </c>
      <c r="G414" t="inlineStr">
        <is>
          <t>ÄLVDALEN</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2788-2026</t>
        </is>
      </c>
      <c r="B415" t="inlineStr">
        <is>
          <t>avverkningsanmälan</t>
        </is>
      </c>
      <c r="C415" t="inlineStr">
        <is>
          <t>Föryngringsavverkning</t>
        </is>
      </c>
      <c r="D415" s="1" t="n">
        <v>46038</v>
      </c>
      <c r="E415" s="1" t="n">
        <v>46217</v>
      </c>
      <c r="F415" t="inlineStr">
        <is>
          <t>DALARNAS LÄN</t>
        </is>
      </c>
      <c r="G415" t="inlineStr">
        <is>
          <t>ÄLVDALEN</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2921-2026</t>
        </is>
      </c>
      <c r="B416" t="inlineStr">
        <is>
          <t>avverkningsanmälan</t>
        </is>
      </c>
      <c r="C416" t="inlineStr">
        <is>
          <t>Föryngringsavverkning</t>
        </is>
      </c>
      <c r="D416" s="1" t="n">
        <v>46038</v>
      </c>
      <c r="E416" s="1" t="n">
        <v>46217</v>
      </c>
      <c r="F416" t="inlineStr">
        <is>
          <t>DALARNAS LÄN</t>
        </is>
      </c>
      <c r="G416" t="inlineStr">
        <is>
          <t>ÄLVDALEN</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713-2022</t>
        </is>
      </c>
      <c r="B417" t="inlineStr">
        <is>
          <t>avverkningsanmälan</t>
        </is>
      </c>
      <c r="C417" t="inlineStr">
        <is>
          <t>Avverkning för annat ändamål</t>
        </is>
      </c>
      <c r="D417" s="1" t="n">
        <v>44568</v>
      </c>
      <c r="E417" s="1" t="n">
        <v>46217</v>
      </c>
      <c r="F417" t="inlineStr">
        <is>
          <t>DALARNAS LÄN</t>
        </is>
      </c>
      <c r="G417" t="inlineStr">
        <is>
          <t>ÄLVDALEN</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2927-2026</t>
        </is>
      </c>
      <c r="B418" t="inlineStr">
        <is>
          <t>avverkningsanmälan</t>
        </is>
      </c>
      <c r="C418" t="inlineStr">
        <is>
          <t>Föryngringsavverkning</t>
        </is>
      </c>
      <c r="D418" s="1" t="n">
        <v>46038</v>
      </c>
      <c r="E418" s="1" t="n">
        <v>46217</v>
      </c>
      <c r="F418" t="inlineStr">
        <is>
          <t>DALARNAS LÄN</t>
        </is>
      </c>
      <c r="G418" t="inlineStr">
        <is>
          <t>ÄLVDALEN</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59478-2024</t>
        </is>
      </c>
      <c r="B419" t="inlineStr">
        <is>
          <t>avverkningsanmälan</t>
        </is>
      </c>
      <c r="C419" t="inlineStr">
        <is>
          <t>Föryngringsavverkning</t>
        </is>
      </c>
      <c r="D419" s="1" t="n">
        <v>45638</v>
      </c>
      <c r="E419" s="1" t="n">
        <v>46217</v>
      </c>
      <c r="F419" t="inlineStr">
        <is>
          <t>DALARNAS LÄN</t>
        </is>
      </c>
      <c r="G419" t="inlineStr">
        <is>
          <t>ÄLVDALEN</t>
        </is>
      </c>
      <c r="H419" t="inlineStr">
        <is>
          <t>Allmännings- och besparingsskogar</t>
        </is>
      </c>
      <c r="I419" t="n">
        <v>6.9</v>
      </c>
      <c r="J419" t="n">
        <v>0</v>
      </c>
      <c r="K419" t="n">
        <v>0</v>
      </c>
      <c r="L419" t="n">
        <v>0</v>
      </c>
      <c r="M419" t="n">
        <v>0</v>
      </c>
      <c r="N419" t="n">
        <v>0</v>
      </c>
      <c r="O419" t="n">
        <v>0</v>
      </c>
      <c r="P419" t="n">
        <v>0</v>
      </c>
      <c r="Q419" t="n">
        <v>0</v>
      </c>
      <c r="R419" t="n">
        <v>0</v>
      </c>
      <c r="S419" t="n">
        <v>0</v>
      </c>
      <c r="T419" t="n">
        <v>0</v>
      </c>
      <c r="U419" s="2" t="inlineStr"/>
    </row>
    <row r="420" ht="15" customHeight="1">
      <c r="A420" t="inlineStr">
        <is>
          <t>A 2897-2026</t>
        </is>
      </c>
      <c r="B420" t="inlineStr">
        <is>
          <t>avverkningsanmälan</t>
        </is>
      </c>
      <c r="C420" t="inlineStr">
        <is>
          <t>Föryngringsavverkning</t>
        </is>
      </c>
      <c r="D420" s="1" t="n">
        <v>46038</v>
      </c>
      <c r="E420" s="1" t="n">
        <v>46217</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2914-2026</t>
        </is>
      </c>
      <c r="B421" t="inlineStr">
        <is>
          <t>avverkningsanmälan</t>
        </is>
      </c>
      <c r="C421" t="inlineStr">
        <is>
          <t>Föryngringsavverkning</t>
        </is>
      </c>
      <c r="D421" s="1" t="n">
        <v>46038</v>
      </c>
      <c r="E421" s="1" t="n">
        <v>46217</v>
      </c>
      <c r="F421" t="inlineStr">
        <is>
          <t>DALARNAS LÄN</t>
        </is>
      </c>
      <c r="G421" t="inlineStr">
        <is>
          <t>ÄLVDALEN</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2906-2026</t>
        </is>
      </c>
      <c r="B422" t="inlineStr">
        <is>
          <t>avverkningsanmälan</t>
        </is>
      </c>
      <c r="C422" t="inlineStr">
        <is>
          <t>Föryngringsavverkning</t>
        </is>
      </c>
      <c r="D422" s="1" t="n">
        <v>46038</v>
      </c>
      <c r="E422" s="1" t="n">
        <v>46217</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2042-2026</t>
        </is>
      </c>
      <c r="B423" t="inlineStr">
        <is>
          <t>avverkningsanmälan</t>
        </is>
      </c>
      <c r="C423" t="inlineStr">
        <is>
          <t>Föryngringsavverkning</t>
        </is>
      </c>
      <c r="D423" s="1" t="n">
        <v>46031</v>
      </c>
      <c r="E423" s="1" t="n">
        <v>46217</v>
      </c>
      <c r="F423" t="inlineStr">
        <is>
          <t>DALARNAS LÄN</t>
        </is>
      </c>
      <c r="G423" t="inlineStr">
        <is>
          <t>ÄLVDALEN</t>
        </is>
      </c>
      <c r="H423" t="inlineStr">
        <is>
          <t>Sveaskog</t>
        </is>
      </c>
      <c r="I423" t="n">
        <v>7.7</v>
      </c>
      <c r="J423" t="n">
        <v>0</v>
      </c>
      <c r="K423" t="n">
        <v>0</v>
      </c>
      <c r="L423" t="n">
        <v>0</v>
      </c>
      <c r="M423" t="n">
        <v>0</v>
      </c>
      <c r="N423" t="n">
        <v>0</v>
      </c>
      <c r="O423" t="n">
        <v>0</v>
      </c>
      <c r="P423" t="n">
        <v>0</v>
      </c>
      <c r="Q423" t="n">
        <v>0</v>
      </c>
      <c r="R423" t="n">
        <v>0</v>
      </c>
      <c r="S423" t="n">
        <v>0</v>
      </c>
      <c r="T423" t="n">
        <v>0</v>
      </c>
      <c r="U423" s="2" t="inlineStr"/>
    </row>
    <row r="424" ht="15" customHeight="1">
      <c r="A424" t="inlineStr">
        <is>
          <t>A 2932-2026</t>
        </is>
      </c>
      <c r="B424" t="inlineStr">
        <is>
          <t>avverkningsanmälan</t>
        </is>
      </c>
      <c r="C424" t="inlineStr">
        <is>
          <t>Föryngringsavverkning</t>
        </is>
      </c>
      <c r="D424" s="1" t="n">
        <v>46038</v>
      </c>
      <c r="E424" s="1" t="n">
        <v>46217</v>
      </c>
      <c r="F424" t="inlineStr">
        <is>
          <t>DALARNAS LÄN</t>
        </is>
      </c>
      <c r="G424" t="inlineStr">
        <is>
          <t>ÄLVDALEN</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3120-2026</t>
        </is>
      </c>
      <c r="B425" t="inlineStr">
        <is>
          <t>avverkningsanmälan</t>
        </is>
      </c>
      <c r="C425" t="inlineStr">
        <is>
          <t>Föryngringsavverkning</t>
        </is>
      </c>
      <c r="D425" s="1" t="n">
        <v>46041</v>
      </c>
      <c r="E425" s="1" t="n">
        <v>46217</v>
      </c>
      <c r="F425" t="inlineStr">
        <is>
          <t>DALARNAS LÄN</t>
        </is>
      </c>
      <c r="G425" t="inlineStr">
        <is>
          <t>ÄLVDALEN</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3124-2026</t>
        </is>
      </c>
      <c r="B426" t="inlineStr">
        <is>
          <t>avverkningsanmälan</t>
        </is>
      </c>
      <c r="C426" t="inlineStr">
        <is>
          <t>Föryngringsavverkning</t>
        </is>
      </c>
      <c r="D426" s="1" t="n">
        <v>46041</v>
      </c>
      <c r="E426" s="1" t="n">
        <v>46217</v>
      </c>
      <c r="F426" t="inlineStr">
        <is>
          <t>DALARNAS LÄN</t>
        </is>
      </c>
      <c r="G426" t="inlineStr">
        <is>
          <t>ÄLVDALEN</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760-2025</t>
        </is>
      </c>
      <c r="B427" t="inlineStr">
        <is>
          <t>avverkningsanmälan</t>
        </is>
      </c>
      <c r="C427" t="inlineStr">
        <is>
          <t>Föryngringsavverkning</t>
        </is>
      </c>
      <c r="D427" s="1" t="n">
        <v>45665</v>
      </c>
      <c r="E427" s="1" t="n">
        <v>46217</v>
      </c>
      <c r="F427" t="inlineStr">
        <is>
          <t>DALARNAS LÄN</t>
        </is>
      </c>
      <c r="G427" t="inlineStr">
        <is>
          <t>ÄLVDALEN</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777-2025</t>
        </is>
      </c>
      <c r="B428" t="inlineStr">
        <is>
          <t>avverkningsanmälan</t>
        </is>
      </c>
      <c r="C428" t="inlineStr">
        <is>
          <t>Föryngringsavverkning</t>
        </is>
      </c>
      <c r="D428" s="1" t="n">
        <v>45665</v>
      </c>
      <c r="E428" s="1" t="n">
        <v>46217</v>
      </c>
      <c r="F428" t="inlineStr">
        <is>
          <t>DALARNAS LÄN</t>
        </is>
      </c>
      <c r="G428" t="inlineStr">
        <is>
          <t>ÄLVDALEN</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3390-2026</t>
        </is>
      </c>
      <c r="B429" t="inlineStr">
        <is>
          <t>avverkningsanmälan</t>
        </is>
      </c>
      <c r="C429" t="inlineStr">
        <is>
          <t>Föryngringsavverkning</t>
        </is>
      </c>
      <c r="D429" s="1" t="n">
        <v>46042</v>
      </c>
      <c r="E429" s="1" t="n">
        <v>46217</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3654-2026</t>
        </is>
      </c>
      <c r="B430" t="inlineStr">
        <is>
          <t>avverkningsanmälan</t>
        </is>
      </c>
      <c r="C430" t="inlineStr">
        <is>
          <t>Föryngringsavverkning</t>
        </is>
      </c>
      <c r="D430" s="1" t="n">
        <v>46043</v>
      </c>
      <c r="E430" s="1" t="n">
        <v>46217</v>
      </c>
      <c r="F430" t="inlineStr">
        <is>
          <t>DALARNAS LÄN</t>
        </is>
      </c>
      <c r="G430" t="inlineStr">
        <is>
          <t>ÄLVDALEN</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4023-2026</t>
        </is>
      </c>
      <c r="B431" t="inlineStr">
        <is>
          <t>avverkningsanmälan</t>
        </is>
      </c>
      <c r="C431" t="inlineStr">
        <is>
          <t>Avverkning för att bevara och utveckla /försöksver</t>
        </is>
      </c>
      <c r="D431" s="1" t="n">
        <v>46044</v>
      </c>
      <c r="E431" s="1" t="n">
        <v>46217</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74322-2021</t>
        </is>
      </c>
      <c r="B432" t="inlineStr">
        <is>
          <t>avverkningsanmälan</t>
        </is>
      </c>
      <c r="C432" t="inlineStr">
        <is>
          <t>Föryngringsavverkning</t>
        </is>
      </c>
      <c r="D432" s="1" t="n">
        <v>44558</v>
      </c>
      <c r="E432" s="1" t="n">
        <v>46217</v>
      </c>
      <c r="F432" t="inlineStr">
        <is>
          <t>DALARNAS LÄN</t>
        </is>
      </c>
      <c r="G432" t="inlineStr">
        <is>
          <t>ÄLVDALEN</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3887-2026</t>
        </is>
      </c>
      <c r="B433" t="inlineStr">
        <is>
          <t>avverkningsanmälan</t>
        </is>
      </c>
      <c r="C433" t="inlineStr">
        <is>
          <t>Föryngringsavverkning</t>
        </is>
      </c>
      <c r="D433" s="1" t="n">
        <v>46043</v>
      </c>
      <c r="E433" s="1" t="n">
        <v>46217</v>
      </c>
      <c r="F433" t="inlineStr">
        <is>
          <t>DALARNAS LÄN</t>
        </is>
      </c>
      <c r="G433" t="inlineStr">
        <is>
          <t>ÄLVDALEN</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30414-2024</t>
        </is>
      </c>
      <c r="B434" t="inlineStr">
        <is>
          <t>avverkningsanmälan</t>
        </is>
      </c>
      <c r="C434" t="inlineStr">
        <is>
          <t>Föryngringsavverkning</t>
        </is>
      </c>
      <c r="D434" s="1" t="n">
        <v>45491</v>
      </c>
      <c r="E434" s="1" t="n">
        <v>46217</v>
      </c>
      <c r="F434" t="inlineStr">
        <is>
          <t>DALARNAS LÄN</t>
        </is>
      </c>
      <c r="G434" t="inlineStr">
        <is>
          <t>ÄLVDALEN</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3645-2026</t>
        </is>
      </c>
      <c r="B435" t="inlineStr">
        <is>
          <t>avverkningsanmälan</t>
        </is>
      </c>
      <c r="C435" t="inlineStr">
        <is>
          <t>Föryngringsavverkning</t>
        </is>
      </c>
      <c r="D435" s="1" t="n">
        <v>46043</v>
      </c>
      <c r="E435" s="1" t="n">
        <v>46217</v>
      </c>
      <c r="F435" t="inlineStr">
        <is>
          <t>DALARNAS LÄN</t>
        </is>
      </c>
      <c r="G435" t="inlineStr">
        <is>
          <t>ÄLVDALEN</t>
        </is>
      </c>
      <c r="I435" t="n">
        <v>3.2</v>
      </c>
      <c r="J435" t="n">
        <v>0</v>
      </c>
      <c r="K435" t="n">
        <v>0</v>
      </c>
      <c r="L435" t="n">
        <v>0</v>
      </c>
      <c r="M435" t="n">
        <v>0</v>
      </c>
      <c r="N435" t="n">
        <v>0</v>
      </c>
      <c r="O435" t="n">
        <v>0</v>
      </c>
      <c r="P435" t="n">
        <v>0</v>
      </c>
      <c r="Q435" t="n">
        <v>0</v>
      </c>
      <c r="R435" t="n">
        <v>0</v>
      </c>
      <c r="S435" t="n">
        <v>0</v>
      </c>
      <c r="T435" t="n">
        <v>0</v>
      </c>
      <c r="U435" s="2" t="inlineStr"/>
    </row>
    <row r="436" ht="15" customHeight="1">
      <c r="A436" t="inlineStr">
        <is>
          <t>A 3649-2026</t>
        </is>
      </c>
      <c r="B436" t="inlineStr">
        <is>
          <t>avverkningsanmälan</t>
        </is>
      </c>
      <c r="C436" t="inlineStr">
        <is>
          <t>Föryngringsavverkning</t>
        </is>
      </c>
      <c r="D436" s="1" t="n">
        <v>46043</v>
      </c>
      <c r="E436" s="1" t="n">
        <v>46217</v>
      </c>
      <c r="F436" t="inlineStr">
        <is>
          <t>DALARNAS LÄN</t>
        </is>
      </c>
      <c r="G436" t="inlineStr">
        <is>
          <t>ÄLVDALEN</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3191-2026</t>
        </is>
      </c>
      <c r="B437" t="inlineStr">
        <is>
          <t>avverkningsanmälan</t>
        </is>
      </c>
      <c r="C437" t="inlineStr">
        <is>
          <t>Föryngringsavverkning</t>
        </is>
      </c>
      <c r="D437" s="1" t="n">
        <v>46041</v>
      </c>
      <c r="E437" s="1" t="n">
        <v>46217</v>
      </c>
      <c r="F437" t="inlineStr">
        <is>
          <t>DALARNAS LÄN</t>
        </is>
      </c>
      <c r="G437" t="inlineStr">
        <is>
          <t>ÄLVDALEN</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19583-2025</t>
        </is>
      </c>
      <c r="B438" t="inlineStr">
        <is>
          <t>avverkningsanmälan</t>
        </is>
      </c>
      <c r="C438" t="inlineStr">
        <is>
          <t>Föryngringsavverkning</t>
        </is>
      </c>
      <c r="D438" s="1" t="n">
        <v>45770</v>
      </c>
      <c r="E438" s="1" t="n">
        <v>46217</v>
      </c>
      <c r="F438" t="inlineStr">
        <is>
          <t>DALARNAS LÄN</t>
        </is>
      </c>
      <c r="G438" t="inlineStr">
        <is>
          <t>ÄLVDALEN</t>
        </is>
      </c>
      <c r="H438" t="inlineStr">
        <is>
          <t>Sveaskog</t>
        </is>
      </c>
      <c r="I438" t="n">
        <v>24.1</v>
      </c>
      <c r="J438" t="n">
        <v>0</v>
      </c>
      <c r="K438" t="n">
        <v>0</v>
      </c>
      <c r="L438" t="n">
        <v>0</v>
      </c>
      <c r="M438" t="n">
        <v>0</v>
      </c>
      <c r="N438" t="n">
        <v>0</v>
      </c>
      <c r="O438" t="n">
        <v>0</v>
      </c>
      <c r="P438" t="n">
        <v>0</v>
      </c>
      <c r="Q438" t="n">
        <v>0</v>
      </c>
      <c r="R438" t="n">
        <v>0</v>
      </c>
      <c r="S438" t="n">
        <v>0</v>
      </c>
      <c r="T438" t="n">
        <v>0</v>
      </c>
      <c r="U438" s="2" t="inlineStr"/>
    </row>
    <row r="439" ht="15" customHeight="1">
      <c r="A439" t="inlineStr">
        <is>
          <t>A 13000-2022</t>
        </is>
      </c>
      <c r="B439" t="inlineStr">
        <is>
          <t>avverkningsanmälan</t>
        </is>
      </c>
      <c r="C439" t="inlineStr">
        <is>
          <t>Föryngringsavverkning</t>
        </is>
      </c>
      <c r="D439" s="1" t="n">
        <v>44643</v>
      </c>
      <c r="E439" s="1" t="n">
        <v>46217</v>
      </c>
      <c r="F439" t="inlineStr">
        <is>
          <t>DALARNAS LÄN</t>
        </is>
      </c>
      <c r="G439" t="inlineStr">
        <is>
          <t>ÄLVDALEN</t>
        </is>
      </c>
      <c r="H439" t="inlineStr">
        <is>
          <t>Sveaskog</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23999-2024</t>
        </is>
      </c>
      <c r="B440" t="inlineStr">
        <is>
          <t>avverkningsanmälan</t>
        </is>
      </c>
      <c r="C440" t="inlineStr">
        <is>
          <t>Föryngringsavverkning</t>
        </is>
      </c>
      <c r="D440" s="1" t="n">
        <v>45456</v>
      </c>
      <c r="E440" s="1" t="n">
        <v>46217</v>
      </c>
      <c r="F440" t="inlineStr">
        <is>
          <t>DALARNAS LÄN</t>
        </is>
      </c>
      <c r="G440" t="inlineStr">
        <is>
          <t>ÄLVDALEN</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24002-2024</t>
        </is>
      </c>
      <c r="B441" t="inlineStr">
        <is>
          <t>avverkningsanmälan</t>
        </is>
      </c>
      <c r="C441" t="inlineStr">
        <is>
          <t>Föryngringsavverkning</t>
        </is>
      </c>
      <c r="D441" s="1" t="n">
        <v>45456</v>
      </c>
      <c r="E441" s="1" t="n">
        <v>46217</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29339-2026</t>
        </is>
      </c>
      <c r="B442" t="inlineStr">
        <is>
          <t>avverkningsanmälan</t>
        </is>
      </c>
      <c r="C442" t="inlineStr">
        <is>
          <t>Föryngringsavverkning</t>
        </is>
      </c>
      <c r="D442" s="1" t="n">
        <v>46202</v>
      </c>
      <c r="E442" s="1" t="n">
        <v>46217</v>
      </c>
      <c r="F442" t="inlineStr">
        <is>
          <t>DALARNAS LÄN</t>
        </is>
      </c>
      <c r="G442" t="inlineStr">
        <is>
          <t>ÄLVDALEN</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5925-2026</t>
        </is>
      </c>
      <c r="B443" t="inlineStr">
        <is>
          <t>avverkningsanmälan</t>
        </is>
      </c>
      <c r="C443" t="inlineStr">
        <is>
          <t>Föryngringsavverkning</t>
        </is>
      </c>
      <c r="D443" s="1" t="n">
        <v>46052</v>
      </c>
      <c r="E443" s="1" t="n">
        <v>46217</v>
      </c>
      <c r="F443" t="inlineStr">
        <is>
          <t>DALARNAS LÄN</t>
        </is>
      </c>
      <c r="G443" t="inlineStr">
        <is>
          <t>ÄLVDALEN</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7101-2026</t>
        </is>
      </c>
      <c r="B444" t="inlineStr">
        <is>
          <t>avverkningsanmälan</t>
        </is>
      </c>
      <c r="C444" t="inlineStr">
        <is>
          <t>Föryngringsavverkning</t>
        </is>
      </c>
      <c r="D444" s="1" t="n">
        <v>46058</v>
      </c>
      <c r="E444" s="1" t="n">
        <v>46217</v>
      </c>
      <c r="F444" t="inlineStr">
        <is>
          <t>DALARNAS LÄN</t>
        </is>
      </c>
      <c r="G444" t="inlineStr">
        <is>
          <t>ÄLVDALEN</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15759-2024</t>
        </is>
      </c>
      <c r="B445" t="inlineStr">
        <is>
          <t>avverkningsanmälan</t>
        </is>
      </c>
      <c r="C445" t="inlineStr">
        <is>
          <t>Föryngringsavverkning</t>
        </is>
      </c>
      <c r="D445" s="1" t="n">
        <v>45404</v>
      </c>
      <c r="E445" s="1" t="n">
        <v>46217</v>
      </c>
      <c r="F445" t="inlineStr">
        <is>
          <t>DALARNAS LÄN</t>
        </is>
      </c>
      <c r="G445" t="inlineStr">
        <is>
          <t>ÄLVDALEN</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6936-2026</t>
        </is>
      </c>
      <c r="B446" t="inlineStr">
        <is>
          <t>avverkningsanmälan</t>
        </is>
      </c>
      <c r="C446" t="inlineStr">
        <is>
          <t>Föryngringsavverkning</t>
        </is>
      </c>
      <c r="D446" s="1" t="n">
        <v>46057</v>
      </c>
      <c r="E446" s="1" t="n">
        <v>46217</v>
      </c>
      <c r="F446" t="inlineStr">
        <is>
          <t>DALARNAS LÄN</t>
        </is>
      </c>
      <c r="G446" t="inlineStr">
        <is>
          <t>ÄLVDALEN</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7795-2026</t>
        </is>
      </c>
      <c r="B447" t="inlineStr">
        <is>
          <t>avverkningsanmälan</t>
        </is>
      </c>
      <c r="C447" t="inlineStr">
        <is>
          <t>Föryngringsavverkning</t>
        </is>
      </c>
      <c r="D447" s="1" t="n">
        <v>46062</v>
      </c>
      <c r="E447" s="1" t="n">
        <v>46217</v>
      </c>
      <c r="F447" t="inlineStr">
        <is>
          <t>DALARNAS LÄN</t>
        </is>
      </c>
      <c r="G447" t="inlineStr">
        <is>
          <t>ÄLVDALEN</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7802-2026</t>
        </is>
      </c>
      <c r="B448" t="inlineStr">
        <is>
          <t>avverkningsanmälan</t>
        </is>
      </c>
      <c r="C448" t="inlineStr">
        <is>
          <t>Föryngringsavverkning</t>
        </is>
      </c>
      <c r="D448" s="1" t="n">
        <v>46062</v>
      </c>
      <c r="E448" s="1" t="n">
        <v>46217</v>
      </c>
      <c r="F448" t="inlineStr">
        <is>
          <t>DALARNAS LÄN</t>
        </is>
      </c>
      <c r="G448" t="inlineStr">
        <is>
          <t>ÄLVDALEN</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7782-2026</t>
        </is>
      </c>
      <c r="B449" t="inlineStr">
        <is>
          <t>avverkningsanmälan</t>
        </is>
      </c>
      <c r="C449" t="inlineStr">
        <is>
          <t>Föryngringsavverkning</t>
        </is>
      </c>
      <c r="D449" s="1" t="n">
        <v>46062</v>
      </c>
      <c r="E449" s="1" t="n">
        <v>46217</v>
      </c>
      <c r="F449" t="inlineStr">
        <is>
          <t>DALARNAS LÄN</t>
        </is>
      </c>
      <c r="G449" t="inlineStr">
        <is>
          <t>ÄLVDALEN</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7788-2026</t>
        </is>
      </c>
      <c r="B450" t="inlineStr">
        <is>
          <t>avverkningsanmälan</t>
        </is>
      </c>
      <c r="C450" t="inlineStr">
        <is>
          <t>Föryngringsavverkning</t>
        </is>
      </c>
      <c r="D450" s="1" t="n">
        <v>46062</v>
      </c>
      <c r="E450" s="1" t="n">
        <v>46217</v>
      </c>
      <c r="F450" t="inlineStr">
        <is>
          <t>DALARNAS LÄN</t>
        </is>
      </c>
      <c r="G450" t="inlineStr">
        <is>
          <t>ÄLVDALEN</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7784-2026</t>
        </is>
      </c>
      <c r="B451" t="inlineStr">
        <is>
          <t>avverkningsanmälan</t>
        </is>
      </c>
      <c r="C451" t="inlineStr">
        <is>
          <t>Föryngringsavverkning</t>
        </is>
      </c>
      <c r="D451" s="1" t="n">
        <v>46062</v>
      </c>
      <c r="E451" s="1" t="n">
        <v>46217</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56222-2023</t>
        </is>
      </c>
      <c r="B452" t="inlineStr">
        <is>
          <t>avverkningsanmälan</t>
        </is>
      </c>
      <c r="C452" t="inlineStr">
        <is>
          <t>Föryngringsavverkning</t>
        </is>
      </c>
      <c r="D452" s="1" t="n">
        <v>45240</v>
      </c>
      <c r="E452" s="1" t="n">
        <v>46217</v>
      </c>
      <c r="F452" t="inlineStr">
        <is>
          <t>DALARNAS LÄN</t>
        </is>
      </c>
      <c r="G452" t="inlineStr">
        <is>
          <t>ÄLVDALEN</t>
        </is>
      </c>
      <c r="H452" t="inlineStr">
        <is>
          <t>Övriga Aktiebolag</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56224-2023</t>
        </is>
      </c>
      <c r="B453" t="inlineStr">
        <is>
          <t>avverkningsanmälan</t>
        </is>
      </c>
      <c r="C453" t="inlineStr">
        <is>
          <t>Föryngringsavverkning</t>
        </is>
      </c>
      <c r="D453" s="1" t="n">
        <v>45240</v>
      </c>
      <c r="E453" s="1" t="n">
        <v>46217</v>
      </c>
      <c r="F453" t="inlineStr">
        <is>
          <t>DALARNAS LÄN</t>
        </is>
      </c>
      <c r="G453" t="inlineStr">
        <is>
          <t>ÄLVDALEN</t>
        </is>
      </c>
      <c r="H453" t="inlineStr">
        <is>
          <t>Övriga Aktiebolag</t>
        </is>
      </c>
      <c r="I453" t="n">
        <v>10.9</v>
      </c>
      <c r="J453" t="n">
        <v>0</v>
      </c>
      <c r="K453" t="n">
        <v>0</v>
      </c>
      <c r="L453" t="n">
        <v>0</v>
      </c>
      <c r="M453" t="n">
        <v>0</v>
      </c>
      <c r="N453" t="n">
        <v>0</v>
      </c>
      <c r="O453" t="n">
        <v>0</v>
      </c>
      <c r="P453" t="n">
        <v>0</v>
      </c>
      <c r="Q453" t="n">
        <v>0</v>
      </c>
      <c r="R453" t="n">
        <v>0</v>
      </c>
      <c r="S453" t="n">
        <v>0</v>
      </c>
      <c r="T453" t="n">
        <v>0</v>
      </c>
      <c r="U453" s="2" t="inlineStr"/>
    </row>
    <row r="454" ht="15" customHeight="1">
      <c r="A454" t="inlineStr">
        <is>
          <t>A 8644-2026</t>
        </is>
      </c>
      <c r="B454" t="inlineStr">
        <is>
          <t>avverkningsanmälan</t>
        </is>
      </c>
      <c r="C454" t="inlineStr">
        <is>
          <t>Föryngringsavverkning</t>
        </is>
      </c>
      <c r="D454" s="1" t="n">
        <v>46066</v>
      </c>
      <c r="E454" s="1" t="n">
        <v>46217</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9492-2026</t>
        </is>
      </c>
      <c r="B455" t="inlineStr">
        <is>
          <t>avverkningsanmälan</t>
        </is>
      </c>
      <c r="C455" t="inlineStr">
        <is>
          <t>Föryngringsavverkning</t>
        </is>
      </c>
      <c r="D455" s="1" t="n">
        <v>46071</v>
      </c>
      <c r="E455" s="1" t="n">
        <v>46217</v>
      </c>
      <c r="F455" t="inlineStr">
        <is>
          <t>DALARNAS LÄN</t>
        </is>
      </c>
      <c r="G455" t="inlineStr">
        <is>
          <t>ÄLVDALEN</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9498-2026</t>
        </is>
      </c>
      <c r="B456" t="inlineStr">
        <is>
          <t>avverkningsanmälan</t>
        </is>
      </c>
      <c r="C456" t="inlineStr">
        <is>
          <t>Föryngringsavverkning</t>
        </is>
      </c>
      <c r="D456" s="1" t="n">
        <v>46071</v>
      </c>
      <c r="E456" s="1" t="n">
        <v>46217</v>
      </c>
      <c r="F456" t="inlineStr">
        <is>
          <t>DALARNAS LÄN</t>
        </is>
      </c>
      <c r="G456" t="inlineStr">
        <is>
          <t>ÄLVDALEN</t>
        </is>
      </c>
      <c r="I456" t="n">
        <v>5.3</v>
      </c>
      <c r="J456" t="n">
        <v>0</v>
      </c>
      <c r="K456" t="n">
        <v>0</v>
      </c>
      <c r="L456" t="n">
        <v>0</v>
      </c>
      <c r="M456" t="n">
        <v>0</v>
      </c>
      <c r="N456" t="n">
        <v>0</v>
      </c>
      <c r="O456" t="n">
        <v>0</v>
      </c>
      <c r="P456" t="n">
        <v>0</v>
      </c>
      <c r="Q456" t="n">
        <v>0</v>
      </c>
      <c r="R456" t="n">
        <v>0</v>
      </c>
      <c r="S456" t="n">
        <v>0</v>
      </c>
      <c r="T456" t="n">
        <v>0</v>
      </c>
      <c r="U456" s="2" t="inlineStr"/>
    </row>
    <row r="457" ht="15" customHeight="1">
      <c r="A457" t="inlineStr">
        <is>
          <t>A 49203-2023</t>
        </is>
      </c>
      <c r="B457" t="inlineStr">
        <is>
          <t>avverkningsanmälan</t>
        </is>
      </c>
      <c r="C457" t="inlineStr">
        <is>
          <t>Föryngringsavverkning</t>
        </is>
      </c>
      <c r="D457" s="1" t="n">
        <v>45210</v>
      </c>
      <c r="E457" s="1" t="n">
        <v>46217</v>
      </c>
      <c r="F457" t="inlineStr">
        <is>
          <t>DALARNAS LÄN</t>
        </is>
      </c>
      <c r="G457" t="inlineStr">
        <is>
          <t>ÄLVDALEN</t>
        </is>
      </c>
      <c r="H457" t="inlineStr">
        <is>
          <t>Bergvik skog väst AB</t>
        </is>
      </c>
      <c r="I457" t="n">
        <v>18.2</v>
      </c>
      <c r="J457" t="n">
        <v>0</v>
      </c>
      <c r="K457" t="n">
        <v>0</v>
      </c>
      <c r="L457" t="n">
        <v>0</v>
      </c>
      <c r="M457" t="n">
        <v>0</v>
      </c>
      <c r="N457" t="n">
        <v>0</v>
      </c>
      <c r="O457" t="n">
        <v>0</v>
      </c>
      <c r="P457" t="n">
        <v>0</v>
      </c>
      <c r="Q457" t="n">
        <v>0</v>
      </c>
      <c r="R457" t="n">
        <v>0</v>
      </c>
      <c r="S457" t="n">
        <v>0</v>
      </c>
      <c r="T457" t="n">
        <v>0</v>
      </c>
      <c r="U457" s="2" t="inlineStr"/>
    </row>
    <row r="458" ht="15" customHeight="1">
      <c r="A458" t="inlineStr">
        <is>
          <t>A 6675-2025</t>
        </is>
      </c>
      <c r="B458" t="inlineStr">
        <is>
          <t>avverkningsanmälan</t>
        </is>
      </c>
      <c r="C458" t="inlineStr">
        <is>
          <t>Föryngringsavverkning</t>
        </is>
      </c>
      <c r="D458" s="1" t="n">
        <v>45700</v>
      </c>
      <c r="E458" s="1" t="n">
        <v>46217</v>
      </c>
      <c r="F458" t="inlineStr">
        <is>
          <t>DALARNAS LÄN</t>
        </is>
      </c>
      <c r="G458" t="inlineStr">
        <is>
          <t>ÄLVDALEN</t>
        </is>
      </c>
      <c r="H458" t="inlineStr">
        <is>
          <t>Allmännings- och besparingsskogar</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5583-2025</t>
        </is>
      </c>
      <c r="B459" t="inlineStr">
        <is>
          <t>avverkningsanmälan</t>
        </is>
      </c>
      <c r="C459" t="inlineStr">
        <is>
          <t>Föryngringsavverkning</t>
        </is>
      </c>
      <c r="D459" s="1" t="n">
        <v>45693</v>
      </c>
      <c r="E459" s="1" t="n">
        <v>46217</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24009-2024</t>
        </is>
      </c>
      <c r="B460" t="inlineStr">
        <is>
          <t>avverkningsanmälan</t>
        </is>
      </c>
      <c r="C460" t="inlineStr">
        <is>
          <t>Föryngringsavverkning</t>
        </is>
      </c>
      <c r="D460" s="1" t="n">
        <v>45456</v>
      </c>
      <c r="E460" s="1" t="n">
        <v>46217</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9915-2026</t>
        </is>
      </c>
      <c r="B461" t="inlineStr">
        <is>
          <t>avverkningsanmälan</t>
        </is>
      </c>
      <c r="C461" t="inlineStr">
        <is>
          <t>Föryngringsavverkning</t>
        </is>
      </c>
      <c r="D461" s="1" t="n">
        <v>46073</v>
      </c>
      <c r="E461" s="1" t="n">
        <v>46217</v>
      </c>
      <c r="F461" t="inlineStr">
        <is>
          <t>DALARNAS LÄN</t>
        </is>
      </c>
      <c r="G461" t="inlineStr">
        <is>
          <t>ÄLVDALEN</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36640-2023</t>
        </is>
      </c>
      <c r="B462" t="inlineStr">
        <is>
          <t>avverkningsanmälan</t>
        </is>
      </c>
      <c r="C462" t="inlineStr">
        <is>
          <t>Föryngringsavverkning</t>
        </is>
      </c>
      <c r="D462" s="1" t="n">
        <v>45153</v>
      </c>
      <c r="E462" s="1" t="n">
        <v>46217</v>
      </c>
      <c r="F462" t="inlineStr">
        <is>
          <t>DALARNAS LÄN</t>
        </is>
      </c>
      <c r="G462" t="inlineStr">
        <is>
          <t>ÄLVDALEN</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10704-2026</t>
        </is>
      </c>
      <c r="B463" t="inlineStr">
        <is>
          <t>avverkningsanmälan</t>
        </is>
      </c>
      <c r="C463" t="inlineStr">
        <is>
          <t>Föryngringsavverkning</t>
        </is>
      </c>
      <c r="D463" s="1" t="n">
        <v>46078</v>
      </c>
      <c r="E463" s="1" t="n">
        <v>46217</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11506-2026</t>
        </is>
      </c>
      <c r="B464" t="inlineStr">
        <is>
          <t>avverkningsanmälan</t>
        </is>
      </c>
      <c r="C464" t="inlineStr">
        <is>
          <t>Föryngringsavverkning</t>
        </is>
      </c>
      <c r="D464" s="1" t="n">
        <v>46083</v>
      </c>
      <c r="E464" s="1" t="n">
        <v>46217</v>
      </c>
      <c r="F464" t="inlineStr">
        <is>
          <t>DALARNAS LÄN</t>
        </is>
      </c>
      <c r="G464" t="inlineStr">
        <is>
          <t>ÄLVDALEN</t>
        </is>
      </c>
      <c r="I464" t="n">
        <v>5.7</v>
      </c>
      <c r="J464" t="n">
        <v>0</v>
      </c>
      <c r="K464" t="n">
        <v>0</v>
      </c>
      <c r="L464" t="n">
        <v>0</v>
      </c>
      <c r="M464" t="n">
        <v>0</v>
      </c>
      <c r="N464" t="n">
        <v>0</v>
      </c>
      <c r="O464" t="n">
        <v>0</v>
      </c>
      <c r="P464" t="n">
        <v>0</v>
      </c>
      <c r="Q464" t="n">
        <v>0</v>
      </c>
      <c r="R464" t="n">
        <v>0</v>
      </c>
      <c r="S464" t="n">
        <v>0</v>
      </c>
      <c r="T464" t="n">
        <v>0</v>
      </c>
      <c r="U464" s="2" t="inlineStr"/>
    </row>
    <row r="465" ht="15" customHeight="1">
      <c r="A465" t="inlineStr">
        <is>
          <t>A 11801-2026</t>
        </is>
      </c>
      <c r="B465" t="inlineStr">
        <is>
          <t>avverkningsanmälan</t>
        </is>
      </c>
      <c r="C465" t="inlineStr">
        <is>
          <t>Föryngringsavverkning</t>
        </is>
      </c>
      <c r="D465" s="1" t="n">
        <v>46085</v>
      </c>
      <c r="E465" s="1" t="n">
        <v>46217</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33100-2023</t>
        </is>
      </c>
      <c r="B466" t="inlineStr">
        <is>
          <t>avverkningsanmälan</t>
        </is>
      </c>
      <c r="C466" t="inlineStr">
        <is>
          <t>Föryngringsavverkning</t>
        </is>
      </c>
      <c r="D466" s="1" t="n">
        <v>45114</v>
      </c>
      <c r="E466" s="1" t="n">
        <v>46217</v>
      </c>
      <c r="F466" t="inlineStr">
        <is>
          <t>DALARNAS LÄN</t>
        </is>
      </c>
      <c r="G466" t="inlineStr">
        <is>
          <t>ÄLVDALEN</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3893-2024</t>
        </is>
      </c>
      <c r="B467" t="inlineStr">
        <is>
          <t>avverkningsanmälan</t>
        </is>
      </c>
      <c r="C467" t="inlineStr">
        <is>
          <t>Föryngringsavverkning</t>
        </is>
      </c>
      <c r="D467" s="1" t="n">
        <v>45322</v>
      </c>
      <c r="E467" s="1" t="n">
        <v>46217</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37665-2023</t>
        </is>
      </c>
      <c r="B468" t="inlineStr">
        <is>
          <t>avverkningsanmälan</t>
        </is>
      </c>
      <c r="C468" t="inlineStr">
        <is>
          <t>Föryngringsavverkning</t>
        </is>
      </c>
      <c r="D468" s="1" t="n">
        <v>45159</v>
      </c>
      <c r="E468" s="1" t="n">
        <v>46217</v>
      </c>
      <c r="F468" t="inlineStr">
        <is>
          <t>DALARNAS LÄN</t>
        </is>
      </c>
      <c r="G468" t="inlineStr">
        <is>
          <t>ÄLVDALEN</t>
        </is>
      </c>
      <c r="H468" t="inlineStr">
        <is>
          <t>Allmännings- och besparingsskogar</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1310-2024</t>
        </is>
      </c>
      <c r="B469" t="inlineStr">
        <is>
          <t>avverkningsanmälan</t>
        </is>
      </c>
      <c r="C469" t="inlineStr">
        <is>
          <t>Föryngringsavverkning</t>
        </is>
      </c>
      <c r="D469" s="1" t="n">
        <v>45303</v>
      </c>
      <c r="E469" s="1" t="n">
        <v>46217</v>
      </c>
      <c r="F469" t="inlineStr">
        <is>
          <t>DALARNAS LÄN</t>
        </is>
      </c>
      <c r="G469" t="inlineStr">
        <is>
          <t>ÄLVDALEN</t>
        </is>
      </c>
      <c r="I469" t="n">
        <v>4.3</v>
      </c>
      <c r="J469" t="n">
        <v>0</v>
      </c>
      <c r="K469" t="n">
        <v>0</v>
      </c>
      <c r="L469" t="n">
        <v>0</v>
      </c>
      <c r="M469" t="n">
        <v>0</v>
      </c>
      <c r="N469" t="n">
        <v>0</v>
      </c>
      <c r="O469" t="n">
        <v>0</v>
      </c>
      <c r="P469" t="n">
        <v>0</v>
      </c>
      <c r="Q469" t="n">
        <v>0</v>
      </c>
      <c r="R469" t="n">
        <v>0</v>
      </c>
      <c r="S469" t="n">
        <v>0</v>
      </c>
      <c r="T469" t="n">
        <v>0</v>
      </c>
      <c r="U469" s="2" t="inlineStr"/>
    </row>
    <row r="470" ht="15" customHeight="1">
      <c r="A470" t="inlineStr">
        <is>
          <t>A 14358-2026</t>
        </is>
      </c>
      <c r="B470" t="inlineStr">
        <is>
          <t>avverkningsanmälan</t>
        </is>
      </c>
      <c r="C470" t="inlineStr">
        <is>
          <t>Föryngringsavverkning</t>
        </is>
      </c>
      <c r="D470" s="1" t="n">
        <v>46100</v>
      </c>
      <c r="E470" s="1" t="n">
        <v>46217</v>
      </c>
      <c r="F470" t="inlineStr">
        <is>
          <t>DALARNAS LÄN</t>
        </is>
      </c>
      <c r="G470" t="inlineStr">
        <is>
          <t>ÄLVDALEN</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6001-2024</t>
        </is>
      </c>
      <c r="B471" t="inlineStr">
        <is>
          <t>avverkningsanmälan</t>
        </is>
      </c>
      <c r="C471" t="inlineStr">
        <is>
          <t>Föryngringsavverkning</t>
        </is>
      </c>
      <c r="D471" s="1" t="n">
        <v>45336</v>
      </c>
      <c r="E471" s="1" t="n">
        <v>46217</v>
      </c>
      <c r="F471" t="inlineStr">
        <is>
          <t>DALARNAS LÄN</t>
        </is>
      </c>
      <c r="G471" t="inlineStr">
        <is>
          <t>ÄLVDALEN</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44119-2022</t>
        </is>
      </c>
      <c r="B472" t="inlineStr">
        <is>
          <t>avverkningsanmälan</t>
        </is>
      </c>
      <c r="C472" t="inlineStr">
        <is>
          <t>Föryngringsavverkning</t>
        </is>
      </c>
      <c r="D472" s="1" t="n">
        <v>44839</v>
      </c>
      <c r="E472" s="1" t="n">
        <v>46217</v>
      </c>
      <c r="F472" t="inlineStr">
        <is>
          <t>DALARNAS LÄN</t>
        </is>
      </c>
      <c r="G472" t="inlineStr">
        <is>
          <t>ÄLVDALEN</t>
        </is>
      </c>
      <c r="I472" t="n">
        <v>3.2</v>
      </c>
      <c r="J472" t="n">
        <v>0</v>
      </c>
      <c r="K472" t="n">
        <v>0</v>
      </c>
      <c r="L472" t="n">
        <v>0</v>
      </c>
      <c r="M472" t="n">
        <v>0</v>
      </c>
      <c r="N472" t="n">
        <v>0</v>
      </c>
      <c r="O472" t="n">
        <v>0</v>
      </c>
      <c r="P472" t="n">
        <v>0</v>
      </c>
      <c r="Q472" t="n">
        <v>0</v>
      </c>
      <c r="R472" t="n">
        <v>0</v>
      </c>
      <c r="S472" t="n">
        <v>0</v>
      </c>
      <c r="T472" t="n">
        <v>0</v>
      </c>
      <c r="U472" s="2" t="inlineStr"/>
    </row>
    <row r="473" ht="15" customHeight="1">
      <c r="A473" t="inlineStr">
        <is>
          <t>A 68219-2021</t>
        </is>
      </c>
      <c r="B473" t="inlineStr">
        <is>
          <t>avverkningsanmälan</t>
        </is>
      </c>
      <c r="C473" t="inlineStr">
        <is>
          <t>Föryngringsavverkning</t>
        </is>
      </c>
      <c r="D473" s="1" t="n">
        <v>44526</v>
      </c>
      <c r="E473" s="1" t="n">
        <v>46217</v>
      </c>
      <c r="F473" t="inlineStr">
        <is>
          <t>DALARNAS LÄN</t>
        </is>
      </c>
      <c r="G473" t="inlineStr">
        <is>
          <t>ÄLVDALEN</t>
        </is>
      </c>
      <c r="H473" t="inlineStr">
        <is>
          <t>Kyrkan</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29610-2024</t>
        </is>
      </c>
      <c r="B474" t="inlineStr">
        <is>
          <t>avverkningsanmälan</t>
        </is>
      </c>
      <c r="C474" t="inlineStr">
        <is>
          <t>Föryngringsavverkning</t>
        </is>
      </c>
      <c r="D474" s="1" t="n">
        <v>45484</v>
      </c>
      <c r="E474" s="1" t="n">
        <v>46217</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15841-2026</t>
        </is>
      </c>
      <c r="B475" t="inlineStr">
        <is>
          <t>avverkningsanmälan</t>
        </is>
      </c>
      <c r="C475" t="inlineStr">
        <is>
          <t>Avverkning för annat ändamål</t>
        </is>
      </c>
      <c r="D475" s="1" t="n">
        <v>46107</v>
      </c>
      <c r="E475" s="1" t="n">
        <v>46217</v>
      </c>
      <c r="F475" t="inlineStr">
        <is>
          <t>DALARNAS LÄN</t>
        </is>
      </c>
      <c r="G475" t="inlineStr">
        <is>
          <t>ÄLVDALEN</t>
        </is>
      </c>
      <c r="H475" t="inlineStr">
        <is>
          <t>Allmännings- och besparingsskogar</t>
        </is>
      </c>
      <c r="I475" t="n">
        <v>0.2</v>
      </c>
      <c r="J475" t="n">
        <v>0</v>
      </c>
      <c r="K475" t="n">
        <v>0</v>
      </c>
      <c r="L475" t="n">
        <v>0</v>
      </c>
      <c r="M475" t="n">
        <v>0</v>
      </c>
      <c r="N475" t="n">
        <v>0</v>
      </c>
      <c r="O475" t="n">
        <v>0</v>
      </c>
      <c r="P475" t="n">
        <v>0</v>
      </c>
      <c r="Q475" t="n">
        <v>0</v>
      </c>
      <c r="R475" t="n">
        <v>0</v>
      </c>
      <c r="S475" t="n">
        <v>0</v>
      </c>
      <c r="T475" t="n">
        <v>0</v>
      </c>
      <c r="U475" s="2" t="inlineStr"/>
    </row>
    <row r="476" ht="15" customHeight="1">
      <c r="A476" t="inlineStr">
        <is>
          <t>A 24203-2026</t>
        </is>
      </c>
      <c r="B476" t="inlineStr">
        <is>
          <t>avverkningsanmälan</t>
        </is>
      </c>
      <c r="C476" t="inlineStr">
        <is>
          <t>Föryngringsavverkning</t>
        </is>
      </c>
      <c r="D476" s="1" t="n">
        <v>46168</v>
      </c>
      <c r="E476" s="1" t="n">
        <v>46217</v>
      </c>
      <c r="F476" t="inlineStr">
        <is>
          <t>DALARNAS LÄN</t>
        </is>
      </c>
      <c r="G476" t="inlineStr">
        <is>
          <t>ÄLVDALEN</t>
        </is>
      </c>
      <c r="H476" t="inlineStr">
        <is>
          <t>Bergvik skog väst AB</t>
        </is>
      </c>
      <c r="I476" t="n">
        <v>22.4</v>
      </c>
      <c r="J476" t="n">
        <v>0</v>
      </c>
      <c r="K476" t="n">
        <v>0</v>
      </c>
      <c r="L476" t="n">
        <v>0</v>
      </c>
      <c r="M476" t="n">
        <v>0</v>
      </c>
      <c r="N476" t="n">
        <v>0</v>
      </c>
      <c r="O476" t="n">
        <v>0</v>
      </c>
      <c r="P476" t="n">
        <v>0</v>
      </c>
      <c r="Q476" t="n">
        <v>0</v>
      </c>
      <c r="R476" t="n">
        <v>0</v>
      </c>
      <c r="S476" t="n">
        <v>0</v>
      </c>
      <c r="T476" t="n">
        <v>0</v>
      </c>
      <c r="U476" s="2" t="inlineStr"/>
    </row>
    <row r="477" ht="15" customHeight="1">
      <c r="A477" t="inlineStr">
        <is>
          <t>A 3900-2024</t>
        </is>
      </c>
      <c r="B477" t="inlineStr">
        <is>
          <t>avverkningsanmälan</t>
        </is>
      </c>
      <c r="C477" t="inlineStr">
        <is>
          <t>Föryngringsavverkning</t>
        </is>
      </c>
      <c r="D477" s="1" t="n">
        <v>45322</v>
      </c>
      <c r="E477" s="1" t="n">
        <v>46217</v>
      </c>
      <c r="F477" t="inlineStr">
        <is>
          <t>DALARNAS LÄN</t>
        </is>
      </c>
      <c r="G477" t="inlineStr">
        <is>
          <t>ÄLVDALEN</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2375-2024</t>
        </is>
      </c>
      <c r="B478" t="inlineStr">
        <is>
          <t>avverkningsanmälan</t>
        </is>
      </c>
      <c r="C478" t="inlineStr">
        <is>
          <t>Föryngringsavverkning</t>
        </is>
      </c>
      <c r="D478" s="1" t="n">
        <v>45310</v>
      </c>
      <c r="E478" s="1" t="n">
        <v>46217</v>
      </c>
      <c r="F478" t="inlineStr">
        <is>
          <t>DALARNAS LÄN</t>
        </is>
      </c>
      <c r="G478" t="inlineStr">
        <is>
          <t>ÄLVDALEN</t>
        </is>
      </c>
      <c r="I478" t="n">
        <v>5.4</v>
      </c>
      <c r="J478" t="n">
        <v>0</v>
      </c>
      <c r="K478" t="n">
        <v>0</v>
      </c>
      <c r="L478" t="n">
        <v>0</v>
      </c>
      <c r="M478" t="n">
        <v>0</v>
      </c>
      <c r="N478" t="n">
        <v>0</v>
      </c>
      <c r="O478" t="n">
        <v>0</v>
      </c>
      <c r="P478" t="n">
        <v>0</v>
      </c>
      <c r="Q478" t="n">
        <v>0</v>
      </c>
      <c r="R478" t="n">
        <v>0</v>
      </c>
      <c r="S478" t="n">
        <v>0</v>
      </c>
      <c r="T478" t="n">
        <v>0</v>
      </c>
      <c r="U478" s="2" t="inlineStr"/>
    </row>
    <row r="479" ht="15" customHeight="1">
      <c r="A479" t="inlineStr">
        <is>
          <t>A 16425-2026</t>
        </is>
      </c>
      <c r="B479" t="inlineStr">
        <is>
          <t>avverkningsanmälan</t>
        </is>
      </c>
      <c r="C479" t="inlineStr">
        <is>
          <t>Föryngringsavverkning</t>
        </is>
      </c>
      <c r="D479" s="1" t="n">
        <v>46111</v>
      </c>
      <c r="E479" s="1" t="n">
        <v>46217</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45203-2024</t>
        </is>
      </c>
      <c r="B480" t="inlineStr">
        <is>
          <t>avverkningsanmälan</t>
        </is>
      </c>
      <c r="C480" t="inlineStr">
        <is>
          <t>Föryngringsavverkning</t>
        </is>
      </c>
      <c r="D480" s="1" t="n">
        <v>45575</v>
      </c>
      <c r="E480" s="1" t="n">
        <v>46217</v>
      </c>
      <c r="F480" t="inlineStr">
        <is>
          <t>DALARNAS LÄN</t>
        </is>
      </c>
      <c r="G480" t="inlineStr">
        <is>
          <t>ÄLVDALEN</t>
        </is>
      </c>
      <c r="I480" t="n">
        <v>7.3</v>
      </c>
      <c r="J480" t="n">
        <v>0</v>
      </c>
      <c r="K480" t="n">
        <v>0</v>
      </c>
      <c r="L480" t="n">
        <v>0</v>
      </c>
      <c r="M480" t="n">
        <v>0</v>
      </c>
      <c r="N480" t="n">
        <v>0</v>
      </c>
      <c r="O480" t="n">
        <v>0</v>
      </c>
      <c r="P480" t="n">
        <v>0</v>
      </c>
      <c r="Q480" t="n">
        <v>0</v>
      </c>
      <c r="R480" t="n">
        <v>0</v>
      </c>
      <c r="S480" t="n">
        <v>0</v>
      </c>
      <c r="T480" t="n">
        <v>0</v>
      </c>
      <c r="U480" s="2" t="inlineStr"/>
    </row>
    <row r="481" ht="15" customHeight="1">
      <c r="A481" t="inlineStr">
        <is>
          <t>A 16488-2026</t>
        </is>
      </c>
      <c r="B481" t="inlineStr">
        <is>
          <t>avverkningsanmälan</t>
        </is>
      </c>
      <c r="C481" t="inlineStr">
        <is>
          <t>Föryngringsavverkning</t>
        </is>
      </c>
      <c r="D481" s="1" t="n">
        <v>46112</v>
      </c>
      <c r="E481" s="1" t="n">
        <v>46217</v>
      </c>
      <c r="F481" t="inlineStr">
        <is>
          <t>DALARNAS LÄN</t>
        </is>
      </c>
      <c r="G481" t="inlineStr">
        <is>
          <t>ÄLVDALEN</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16489-2026</t>
        </is>
      </c>
      <c r="B482" t="inlineStr">
        <is>
          <t>avverkningsanmälan</t>
        </is>
      </c>
      <c r="C482" t="inlineStr">
        <is>
          <t>Avverkning för annat ändamål</t>
        </is>
      </c>
      <c r="D482" s="1" t="n">
        <v>46112</v>
      </c>
      <c r="E482" s="1" t="n">
        <v>46217</v>
      </c>
      <c r="F482" t="inlineStr">
        <is>
          <t>DALARNAS LÄN</t>
        </is>
      </c>
      <c r="G482" t="inlineStr">
        <is>
          <t>ÄLVDALEN</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16552-2026</t>
        </is>
      </c>
      <c r="B483" t="inlineStr">
        <is>
          <t>avverkningsanmälan</t>
        </is>
      </c>
      <c r="C483" t="inlineStr">
        <is>
          <t>Föryngringsavverkning</t>
        </is>
      </c>
      <c r="D483" s="1" t="n">
        <v>46112</v>
      </c>
      <c r="E483" s="1" t="n">
        <v>46217</v>
      </c>
      <c r="F483" t="inlineStr">
        <is>
          <t>DALARNAS LÄN</t>
        </is>
      </c>
      <c r="G483" t="inlineStr">
        <is>
          <t>ÄLVDALEN</t>
        </is>
      </c>
      <c r="I483" t="n">
        <v>17.2</v>
      </c>
      <c r="J483" t="n">
        <v>0</v>
      </c>
      <c r="K483" t="n">
        <v>0</v>
      </c>
      <c r="L483" t="n">
        <v>0</v>
      </c>
      <c r="M483" t="n">
        <v>0</v>
      </c>
      <c r="N483" t="n">
        <v>0</v>
      </c>
      <c r="O483" t="n">
        <v>0</v>
      </c>
      <c r="P483" t="n">
        <v>0</v>
      </c>
      <c r="Q483" t="n">
        <v>0</v>
      </c>
      <c r="R483" t="n">
        <v>0</v>
      </c>
      <c r="S483" t="n">
        <v>0</v>
      </c>
      <c r="T483" t="n">
        <v>0</v>
      </c>
      <c r="U483" s="2" t="inlineStr"/>
    </row>
    <row r="484" ht="15" customHeight="1">
      <c r="A484" t="inlineStr">
        <is>
          <t>A 16517-2026</t>
        </is>
      </c>
      <c r="B484" t="inlineStr">
        <is>
          <t>avverkningsanmälan</t>
        </is>
      </c>
      <c r="C484" t="inlineStr">
        <is>
          <t>Föryngringsavverkning</t>
        </is>
      </c>
      <c r="D484" s="1" t="n">
        <v>46112</v>
      </c>
      <c r="E484" s="1" t="n">
        <v>46217</v>
      </c>
      <c r="F484" t="inlineStr">
        <is>
          <t>DALARNAS LÄN</t>
        </is>
      </c>
      <c r="G484" t="inlineStr">
        <is>
          <t>ÄLVDALEN</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47873-2023</t>
        </is>
      </c>
      <c r="B485" t="inlineStr">
        <is>
          <t>avverkningsanmälan</t>
        </is>
      </c>
      <c r="C485" t="inlineStr">
        <is>
          <t>Föryngringsavverkning</t>
        </is>
      </c>
      <c r="D485" s="1" t="n">
        <v>45204</v>
      </c>
      <c r="E485" s="1" t="n">
        <v>46217</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30749-2026</t>
        </is>
      </c>
      <c r="B486" t="inlineStr">
        <is>
          <t>avverkningsanmälan</t>
        </is>
      </c>
      <c r="C486" t="inlineStr">
        <is>
          <t>Föryngringsavverkning</t>
        </is>
      </c>
      <c r="D486" s="1" t="n">
        <v>46211</v>
      </c>
      <c r="E486" s="1" t="n">
        <v>46217</v>
      </c>
      <c r="F486" t="inlineStr">
        <is>
          <t>DALARNAS LÄN</t>
        </is>
      </c>
      <c r="G486" t="inlineStr">
        <is>
          <t>ÄLVDALEN</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11125-2026</t>
        </is>
      </c>
      <c r="B487" t="inlineStr">
        <is>
          <t>avverkningsanmälan</t>
        </is>
      </c>
      <c r="C487" t="inlineStr">
        <is>
          <t>Föryngringsavverkning</t>
        </is>
      </c>
      <c r="D487" s="1" t="n">
        <v>46079</v>
      </c>
      <c r="E487" s="1" t="n">
        <v>46217</v>
      </c>
      <c r="F487" t="inlineStr">
        <is>
          <t>DALARNAS LÄN</t>
        </is>
      </c>
      <c r="G487" t="inlineStr">
        <is>
          <t>ÄLVDALEN</t>
        </is>
      </c>
      <c r="I487" t="n">
        <v>10.5</v>
      </c>
      <c r="J487" t="n">
        <v>0</v>
      </c>
      <c r="K487" t="n">
        <v>0</v>
      </c>
      <c r="L487" t="n">
        <v>0</v>
      </c>
      <c r="M487" t="n">
        <v>0</v>
      </c>
      <c r="N487" t="n">
        <v>0</v>
      </c>
      <c r="O487" t="n">
        <v>0</v>
      </c>
      <c r="P487" t="n">
        <v>0</v>
      </c>
      <c r="Q487" t="n">
        <v>0</v>
      </c>
      <c r="R487" t="n">
        <v>0</v>
      </c>
      <c r="S487" t="n">
        <v>0</v>
      </c>
      <c r="T487" t="n">
        <v>0</v>
      </c>
      <c r="U487" s="2" t="inlineStr"/>
    </row>
    <row r="488" ht="15" customHeight="1">
      <c r="A488" t="inlineStr">
        <is>
          <t>A 31690-2024</t>
        </is>
      </c>
      <c r="B488" t="inlineStr">
        <is>
          <t>avverkningsanmälan</t>
        </is>
      </c>
      <c r="C488" t="inlineStr">
        <is>
          <t>Föryngringsavverkning</t>
        </is>
      </c>
      <c r="D488" s="1" t="n">
        <v>45507</v>
      </c>
      <c r="E488" s="1" t="n">
        <v>46217</v>
      </c>
      <c r="F488" t="inlineStr">
        <is>
          <t>DALARNAS LÄN</t>
        </is>
      </c>
      <c r="G488" t="inlineStr">
        <is>
          <t>ÄLVDALEN</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23570-2023</t>
        </is>
      </c>
      <c r="B489" t="inlineStr">
        <is>
          <t>avverkningsanmälan</t>
        </is>
      </c>
      <c r="C489" t="inlineStr">
        <is>
          <t>Föryngringsavverkning</t>
        </is>
      </c>
      <c r="D489" s="1" t="n">
        <v>45077</v>
      </c>
      <c r="E489" s="1" t="n">
        <v>46217</v>
      </c>
      <c r="F489" t="inlineStr">
        <is>
          <t>DALARNAS LÄN</t>
        </is>
      </c>
      <c r="G489" t="inlineStr">
        <is>
          <t>ÄLVDALEN</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39227-2024</t>
        </is>
      </c>
      <c r="B490" t="inlineStr">
        <is>
          <t>avverkningsanmälan</t>
        </is>
      </c>
      <c r="C490" t="inlineStr">
        <is>
          <t>Avverkning för annat ändamål</t>
        </is>
      </c>
      <c r="D490" s="1" t="n">
        <v>45550</v>
      </c>
      <c r="E490" s="1" t="n">
        <v>46217</v>
      </c>
      <c r="F490" t="inlineStr">
        <is>
          <t>DALARNAS LÄN</t>
        </is>
      </c>
      <c r="G490" t="inlineStr">
        <is>
          <t>ÄLVDALEN</t>
        </is>
      </c>
      <c r="I490" t="n">
        <v>0.2</v>
      </c>
      <c r="J490" t="n">
        <v>0</v>
      </c>
      <c r="K490" t="n">
        <v>0</v>
      </c>
      <c r="L490" t="n">
        <v>0</v>
      </c>
      <c r="M490" t="n">
        <v>0</v>
      </c>
      <c r="N490" t="n">
        <v>0</v>
      </c>
      <c r="O490" t="n">
        <v>0</v>
      </c>
      <c r="P490" t="n">
        <v>0</v>
      </c>
      <c r="Q490" t="n">
        <v>0</v>
      </c>
      <c r="R490" t="n">
        <v>0</v>
      </c>
      <c r="S490" t="n">
        <v>0</v>
      </c>
      <c r="T490" t="n">
        <v>0</v>
      </c>
      <c r="U490" s="2" t="inlineStr"/>
    </row>
    <row r="491" ht="15" customHeight="1">
      <c r="A491" t="inlineStr">
        <is>
          <t>A 510-2024</t>
        </is>
      </c>
      <c r="B491" t="inlineStr">
        <is>
          <t>avverkningsanmälan</t>
        </is>
      </c>
      <c r="C491" t="inlineStr">
        <is>
          <t>Föryngringsavverkning</t>
        </is>
      </c>
      <c r="D491" s="1" t="n">
        <v>45299</v>
      </c>
      <c r="E491" s="1" t="n">
        <v>46217</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4662-2024</t>
        </is>
      </c>
      <c r="B492" t="inlineStr">
        <is>
          <t>avverkningsanmälan</t>
        </is>
      </c>
      <c r="C492" t="inlineStr">
        <is>
          <t>Föryngringsavverkning</t>
        </is>
      </c>
      <c r="D492" s="1" t="n">
        <v>45328</v>
      </c>
      <c r="E492" s="1" t="n">
        <v>46217</v>
      </c>
      <c r="F492" t="inlineStr">
        <is>
          <t>DALARNAS LÄN</t>
        </is>
      </c>
      <c r="G492" t="inlineStr">
        <is>
          <t>ÄLVDALEN</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5063-2025</t>
        </is>
      </c>
      <c r="B493" t="inlineStr">
        <is>
          <t>avverkningsanmälan</t>
        </is>
      </c>
      <c r="C493" t="inlineStr">
        <is>
          <t>Avverkning för att bevara och utveckla /försöksver</t>
        </is>
      </c>
      <c r="D493" s="1" t="n">
        <v>45691</v>
      </c>
      <c r="E493" s="1" t="n">
        <v>46217</v>
      </c>
      <c r="F493" t="inlineStr">
        <is>
          <t>DALARNAS LÄN</t>
        </is>
      </c>
      <c r="G493" t="inlineStr">
        <is>
          <t>ÄLVDALEN</t>
        </is>
      </c>
      <c r="H493" t="inlineStr">
        <is>
          <t>Bergvik skog väst AB</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18619-2026</t>
        </is>
      </c>
      <c r="B494" t="inlineStr">
        <is>
          <t>avverkningsanmälan</t>
        </is>
      </c>
      <c r="C494" t="inlineStr">
        <is>
          <t>Föryngringsavverkning</t>
        </is>
      </c>
      <c r="D494" s="1" t="n">
        <v>46127</v>
      </c>
      <c r="E494" s="1" t="n">
        <v>46217</v>
      </c>
      <c r="F494" t="inlineStr">
        <is>
          <t>DALARNAS LÄN</t>
        </is>
      </c>
      <c r="G494" t="inlineStr">
        <is>
          <t>ÄLVDALEN</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18614-2026</t>
        </is>
      </c>
      <c r="B495" t="inlineStr">
        <is>
          <t>avverkningsanmälan</t>
        </is>
      </c>
      <c r="C495" t="inlineStr">
        <is>
          <t>Föryngringsavverkning</t>
        </is>
      </c>
      <c r="D495" s="1" t="n">
        <v>46127</v>
      </c>
      <c r="E495" s="1" t="n">
        <v>46217</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37438-2024</t>
        </is>
      </c>
      <c r="B496" t="inlineStr">
        <is>
          <t>avverkningsanmälan</t>
        </is>
      </c>
      <c r="C496" t="inlineStr">
        <is>
          <t>Föryngringsavverkning</t>
        </is>
      </c>
      <c r="D496" s="1" t="n">
        <v>45540</v>
      </c>
      <c r="E496" s="1" t="n">
        <v>46217</v>
      </c>
      <c r="F496" t="inlineStr">
        <is>
          <t>DALARNAS LÄN</t>
        </is>
      </c>
      <c r="G496" t="inlineStr">
        <is>
          <t>ÄLVDALEN</t>
        </is>
      </c>
      <c r="I496" t="n">
        <v>3.9</v>
      </c>
      <c r="J496" t="n">
        <v>0</v>
      </c>
      <c r="K496" t="n">
        <v>0</v>
      </c>
      <c r="L496" t="n">
        <v>0</v>
      </c>
      <c r="M496" t="n">
        <v>0</v>
      </c>
      <c r="N496" t="n">
        <v>0</v>
      </c>
      <c r="O496" t="n">
        <v>0</v>
      </c>
      <c r="P496" t="n">
        <v>0</v>
      </c>
      <c r="Q496" t="n">
        <v>0</v>
      </c>
      <c r="R496" t="n">
        <v>0</v>
      </c>
      <c r="S496" t="n">
        <v>0</v>
      </c>
      <c r="T496" t="n">
        <v>0</v>
      </c>
      <c r="U496" s="2" t="inlineStr"/>
    </row>
    <row r="497" ht="15" customHeight="1">
      <c r="A497" t="inlineStr">
        <is>
          <t>A 42679-2024</t>
        </is>
      </c>
      <c r="B497" t="inlineStr">
        <is>
          <t>avverkningsanmälan</t>
        </is>
      </c>
      <c r="C497" t="inlineStr">
        <is>
          <t>Föryngringsavverkning</t>
        </is>
      </c>
      <c r="D497" s="1" t="n">
        <v>45566</v>
      </c>
      <c r="E497" s="1" t="n">
        <v>46217</v>
      </c>
      <c r="F497" t="inlineStr">
        <is>
          <t>DALARNAS LÄN</t>
        </is>
      </c>
      <c r="G497" t="inlineStr">
        <is>
          <t>ÄLVDALEN</t>
        </is>
      </c>
      <c r="H497" t="inlineStr">
        <is>
          <t>Bergvik skog väst AB</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25056-2026</t>
        </is>
      </c>
      <c r="B498" t="inlineStr">
        <is>
          <t>avverkningsanmälan</t>
        </is>
      </c>
      <c r="C498" t="inlineStr">
        <is>
          <t>Föryngringsavverkning</t>
        </is>
      </c>
      <c r="D498" s="1" t="n">
        <v>46174</v>
      </c>
      <c r="E498" s="1" t="n">
        <v>46217</v>
      </c>
      <c r="F498" t="inlineStr">
        <is>
          <t>DALARNAS LÄN</t>
        </is>
      </c>
      <c r="G498" t="inlineStr">
        <is>
          <t>ÄLVDALEN</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24971-2026</t>
        </is>
      </c>
      <c r="B499" t="inlineStr">
        <is>
          <t>avverkningsanmälan</t>
        </is>
      </c>
      <c r="C499" t="inlineStr">
        <is>
          <t>Föryngringsavverkning</t>
        </is>
      </c>
      <c r="D499" s="1" t="n">
        <v>46174</v>
      </c>
      <c r="E499" s="1" t="n">
        <v>46217</v>
      </c>
      <c r="F499" t="inlineStr">
        <is>
          <t>DALARNAS LÄN</t>
        </is>
      </c>
      <c r="G499" t="inlineStr">
        <is>
          <t>ÄLVDALEN</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24988-2026</t>
        </is>
      </c>
      <c r="B500" t="inlineStr">
        <is>
          <t>avverkningsanmälan</t>
        </is>
      </c>
      <c r="C500" t="inlineStr">
        <is>
          <t>Föryngringsavverkning</t>
        </is>
      </c>
      <c r="D500" s="1" t="n">
        <v>46174</v>
      </c>
      <c r="E500" s="1" t="n">
        <v>46217</v>
      </c>
      <c r="F500" t="inlineStr">
        <is>
          <t>DALARNAS LÄN</t>
        </is>
      </c>
      <c r="G500" t="inlineStr">
        <is>
          <t>ÄLVDALEN</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4380-2024</t>
        </is>
      </c>
      <c r="B501" t="inlineStr">
        <is>
          <t>avverkningsanmälan</t>
        </is>
      </c>
      <c r="C501" t="inlineStr">
        <is>
          <t>Föryngringsavverkning</t>
        </is>
      </c>
      <c r="D501" s="1" t="n">
        <v>45327</v>
      </c>
      <c r="E501" s="1" t="n">
        <v>46217</v>
      </c>
      <c r="F501" t="inlineStr">
        <is>
          <t>DALARNAS LÄN</t>
        </is>
      </c>
      <c r="G501" t="inlineStr">
        <is>
          <t>ÄLVDALEN</t>
        </is>
      </c>
      <c r="I501" t="n">
        <v>6.3</v>
      </c>
      <c r="J501" t="n">
        <v>0</v>
      </c>
      <c r="K501" t="n">
        <v>0</v>
      </c>
      <c r="L501" t="n">
        <v>0</v>
      </c>
      <c r="M501" t="n">
        <v>0</v>
      </c>
      <c r="N501" t="n">
        <v>0</v>
      </c>
      <c r="O501" t="n">
        <v>0</v>
      </c>
      <c r="P501" t="n">
        <v>0</v>
      </c>
      <c r="Q501" t="n">
        <v>0</v>
      </c>
      <c r="R501" t="n">
        <v>0</v>
      </c>
      <c r="S501" t="n">
        <v>0</v>
      </c>
      <c r="T501" t="n">
        <v>0</v>
      </c>
      <c r="U501" s="2" t="inlineStr"/>
    </row>
    <row r="502" ht="15" customHeight="1">
      <c r="A502" t="inlineStr">
        <is>
          <t>A 41446-2024</t>
        </is>
      </c>
      <c r="B502" t="inlineStr">
        <is>
          <t>avverkningsanmälan</t>
        </is>
      </c>
      <c r="C502" t="inlineStr">
        <is>
          <t>Avverkning för annat ändamål</t>
        </is>
      </c>
      <c r="D502" s="1" t="n">
        <v>45560</v>
      </c>
      <c r="E502" s="1" t="n">
        <v>46217</v>
      </c>
      <c r="F502" t="inlineStr">
        <is>
          <t>DALARNAS LÄN</t>
        </is>
      </c>
      <c r="G502" t="inlineStr">
        <is>
          <t>ÄLVDALEN</t>
        </is>
      </c>
      <c r="H502" t="inlineStr">
        <is>
          <t>Sveaskog</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17346-2022</t>
        </is>
      </c>
      <c r="B503" t="inlineStr">
        <is>
          <t>avverkningsanmälan</t>
        </is>
      </c>
      <c r="C503" t="inlineStr">
        <is>
          <t>Föryngringsavverkning</t>
        </is>
      </c>
      <c r="D503" s="1" t="n">
        <v>44678</v>
      </c>
      <c r="E503" s="1" t="n">
        <v>46217</v>
      </c>
      <c r="F503" t="inlineStr">
        <is>
          <t>DALARNAS LÄN</t>
        </is>
      </c>
      <c r="G503" t="inlineStr">
        <is>
          <t>ÄLVDALEN</t>
        </is>
      </c>
      <c r="I503" t="n">
        <v>4.4</v>
      </c>
      <c r="J503" t="n">
        <v>0</v>
      </c>
      <c r="K503" t="n">
        <v>0</v>
      </c>
      <c r="L503" t="n">
        <v>0</v>
      </c>
      <c r="M503" t="n">
        <v>0</v>
      </c>
      <c r="N503" t="n">
        <v>0</v>
      </c>
      <c r="O503" t="n">
        <v>0</v>
      </c>
      <c r="P503" t="n">
        <v>0</v>
      </c>
      <c r="Q503" t="n">
        <v>0</v>
      </c>
      <c r="R503" t="n">
        <v>0</v>
      </c>
      <c r="S503" t="n">
        <v>0</v>
      </c>
      <c r="T503" t="n">
        <v>0</v>
      </c>
      <c r="U503" s="2" t="inlineStr"/>
    </row>
    <row r="504" ht="15" customHeight="1">
      <c r="A504" t="inlineStr">
        <is>
          <t>A 46409-2025</t>
        </is>
      </c>
      <c r="B504" t="inlineStr">
        <is>
          <t>avverkningsanmälan</t>
        </is>
      </c>
      <c r="C504" t="inlineStr">
        <is>
          <t>Föryngringsavverkning</t>
        </is>
      </c>
      <c r="D504" s="1" t="n">
        <v>45925</v>
      </c>
      <c r="E504" s="1" t="n">
        <v>46217</v>
      </c>
      <c r="F504" t="inlineStr">
        <is>
          <t>DALARNAS LÄN</t>
        </is>
      </c>
      <c r="G504" t="inlineStr">
        <is>
          <t>ÄLVDALEN</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54219-2025</t>
        </is>
      </c>
      <c r="B505" t="inlineStr">
        <is>
          <t>avverkningsanmälan</t>
        </is>
      </c>
      <c r="C505" t="inlineStr">
        <is>
          <t>Föryngringsavverkning</t>
        </is>
      </c>
      <c r="D505" s="1" t="n">
        <v>45964</v>
      </c>
      <c r="E505" s="1" t="n">
        <v>46217</v>
      </c>
      <c r="F505" t="inlineStr">
        <is>
          <t>DALARNAS LÄN</t>
        </is>
      </c>
      <c r="G505" t="inlineStr">
        <is>
          <t>ÄLVDALEN</t>
        </is>
      </c>
      <c r="I505" t="n">
        <v>11.5</v>
      </c>
      <c r="J505" t="n">
        <v>0</v>
      </c>
      <c r="K505" t="n">
        <v>0</v>
      </c>
      <c r="L505" t="n">
        <v>0</v>
      </c>
      <c r="M505" t="n">
        <v>0</v>
      </c>
      <c r="N505" t="n">
        <v>0</v>
      </c>
      <c r="O505" t="n">
        <v>0</v>
      </c>
      <c r="P505" t="n">
        <v>0</v>
      </c>
      <c r="Q505" t="n">
        <v>0</v>
      </c>
      <c r="R505" t="n">
        <v>0</v>
      </c>
      <c r="S505" t="n">
        <v>0</v>
      </c>
      <c r="T505" t="n">
        <v>0</v>
      </c>
      <c r="U505" s="2" t="inlineStr"/>
    </row>
    <row r="506" ht="15" customHeight="1">
      <c r="A506" t="inlineStr">
        <is>
          <t>A 61450-2022</t>
        </is>
      </c>
      <c r="B506" t="inlineStr">
        <is>
          <t>avverkningsanmälan</t>
        </is>
      </c>
      <c r="C506" t="inlineStr">
        <is>
          <t>Föryngringsavverkning</t>
        </is>
      </c>
      <c r="D506" s="1" t="n">
        <v>44910</v>
      </c>
      <c r="E506" s="1" t="n">
        <v>46217</v>
      </c>
      <c r="F506" t="inlineStr">
        <is>
          <t>DALARNAS LÄN</t>
        </is>
      </c>
      <c r="G506" t="inlineStr">
        <is>
          <t>ÄLVDALEN</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25053-2026</t>
        </is>
      </c>
      <c r="B507" t="inlineStr">
        <is>
          <t>avverkningsanmälan</t>
        </is>
      </c>
      <c r="C507" t="inlineStr">
        <is>
          <t>Föryngringsavverkning</t>
        </is>
      </c>
      <c r="D507" s="1" t="n">
        <v>46174</v>
      </c>
      <c r="E507" s="1" t="n">
        <v>46217</v>
      </c>
      <c r="F507" t="inlineStr">
        <is>
          <t>DALARNAS LÄN</t>
        </is>
      </c>
      <c r="G507" t="inlineStr">
        <is>
          <t>ÄLVDALEN</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59207-2022</t>
        </is>
      </c>
      <c r="B508" t="inlineStr">
        <is>
          <t>avverkningsanmälan</t>
        </is>
      </c>
      <c r="C508" t="inlineStr">
        <is>
          <t>Föryngringsavverkning</t>
        </is>
      </c>
      <c r="D508" s="1" t="n">
        <v>44904</v>
      </c>
      <c r="E508" s="1" t="n">
        <v>46217</v>
      </c>
      <c r="F508" t="inlineStr">
        <is>
          <t>DALARNAS LÄN</t>
        </is>
      </c>
      <c r="G508" t="inlineStr">
        <is>
          <t>ÄLVDALEN</t>
        </is>
      </c>
      <c r="I508" t="n">
        <v>4.7</v>
      </c>
      <c r="J508" t="n">
        <v>0</v>
      </c>
      <c r="K508" t="n">
        <v>0</v>
      </c>
      <c r="L508" t="n">
        <v>0</v>
      </c>
      <c r="M508" t="n">
        <v>0</v>
      </c>
      <c r="N508" t="n">
        <v>0</v>
      </c>
      <c r="O508" t="n">
        <v>0</v>
      </c>
      <c r="P508" t="n">
        <v>0</v>
      </c>
      <c r="Q508" t="n">
        <v>0</v>
      </c>
      <c r="R508" t="n">
        <v>0</v>
      </c>
      <c r="S508" t="n">
        <v>0</v>
      </c>
      <c r="T508" t="n">
        <v>0</v>
      </c>
      <c r="U508" s="2" t="inlineStr"/>
    </row>
    <row r="509" ht="15" customHeight="1">
      <c r="A509" t="inlineStr">
        <is>
          <t>A 57821-2023</t>
        </is>
      </c>
      <c r="B509" t="inlineStr">
        <is>
          <t>avverkningsanmälan</t>
        </is>
      </c>
      <c r="C509" t="inlineStr">
        <is>
          <t>Föryngringsavverkning</t>
        </is>
      </c>
      <c r="D509" s="1" t="n">
        <v>45247</v>
      </c>
      <c r="E509" s="1" t="n">
        <v>46217</v>
      </c>
      <c r="F509" t="inlineStr">
        <is>
          <t>DALARNAS LÄN</t>
        </is>
      </c>
      <c r="G509" t="inlineStr">
        <is>
          <t>ÄLVDALEN</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57467-2023</t>
        </is>
      </c>
      <c r="B510" t="inlineStr">
        <is>
          <t>avverkningsanmälan</t>
        </is>
      </c>
      <c r="C510" t="inlineStr">
        <is>
          <t>Föryngringsavverkning</t>
        </is>
      </c>
      <c r="D510" s="1" t="n">
        <v>45246</v>
      </c>
      <c r="E510" s="1" t="n">
        <v>46217</v>
      </c>
      <c r="F510" t="inlineStr">
        <is>
          <t>DALARNAS LÄN</t>
        </is>
      </c>
      <c r="G510" t="inlineStr">
        <is>
          <t>ÄLVDALEN</t>
        </is>
      </c>
      <c r="I510" t="n">
        <v>0.2</v>
      </c>
      <c r="J510" t="n">
        <v>0</v>
      </c>
      <c r="K510" t="n">
        <v>0</v>
      </c>
      <c r="L510" t="n">
        <v>0</v>
      </c>
      <c r="M510" t="n">
        <v>0</v>
      </c>
      <c r="N510" t="n">
        <v>0</v>
      </c>
      <c r="O510" t="n">
        <v>0</v>
      </c>
      <c r="P510" t="n">
        <v>0</v>
      </c>
      <c r="Q510" t="n">
        <v>0</v>
      </c>
      <c r="R510" t="n">
        <v>0</v>
      </c>
      <c r="S510" t="n">
        <v>0</v>
      </c>
      <c r="T510" t="n">
        <v>0</v>
      </c>
      <c r="U510" s="2" t="inlineStr"/>
    </row>
    <row r="511" ht="15" customHeight="1">
      <c r="A511" t="inlineStr">
        <is>
          <t>A 22847-2023</t>
        </is>
      </c>
      <c r="B511" t="inlineStr">
        <is>
          <t>avverkningsanmälan</t>
        </is>
      </c>
      <c r="C511" t="inlineStr">
        <is>
          <t>Föryngringsavverkning</t>
        </is>
      </c>
      <c r="D511" s="1" t="n">
        <v>45072</v>
      </c>
      <c r="E511" s="1" t="n">
        <v>46217</v>
      </c>
      <c r="F511" t="inlineStr">
        <is>
          <t>DALARNAS LÄN</t>
        </is>
      </c>
      <c r="G511" t="inlineStr">
        <is>
          <t>ÄLVDALEN</t>
        </is>
      </c>
      <c r="H511" t="inlineStr">
        <is>
          <t>Bergvik skog väst AB</t>
        </is>
      </c>
      <c r="I511" t="n">
        <v>8.1</v>
      </c>
      <c r="J511" t="n">
        <v>0</v>
      </c>
      <c r="K511" t="n">
        <v>0</v>
      </c>
      <c r="L511" t="n">
        <v>0</v>
      </c>
      <c r="M511" t="n">
        <v>0</v>
      </c>
      <c r="N511" t="n">
        <v>0</v>
      </c>
      <c r="O511" t="n">
        <v>0</v>
      </c>
      <c r="P511" t="n">
        <v>0</v>
      </c>
      <c r="Q511" t="n">
        <v>0</v>
      </c>
      <c r="R511" t="n">
        <v>0</v>
      </c>
      <c r="S511" t="n">
        <v>0</v>
      </c>
      <c r="T511" t="n">
        <v>0</v>
      </c>
      <c r="U511" s="2" t="inlineStr"/>
    </row>
    <row r="512" ht="15" customHeight="1">
      <c r="A512" t="inlineStr">
        <is>
          <t>A 42426-2023</t>
        </is>
      </c>
      <c r="B512" t="inlineStr">
        <is>
          <t>avverkningsanmälan</t>
        </is>
      </c>
      <c r="C512" t="inlineStr">
        <is>
          <t>Föryngringsavverkning</t>
        </is>
      </c>
      <c r="D512" s="1" t="n">
        <v>45175</v>
      </c>
      <c r="E512" s="1" t="n">
        <v>46217</v>
      </c>
      <c r="F512" t="inlineStr">
        <is>
          <t>DALARNAS LÄN</t>
        </is>
      </c>
      <c r="G512" t="inlineStr">
        <is>
          <t>ÄLVDALEN</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29710-2022</t>
        </is>
      </c>
      <c r="B513" t="inlineStr">
        <is>
          <t>avverkningsanmälan</t>
        </is>
      </c>
      <c r="C513" t="inlineStr">
        <is>
          <t>Föryngringsavverkning</t>
        </is>
      </c>
      <c r="D513" s="1" t="n">
        <v>44755</v>
      </c>
      <c r="E513" s="1" t="n">
        <v>46217</v>
      </c>
      <c r="F513" t="inlineStr">
        <is>
          <t>DALARNAS LÄN</t>
        </is>
      </c>
      <c r="G513" t="inlineStr">
        <is>
          <t>ÄLVDALEN</t>
        </is>
      </c>
      <c r="H513" t="inlineStr">
        <is>
          <t>Sveaskog</t>
        </is>
      </c>
      <c r="I513" t="n">
        <v>9.1</v>
      </c>
      <c r="J513" t="n">
        <v>0</v>
      </c>
      <c r="K513" t="n">
        <v>0</v>
      </c>
      <c r="L513" t="n">
        <v>0</v>
      </c>
      <c r="M513" t="n">
        <v>0</v>
      </c>
      <c r="N513" t="n">
        <v>0</v>
      </c>
      <c r="O513" t="n">
        <v>0</v>
      </c>
      <c r="P513" t="n">
        <v>0</v>
      </c>
      <c r="Q513" t="n">
        <v>0</v>
      </c>
      <c r="R513" t="n">
        <v>0</v>
      </c>
      <c r="S513" t="n">
        <v>0</v>
      </c>
      <c r="T513" t="n">
        <v>0</v>
      </c>
      <c r="U513" s="2" t="inlineStr"/>
    </row>
    <row r="514" ht="15" customHeight="1">
      <c r="A514" t="inlineStr">
        <is>
          <t>A 60642-2021</t>
        </is>
      </c>
      <c r="B514" t="inlineStr">
        <is>
          <t>avverkningsanmälan</t>
        </is>
      </c>
      <c r="C514" t="inlineStr">
        <is>
          <t>Föryngringsavverkning</t>
        </is>
      </c>
      <c r="D514" s="1" t="n">
        <v>44496</v>
      </c>
      <c r="E514" s="1" t="n">
        <v>46217</v>
      </c>
      <c r="F514" t="inlineStr">
        <is>
          <t>DALARNAS LÄN</t>
        </is>
      </c>
      <c r="G514" t="inlineStr">
        <is>
          <t>ÄLVDALEN</t>
        </is>
      </c>
      <c r="H514" t="inlineStr">
        <is>
          <t>Allmännings- och besparingsskogar</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49906-2024</t>
        </is>
      </c>
      <c r="B515" t="inlineStr">
        <is>
          <t>avverkningsanmälan</t>
        </is>
      </c>
      <c r="C515" t="inlineStr">
        <is>
          <t>Föryngringsavverkning</t>
        </is>
      </c>
      <c r="D515" s="1" t="n">
        <v>45597</v>
      </c>
      <c r="E515" s="1" t="n">
        <v>46217</v>
      </c>
      <c r="F515" t="inlineStr">
        <is>
          <t>DALARNAS LÄN</t>
        </is>
      </c>
      <c r="G515" t="inlineStr">
        <is>
          <t>ÄLVDALEN</t>
        </is>
      </c>
      <c r="I515" t="n">
        <v>4.2</v>
      </c>
      <c r="J515" t="n">
        <v>0</v>
      </c>
      <c r="K515" t="n">
        <v>0</v>
      </c>
      <c r="L515" t="n">
        <v>0</v>
      </c>
      <c r="M515" t="n">
        <v>0</v>
      </c>
      <c r="N515" t="n">
        <v>0</v>
      </c>
      <c r="O515" t="n">
        <v>0</v>
      </c>
      <c r="P515" t="n">
        <v>0</v>
      </c>
      <c r="Q515" t="n">
        <v>0</v>
      </c>
      <c r="R515" t="n">
        <v>0</v>
      </c>
      <c r="S515" t="n">
        <v>0</v>
      </c>
      <c r="T515" t="n">
        <v>0</v>
      </c>
      <c r="U515" s="2" t="inlineStr"/>
    </row>
    <row r="516" ht="15" customHeight="1">
      <c r="A516" t="inlineStr">
        <is>
          <t>A 8784-2024</t>
        </is>
      </c>
      <c r="B516" t="inlineStr">
        <is>
          <t>avverkningsanmälan</t>
        </is>
      </c>
      <c r="C516" t="inlineStr">
        <is>
          <t>Föryngringsavverkning</t>
        </is>
      </c>
      <c r="D516" s="1" t="n">
        <v>45356</v>
      </c>
      <c r="E516" s="1" t="n">
        <v>46217</v>
      </c>
      <c r="F516" t="inlineStr">
        <is>
          <t>DALARNAS LÄN</t>
        </is>
      </c>
      <c r="G516" t="inlineStr">
        <is>
          <t>ÄLVDALEN</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31857-2023</t>
        </is>
      </c>
      <c r="B517" t="inlineStr">
        <is>
          <t>avverkningsanmälan</t>
        </is>
      </c>
      <c r="C517" t="inlineStr">
        <is>
          <t>Föryngringsavverkning</t>
        </is>
      </c>
      <c r="D517" s="1" t="n">
        <v>45106</v>
      </c>
      <c r="E517" s="1" t="n">
        <v>46217</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55589-2022</t>
        </is>
      </c>
      <c r="B518" t="inlineStr">
        <is>
          <t>avverkningsanmälan</t>
        </is>
      </c>
      <c r="C518" t="inlineStr">
        <is>
          <t>Föryngringsavverkning</t>
        </is>
      </c>
      <c r="D518" s="1" t="n">
        <v>44888</v>
      </c>
      <c r="E518" s="1" t="n">
        <v>46217</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29819-2024</t>
        </is>
      </c>
      <c r="B519" t="inlineStr">
        <is>
          <t>avverkningsanmälan</t>
        </is>
      </c>
      <c r="C519" t="inlineStr">
        <is>
          <t>Föryngringsavverkning</t>
        </is>
      </c>
      <c r="D519" s="1" t="n">
        <v>45485</v>
      </c>
      <c r="E519" s="1" t="n">
        <v>46217</v>
      </c>
      <c r="F519" t="inlineStr">
        <is>
          <t>DALARNAS LÄN</t>
        </is>
      </c>
      <c r="G519" t="inlineStr">
        <is>
          <t>ÄLVDALEN</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52107-2022</t>
        </is>
      </c>
      <c r="B520" t="inlineStr">
        <is>
          <t>avverkningsanmälan</t>
        </is>
      </c>
      <c r="C520" t="inlineStr">
        <is>
          <t>Föryngringsavverkning</t>
        </is>
      </c>
      <c r="D520" s="1" t="n">
        <v>44873</v>
      </c>
      <c r="E520" s="1" t="n">
        <v>46217</v>
      </c>
      <c r="F520" t="inlineStr">
        <is>
          <t>DALARNAS LÄN</t>
        </is>
      </c>
      <c r="G520" t="inlineStr">
        <is>
          <t>ÄLVDALEN</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59547-2023</t>
        </is>
      </c>
      <c r="B521" t="inlineStr">
        <is>
          <t>avverkningsanmälan</t>
        </is>
      </c>
      <c r="C521" t="inlineStr">
        <is>
          <t>Föryngringsavverkning</t>
        </is>
      </c>
      <c r="D521" s="1" t="n">
        <v>45254</v>
      </c>
      <c r="E521" s="1" t="n">
        <v>46217</v>
      </c>
      <c r="F521" t="inlineStr">
        <is>
          <t>DALARNAS LÄN</t>
        </is>
      </c>
      <c r="G521" t="inlineStr">
        <is>
          <t>ÄLVDALEN</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28467-2024</t>
        </is>
      </c>
      <c r="B522" t="inlineStr">
        <is>
          <t>avverkningsanmälan</t>
        </is>
      </c>
      <c r="C522" t="inlineStr">
        <is>
          <t>Föryngringsavverkning</t>
        </is>
      </c>
      <c r="D522" s="1" t="n">
        <v>45477</v>
      </c>
      <c r="E522" s="1" t="n">
        <v>46217</v>
      </c>
      <c r="F522" t="inlineStr">
        <is>
          <t>DALARNAS LÄN</t>
        </is>
      </c>
      <c r="G522" t="inlineStr">
        <is>
          <t>ÄLVDALEN</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46927-2024</t>
        </is>
      </c>
      <c r="B523" t="inlineStr">
        <is>
          <t>avverkningsanmälan</t>
        </is>
      </c>
      <c r="C523" t="inlineStr">
        <is>
          <t>Föryngringsavverkning</t>
        </is>
      </c>
      <c r="D523" s="1" t="n">
        <v>45584</v>
      </c>
      <c r="E523" s="1" t="n">
        <v>46217</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58848-2022</t>
        </is>
      </c>
      <c r="B524" t="inlineStr">
        <is>
          <t>avverkningsanmälan</t>
        </is>
      </c>
      <c r="C524" t="inlineStr">
        <is>
          <t>Avverkning för annat ändamål</t>
        </is>
      </c>
      <c r="D524" s="1" t="n">
        <v>44896</v>
      </c>
      <c r="E524" s="1" t="n">
        <v>46217</v>
      </c>
      <c r="F524" t="inlineStr">
        <is>
          <t>DALARNAS LÄN</t>
        </is>
      </c>
      <c r="G524" t="inlineStr">
        <is>
          <t>ÄLVDALEN</t>
        </is>
      </c>
      <c r="H524" t="inlineStr">
        <is>
          <t>Övriga statliga verk och myndigheter</t>
        </is>
      </c>
      <c r="I524" t="n">
        <v>18.1</v>
      </c>
      <c r="J524" t="n">
        <v>0</v>
      </c>
      <c r="K524" t="n">
        <v>0</v>
      </c>
      <c r="L524" t="n">
        <v>0</v>
      </c>
      <c r="M524" t="n">
        <v>0</v>
      </c>
      <c r="N524" t="n">
        <v>0</v>
      </c>
      <c r="O524" t="n">
        <v>0</v>
      </c>
      <c r="P524" t="n">
        <v>0</v>
      </c>
      <c r="Q524" t="n">
        <v>0</v>
      </c>
      <c r="R524" t="n">
        <v>0</v>
      </c>
      <c r="S524" t="n">
        <v>0</v>
      </c>
      <c r="T524" t="n">
        <v>0</v>
      </c>
      <c r="U524" s="2" t="inlineStr"/>
    </row>
    <row r="525" ht="15" customHeight="1">
      <c r="A525" t="inlineStr">
        <is>
          <t>A 46926-2024</t>
        </is>
      </c>
      <c r="B525" t="inlineStr">
        <is>
          <t>avverkningsanmälan</t>
        </is>
      </c>
      <c r="C525" t="inlineStr">
        <is>
          <t>Föryngringsavverkning</t>
        </is>
      </c>
      <c r="D525" s="1" t="n">
        <v>45584</v>
      </c>
      <c r="E525" s="1" t="n">
        <v>46217</v>
      </c>
      <c r="F525" t="inlineStr">
        <is>
          <t>DALARNAS LÄN</t>
        </is>
      </c>
      <c r="G525" t="inlineStr">
        <is>
          <t>ÄLVDALEN</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14089-2022</t>
        </is>
      </c>
      <c r="B526" t="inlineStr">
        <is>
          <t>avverkningsanmälan</t>
        </is>
      </c>
      <c r="C526" t="inlineStr">
        <is>
          <t>Avverkning för annat ändamål</t>
        </is>
      </c>
      <c r="D526" s="1" t="n">
        <v>44651</v>
      </c>
      <c r="E526" s="1" t="n">
        <v>46217</v>
      </c>
      <c r="F526" t="inlineStr">
        <is>
          <t>DALARNAS LÄN</t>
        </is>
      </c>
      <c r="G526" t="inlineStr">
        <is>
          <t>ÄLVDALEN</t>
        </is>
      </c>
      <c r="H526" t="inlineStr">
        <is>
          <t>Kommuner</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63329-2023</t>
        </is>
      </c>
      <c r="B527" t="inlineStr">
        <is>
          <t>avverkningsanmälan</t>
        </is>
      </c>
      <c r="C527" t="inlineStr">
        <is>
          <t>Föryngringsavverkning</t>
        </is>
      </c>
      <c r="D527" s="1" t="n">
        <v>45274</v>
      </c>
      <c r="E527" s="1" t="n">
        <v>46217</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3903-2024</t>
        </is>
      </c>
      <c r="B528" t="inlineStr">
        <is>
          <t>avverkningsanmälan</t>
        </is>
      </c>
      <c r="C528" t="inlineStr">
        <is>
          <t>Föryngringsavverkning</t>
        </is>
      </c>
      <c r="D528" s="1" t="n">
        <v>45322</v>
      </c>
      <c r="E528" s="1" t="n">
        <v>46217</v>
      </c>
      <c r="F528" t="inlineStr">
        <is>
          <t>DALARNAS LÄN</t>
        </is>
      </c>
      <c r="G528" t="inlineStr">
        <is>
          <t>ÄLVDALEN</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3914-2024</t>
        </is>
      </c>
      <c r="B529" t="inlineStr">
        <is>
          <t>avverkningsanmälan</t>
        </is>
      </c>
      <c r="C529" t="inlineStr">
        <is>
          <t>Föryngringsavverkning</t>
        </is>
      </c>
      <c r="D529" s="1" t="n">
        <v>45322</v>
      </c>
      <c r="E529" s="1" t="n">
        <v>46217</v>
      </c>
      <c r="F529" t="inlineStr">
        <is>
          <t>DALARNAS LÄN</t>
        </is>
      </c>
      <c r="G529" t="inlineStr">
        <is>
          <t>ÄLVDALEN</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39010-2024</t>
        </is>
      </c>
      <c r="B530" t="inlineStr">
        <is>
          <t>avverkningsanmälan</t>
        </is>
      </c>
      <c r="C530" t="inlineStr">
        <is>
          <t>Föryngringsavverkning</t>
        </is>
      </c>
      <c r="D530" s="1" t="n">
        <v>45548</v>
      </c>
      <c r="E530" s="1" t="n">
        <v>46217</v>
      </c>
      <c r="F530" t="inlineStr">
        <is>
          <t>DALARNAS LÄN</t>
        </is>
      </c>
      <c r="G530" t="inlineStr">
        <is>
          <t>ÄLVDALEN</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6791-2025</t>
        </is>
      </c>
      <c r="B531" t="inlineStr">
        <is>
          <t>avverkningsanmälan</t>
        </is>
      </c>
      <c r="C531" t="inlineStr">
        <is>
          <t>Föryngringsavverkning</t>
        </is>
      </c>
      <c r="D531" s="1" t="n">
        <v>45700</v>
      </c>
      <c r="E531" s="1" t="n">
        <v>46217</v>
      </c>
      <c r="F531" t="inlineStr">
        <is>
          <t>DALARNAS LÄN</t>
        </is>
      </c>
      <c r="G531" t="inlineStr">
        <is>
          <t>ÄLVDALEN</t>
        </is>
      </c>
      <c r="I531" t="n">
        <v>30.2</v>
      </c>
      <c r="J531" t="n">
        <v>0</v>
      </c>
      <c r="K531" t="n">
        <v>0</v>
      </c>
      <c r="L531" t="n">
        <v>0</v>
      </c>
      <c r="M531" t="n">
        <v>0</v>
      </c>
      <c r="N531" t="n">
        <v>0</v>
      </c>
      <c r="O531" t="n">
        <v>0</v>
      </c>
      <c r="P531" t="n">
        <v>0</v>
      </c>
      <c r="Q531" t="n">
        <v>0</v>
      </c>
      <c r="R531" t="n">
        <v>0</v>
      </c>
      <c r="S531" t="n">
        <v>0</v>
      </c>
      <c r="T531" t="n">
        <v>0</v>
      </c>
      <c r="U531" s="2" t="inlineStr"/>
    </row>
    <row r="532" ht="15" customHeight="1">
      <c r="A532" t="inlineStr">
        <is>
          <t>A 1804-2024</t>
        </is>
      </c>
      <c r="B532" t="inlineStr">
        <is>
          <t>avverkningsanmälan</t>
        </is>
      </c>
      <c r="C532" t="inlineStr">
        <is>
          <t>Föryngringsavverkning</t>
        </is>
      </c>
      <c r="D532" s="1" t="n">
        <v>45307</v>
      </c>
      <c r="E532" s="1" t="n">
        <v>46217</v>
      </c>
      <c r="F532" t="inlineStr">
        <is>
          <t>DALARNAS LÄN</t>
        </is>
      </c>
      <c r="G532" t="inlineStr">
        <is>
          <t>ÄLVDALEN</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57817-2023</t>
        </is>
      </c>
      <c r="B533" t="inlineStr">
        <is>
          <t>avverkningsanmälan</t>
        </is>
      </c>
      <c r="C533" t="inlineStr">
        <is>
          <t>Föryngringsavverkning</t>
        </is>
      </c>
      <c r="D533" s="1" t="n">
        <v>45247</v>
      </c>
      <c r="E533" s="1" t="n">
        <v>46217</v>
      </c>
      <c r="F533" t="inlineStr">
        <is>
          <t>DALARNAS LÄN</t>
        </is>
      </c>
      <c r="G533" t="inlineStr">
        <is>
          <t>ÄLVDALEN</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28884-2023</t>
        </is>
      </c>
      <c r="B534" t="inlineStr">
        <is>
          <t>avverkningsanmälan</t>
        </is>
      </c>
      <c r="C534" t="inlineStr">
        <is>
          <t>Föryngringsavverkning</t>
        </is>
      </c>
      <c r="D534" s="1" t="n">
        <v>45104</v>
      </c>
      <c r="E534" s="1" t="n">
        <v>46217</v>
      </c>
      <c r="F534" t="inlineStr">
        <is>
          <t>DALARNAS LÄN</t>
        </is>
      </c>
      <c r="G534" t="inlineStr">
        <is>
          <t>ÄLVDALEN</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32838-2023</t>
        </is>
      </c>
      <c r="B535" t="inlineStr">
        <is>
          <t>avverkningsanmälan</t>
        </is>
      </c>
      <c r="C535" t="inlineStr">
        <is>
          <t>Föryngringsavverkning</t>
        </is>
      </c>
      <c r="D535" s="1" t="n">
        <v>45124</v>
      </c>
      <c r="E535" s="1" t="n">
        <v>46217</v>
      </c>
      <c r="F535" t="inlineStr">
        <is>
          <t>DALARNAS LÄN</t>
        </is>
      </c>
      <c r="G535" t="inlineStr">
        <is>
          <t>ÄLVDALEN</t>
        </is>
      </c>
      <c r="I535" t="n">
        <v>3.7</v>
      </c>
      <c r="J535" t="n">
        <v>0</v>
      </c>
      <c r="K535" t="n">
        <v>0</v>
      </c>
      <c r="L535" t="n">
        <v>0</v>
      </c>
      <c r="M535" t="n">
        <v>0</v>
      </c>
      <c r="N535" t="n">
        <v>0</v>
      </c>
      <c r="O535" t="n">
        <v>0</v>
      </c>
      <c r="P535" t="n">
        <v>0</v>
      </c>
      <c r="Q535" t="n">
        <v>0</v>
      </c>
      <c r="R535" t="n">
        <v>0</v>
      </c>
      <c r="S535" t="n">
        <v>0</v>
      </c>
      <c r="T535" t="n">
        <v>0</v>
      </c>
      <c r="U535" s="2" t="inlineStr"/>
    </row>
    <row r="536" ht="15" customHeight="1">
      <c r="A536" t="inlineStr">
        <is>
          <t>A 505-2024</t>
        </is>
      </c>
      <c r="B536" t="inlineStr">
        <is>
          <t>avverkningsanmälan</t>
        </is>
      </c>
      <c r="C536" t="inlineStr">
        <is>
          <t>Föryngringsavverkning</t>
        </is>
      </c>
      <c r="D536" s="1" t="n">
        <v>45299</v>
      </c>
      <c r="E536" s="1" t="n">
        <v>46217</v>
      </c>
      <c r="F536" t="inlineStr">
        <is>
          <t>DALARNAS LÄN</t>
        </is>
      </c>
      <c r="G536" t="inlineStr">
        <is>
          <t>ÄLVDALEN</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48954-2023</t>
        </is>
      </c>
      <c r="B537" t="inlineStr">
        <is>
          <t>avverkningsanmälan</t>
        </is>
      </c>
      <c r="C537" t="inlineStr">
        <is>
          <t>Föryngringsavverkning</t>
        </is>
      </c>
      <c r="D537" s="1" t="n">
        <v>45209</v>
      </c>
      <c r="E537" s="1" t="n">
        <v>46217</v>
      </c>
      <c r="F537" t="inlineStr">
        <is>
          <t>DALARNAS LÄN</t>
        </is>
      </c>
      <c r="G537" t="inlineStr">
        <is>
          <t>ÄLVDALEN</t>
        </is>
      </c>
      <c r="I537" t="n">
        <v>7</v>
      </c>
      <c r="J537" t="n">
        <v>0</v>
      </c>
      <c r="K537" t="n">
        <v>0</v>
      </c>
      <c r="L537" t="n">
        <v>0</v>
      </c>
      <c r="M537" t="n">
        <v>0</v>
      </c>
      <c r="N537" t="n">
        <v>0</v>
      </c>
      <c r="O537" t="n">
        <v>0</v>
      </c>
      <c r="P537" t="n">
        <v>0</v>
      </c>
      <c r="Q537" t="n">
        <v>0</v>
      </c>
      <c r="R537" t="n">
        <v>0</v>
      </c>
      <c r="S537" t="n">
        <v>0</v>
      </c>
      <c r="T537" t="n">
        <v>0</v>
      </c>
      <c r="U537" s="2" t="inlineStr"/>
    </row>
    <row r="538" ht="15" customHeight="1">
      <c r="A538" t="inlineStr">
        <is>
          <t>A 36285-2024</t>
        </is>
      </c>
      <c r="B538" t="inlineStr">
        <is>
          <t>avverkningsanmälan</t>
        </is>
      </c>
      <c r="C538" t="inlineStr">
        <is>
          <t>Föryngringsavverkning</t>
        </is>
      </c>
      <c r="D538" s="1" t="n">
        <v>45534</v>
      </c>
      <c r="E538" s="1" t="n">
        <v>46217</v>
      </c>
      <c r="F538" t="inlineStr">
        <is>
          <t>DALARNAS LÄN</t>
        </is>
      </c>
      <c r="G538" t="inlineStr">
        <is>
          <t>ÄLVDALEN</t>
        </is>
      </c>
      <c r="I538" t="n">
        <v>4.9</v>
      </c>
      <c r="J538" t="n">
        <v>0</v>
      </c>
      <c r="K538" t="n">
        <v>0</v>
      </c>
      <c r="L538" t="n">
        <v>0</v>
      </c>
      <c r="M538" t="n">
        <v>0</v>
      </c>
      <c r="N538" t="n">
        <v>0</v>
      </c>
      <c r="O538" t="n">
        <v>0</v>
      </c>
      <c r="P538" t="n">
        <v>0</v>
      </c>
      <c r="Q538" t="n">
        <v>0</v>
      </c>
      <c r="R538" t="n">
        <v>0</v>
      </c>
      <c r="S538" t="n">
        <v>0</v>
      </c>
      <c r="T538" t="n">
        <v>0</v>
      </c>
      <c r="U538" s="2" t="inlineStr"/>
    </row>
    <row r="539" ht="15" customHeight="1">
      <c r="A539" t="inlineStr">
        <is>
          <t>A 47869-2023</t>
        </is>
      </c>
      <c r="B539" t="inlineStr">
        <is>
          <t>avverkningsanmälan</t>
        </is>
      </c>
      <c r="C539" t="inlineStr">
        <is>
          <t>Föryngringsavverkning</t>
        </is>
      </c>
      <c r="D539" s="1" t="n">
        <v>45204</v>
      </c>
      <c r="E539" s="1" t="n">
        <v>46217</v>
      </c>
      <c r="F539" t="inlineStr">
        <is>
          <t>DALARNAS LÄN</t>
        </is>
      </c>
      <c r="G539" t="inlineStr">
        <is>
          <t>ÄLVDALEN</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59138-2023</t>
        </is>
      </c>
      <c r="B540" t="inlineStr">
        <is>
          <t>avverkningsanmälan</t>
        </is>
      </c>
      <c r="C540" t="inlineStr">
        <is>
          <t>Föryngringsavverkning</t>
        </is>
      </c>
      <c r="D540" s="1" t="n">
        <v>45253</v>
      </c>
      <c r="E540" s="1" t="n">
        <v>46217</v>
      </c>
      <c r="F540" t="inlineStr">
        <is>
          <t>DALARNAS LÄN</t>
        </is>
      </c>
      <c r="G540" t="inlineStr">
        <is>
          <t>ÄLVDALEN</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57470-2023</t>
        </is>
      </c>
      <c r="B541" t="inlineStr">
        <is>
          <t>avverkningsanmälan</t>
        </is>
      </c>
      <c r="C541" t="inlineStr">
        <is>
          <t>Föryngringsavverkning</t>
        </is>
      </c>
      <c r="D541" s="1" t="n">
        <v>45246</v>
      </c>
      <c r="E541" s="1" t="n">
        <v>46217</v>
      </c>
      <c r="F541" t="inlineStr">
        <is>
          <t>DALARNAS LÄN</t>
        </is>
      </c>
      <c r="G541" t="inlineStr">
        <is>
          <t>ÄLVDALEN</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53168-2024</t>
        </is>
      </c>
      <c r="B542" t="inlineStr">
        <is>
          <t>avverkningsanmälan</t>
        </is>
      </c>
      <c r="C542" t="inlineStr">
        <is>
          <t>Föryngringsavverkning</t>
        </is>
      </c>
      <c r="D542" s="1" t="n">
        <v>45611</v>
      </c>
      <c r="E542" s="1" t="n">
        <v>46217</v>
      </c>
      <c r="F542" t="inlineStr">
        <is>
          <t>DALARNAS LÄN</t>
        </is>
      </c>
      <c r="G542" t="inlineStr">
        <is>
          <t>ÄLVDALEN</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21629-2025</t>
        </is>
      </c>
      <c r="B543" t="inlineStr">
        <is>
          <t>avverkningsanmälan</t>
        </is>
      </c>
      <c r="C543" t="inlineStr">
        <is>
          <t>Föryngringsavverkning</t>
        </is>
      </c>
      <c r="D543" s="1" t="n">
        <v>45783</v>
      </c>
      <c r="E543" s="1" t="n">
        <v>46217</v>
      </c>
      <c r="F543" t="inlineStr">
        <is>
          <t>DALARNAS LÄN</t>
        </is>
      </c>
      <c r="G543" t="inlineStr">
        <is>
          <t>ÄLVDALEN</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21613-2025</t>
        </is>
      </c>
      <c r="B544" t="inlineStr">
        <is>
          <t>avverkningsanmälan</t>
        </is>
      </c>
      <c r="C544" t="inlineStr">
        <is>
          <t>Föryngringsavverkning</t>
        </is>
      </c>
      <c r="D544" s="1" t="n">
        <v>45783</v>
      </c>
      <c r="E544" s="1" t="n">
        <v>46217</v>
      </c>
      <c r="F544" t="inlineStr">
        <is>
          <t>DALARNAS LÄN</t>
        </is>
      </c>
      <c r="G544" t="inlineStr">
        <is>
          <t>ÄLVDALEN</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37061-2024</t>
        </is>
      </c>
      <c r="B545" t="inlineStr">
        <is>
          <t>avverkningsanmälan</t>
        </is>
      </c>
      <c r="C545" t="inlineStr">
        <is>
          <t>Föryngringsavverkning</t>
        </is>
      </c>
      <c r="D545" s="1" t="n">
        <v>45539</v>
      </c>
      <c r="E545" s="1" t="n">
        <v>46217</v>
      </c>
      <c r="F545" t="inlineStr">
        <is>
          <t>DALARNAS LÄN</t>
        </is>
      </c>
      <c r="G545" t="inlineStr">
        <is>
          <t>ÄLVDALEN</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7581-2024</t>
        </is>
      </c>
      <c r="B546" t="inlineStr">
        <is>
          <t>avverkningsanmälan</t>
        </is>
      </c>
      <c r="C546" t="inlineStr">
        <is>
          <t>Föryngringsavverkning</t>
        </is>
      </c>
      <c r="D546" s="1" t="n">
        <v>45348</v>
      </c>
      <c r="E546" s="1" t="n">
        <v>46217</v>
      </c>
      <c r="F546" t="inlineStr">
        <is>
          <t>DALARNAS LÄN</t>
        </is>
      </c>
      <c r="G546" t="inlineStr">
        <is>
          <t>ÄLVDALEN</t>
        </is>
      </c>
      <c r="I546" t="n">
        <v>1.5</v>
      </c>
      <c r="J546" t="n">
        <v>0</v>
      </c>
      <c r="K546" t="n">
        <v>0</v>
      </c>
      <c r="L546" t="n">
        <v>0</v>
      </c>
      <c r="M546" t="n">
        <v>0</v>
      </c>
      <c r="N546" t="n">
        <v>0</v>
      </c>
      <c r="O546" t="n">
        <v>0</v>
      </c>
      <c r="P546" t="n">
        <v>0</v>
      </c>
      <c r="Q546" t="n">
        <v>0</v>
      </c>
      <c r="R546" t="n">
        <v>0</v>
      </c>
      <c r="S546" t="n">
        <v>0</v>
      </c>
      <c r="T546" t="n">
        <v>0</v>
      </c>
      <c r="U546" s="2" t="inlineStr"/>
    </row>
    <row r="547" ht="15" customHeight="1">
      <c r="A547" t="inlineStr">
        <is>
          <t>A 32594-2023</t>
        </is>
      </c>
      <c r="B547" t="inlineStr">
        <is>
          <t>avverkningsanmälan</t>
        </is>
      </c>
      <c r="C547" t="inlineStr">
        <is>
          <t>Föryngringsavverkning</t>
        </is>
      </c>
      <c r="D547" s="1" t="n">
        <v>45121</v>
      </c>
      <c r="E547" s="1" t="n">
        <v>46217</v>
      </c>
      <c r="F547" t="inlineStr">
        <is>
          <t>DALARNAS LÄN</t>
        </is>
      </c>
      <c r="G547" t="inlineStr">
        <is>
          <t>ÄLVDALEN</t>
        </is>
      </c>
      <c r="I547" t="n">
        <v>4</v>
      </c>
      <c r="J547" t="n">
        <v>0</v>
      </c>
      <c r="K547" t="n">
        <v>0</v>
      </c>
      <c r="L547" t="n">
        <v>0</v>
      </c>
      <c r="M547" t="n">
        <v>0</v>
      </c>
      <c r="N547" t="n">
        <v>0</v>
      </c>
      <c r="O547" t="n">
        <v>0</v>
      </c>
      <c r="P547" t="n">
        <v>0</v>
      </c>
      <c r="Q547" t="n">
        <v>0</v>
      </c>
      <c r="R547" t="n">
        <v>0</v>
      </c>
      <c r="S547" t="n">
        <v>0</v>
      </c>
      <c r="T547" t="n">
        <v>0</v>
      </c>
      <c r="U547" s="2" t="inlineStr"/>
    </row>
    <row r="548" ht="15" customHeight="1">
      <c r="A548" t="inlineStr">
        <is>
          <t>A 22189-2025</t>
        </is>
      </c>
      <c r="B548" t="inlineStr">
        <is>
          <t>avverkningsanmälan</t>
        </is>
      </c>
      <c r="C548" t="inlineStr">
        <is>
          <t>Föryngringsavverkning</t>
        </is>
      </c>
      <c r="D548" s="1" t="n">
        <v>45785</v>
      </c>
      <c r="E548" s="1" t="n">
        <v>46217</v>
      </c>
      <c r="F548" t="inlineStr">
        <is>
          <t>DALARNAS LÄN</t>
        </is>
      </c>
      <c r="G548" t="inlineStr">
        <is>
          <t>ÄLVDALEN</t>
        </is>
      </c>
      <c r="H548" t="inlineStr">
        <is>
          <t>Sveaskog</t>
        </is>
      </c>
      <c r="I548" t="n">
        <v>1.9</v>
      </c>
      <c r="J548" t="n">
        <v>0</v>
      </c>
      <c r="K548" t="n">
        <v>0</v>
      </c>
      <c r="L548" t="n">
        <v>0</v>
      </c>
      <c r="M548" t="n">
        <v>0</v>
      </c>
      <c r="N548" t="n">
        <v>0</v>
      </c>
      <c r="O548" t="n">
        <v>0</v>
      </c>
      <c r="P548" t="n">
        <v>0</v>
      </c>
      <c r="Q548" t="n">
        <v>0</v>
      </c>
      <c r="R548" t="n">
        <v>0</v>
      </c>
      <c r="S548" t="n">
        <v>0</v>
      </c>
      <c r="T548" t="n">
        <v>0</v>
      </c>
      <c r="U548" s="2" t="inlineStr"/>
    </row>
    <row r="549" ht="15" customHeight="1">
      <c r="A549" t="inlineStr">
        <is>
          <t>A 19708-2024</t>
        </is>
      </c>
      <c r="B549" t="inlineStr">
        <is>
          <t>avverkningsanmälan</t>
        </is>
      </c>
      <c r="C549" t="inlineStr">
        <is>
          <t>Föryngringsavverkning</t>
        </is>
      </c>
      <c r="D549" s="1" t="n">
        <v>45432</v>
      </c>
      <c r="E549" s="1" t="n">
        <v>46217</v>
      </c>
      <c r="F549" t="inlineStr">
        <is>
          <t>DALARNAS LÄN</t>
        </is>
      </c>
      <c r="G549" t="inlineStr">
        <is>
          <t>ÄLVDALEN</t>
        </is>
      </c>
      <c r="I549" t="n">
        <v>12.4</v>
      </c>
      <c r="J549" t="n">
        <v>0</v>
      </c>
      <c r="K549" t="n">
        <v>0</v>
      </c>
      <c r="L549" t="n">
        <v>0</v>
      </c>
      <c r="M549" t="n">
        <v>0</v>
      </c>
      <c r="N549" t="n">
        <v>0</v>
      </c>
      <c r="O549" t="n">
        <v>0</v>
      </c>
      <c r="P549" t="n">
        <v>0</v>
      </c>
      <c r="Q549" t="n">
        <v>0</v>
      </c>
      <c r="R549" t="n">
        <v>0</v>
      </c>
      <c r="S549" t="n">
        <v>0</v>
      </c>
      <c r="T549" t="n">
        <v>0</v>
      </c>
      <c r="U549" s="2" t="inlineStr"/>
    </row>
    <row r="550" ht="15" customHeight="1">
      <c r="A550" t="inlineStr">
        <is>
          <t>A 21469-2024</t>
        </is>
      </c>
      <c r="B550" t="inlineStr">
        <is>
          <t>avverkningsanmälan</t>
        </is>
      </c>
      <c r="C550" t="inlineStr">
        <is>
          <t>Föryngringsavverkning</t>
        </is>
      </c>
      <c r="D550" s="1" t="n">
        <v>45441</v>
      </c>
      <c r="E550" s="1" t="n">
        <v>46217</v>
      </c>
      <c r="F550" t="inlineStr">
        <is>
          <t>DALARNAS LÄN</t>
        </is>
      </c>
      <c r="G550" t="inlineStr">
        <is>
          <t>ÄLVDALEN</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51967-2023</t>
        </is>
      </c>
      <c r="B551" t="inlineStr">
        <is>
          <t>avverkningsanmälan</t>
        </is>
      </c>
      <c r="C551" t="inlineStr">
        <is>
          <t>Föryngringsavverkning</t>
        </is>
      </c>
      <c r="D551" s="1" t="n">
        <v>45223</v>
      </c>
      <c r="E551" s="1" t="n">
        <v>46217</v>
      </c>
      <c r="F551" t="inlineStr">
        <is>
          <t>DALARNAS LÄN</t>
        </is>
      </c>
      <c r="G551" t="inlineStr">
        <is>
          <t>ÄLVDALEN</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23328-2024</t>
        </is>
      </c>
      <c r="B552" t="inlineStr">
        <is>
          <t>avverkningsanmälan</t>
        </is>
      </c>
      <c r="C552" t="inlineStr">
        <is>
          <t>Föryngringsavverkning</t>
        </is>
      </c>
      <c r="D552" s="1" t="n">
        <v>45453</v>
      </c>
      <c r="E552" s="1" t="n">
        <v>46217</v>
      </c>
      <c r="F552" t="inlineStr">
        <is>
          <t>DALARNAS LÄN</t>
        </is>
      </c>
      <c r="G552" t="inlineStr">
        <is>
          <t>ÄLVDALEN</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47645-2024</t>
        </is>
      </c>
      <c r="B553" t="inlineStr">
        <is>
          <t>avverkningsanmälan</t>
        </is>
      </c>
      <c r="C553" t="inlineStr">
        <is>
          <t>Föryngringsavverkning</t>
        </is>
      </c>
      <c r="D553" s="1" t="n">
        <v>45588</v>
      </c>
      <c r="E553" s="1" t="n">
        <v>46217</v>
      </c>
      <c r="F553" t="inlineStr">
        <is>
          <t>DALARNAS LÄN</t>
        </is>
      </c>
      <c r="G553" t="inlineStr">
        <is>
          <t>ÄLVDALEN</t>
        </is>
      </c>
      <c r="I553" t="n">
        <v>4.6</v>
      </c>
      <c r="J553" t="n">
        <v>0</v>
      </c>
      <c r="K553" t="n">
        <v>0</v>
      </c>
      <c r="L553" t="n">
        <v>0</v>
      </c>
      <c r="M553" t="n">
        <v>0</v>
      </c>
      <c r="N553" t="n">
        <v>0</v>
      </c>
      <c r="O553" t="n">
        <v>0</v>
      </c>
      <c r="P553" t="n">
        <v>0</v>
      </c>
      <c r="Q553" t="n">
        <v>0</v>
      </c>
      <c r="R553" t="n">
        <v>0</v>
      </c>
      <c r="S553" t="n">
        <v>0</v>
      </c>
      <c r="T553" t="n">
        <v>0</v>
      </c>
      <c r="U553" s="2" t="inlineStr"/>
    </row>
    <row r="554" ht="15" customHeight="1">
      <c r="A554" t="inlineStr">
        <is>
          <t>A 24637-2025</t>
        </is>
      </c>
      <c r="B554" t="inlineStr">
        <is>
          <t>avverkningsanmälan</t>
        </is>
      </c>
      <c r="C554" t="inlineStr">
        <is>
          <t>Föryngringsavverkning</t>
        </is>
      </c>
      <c r="D554" s="1" t="n">
        <v>45798</v>
      </c>
      <c r="E554" s="1" t="n">
        <v>46217</v>
      </c>
      <c r="F554" t="inlineStr">
        <is>
          <t>DALARNAS LÄN</t>
        </is>
      </c>
      <c r="G554" t="inlineStr">
        <is>
          <t>ÄLVDALEN</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25086-2025</t>
        </is>
      </c>
      <c r="B555" t="inlineStr">
        <is>
          <t>avverkningsanmälan</t>
        </is>
      </c>
      <c r="C555" t="inlineStr">
        <is>
          <t>Föryngringsavverkning</t>
        </is>
      </c>
      <c r="D555" s="1" t="n">
        <v>45800</v>
      </c>
      <c r="E555" s="1" t="n">
        <v>46217</v>
      </c>
      <c r="F555" t="inlineStr">
        <is>
          <t>DALARNAS LÄN</t>
        </is>
      </c>
      <c r="G555" t="inlineStr">
        <is>
          <t>ÄLVDALEN</t>
        </is>
      </c>
      <c r="H555" t="inlineStr">
        <is>
          <t>Sveaskog</t>
        </is>
      </c>
      <c r="I555" t="n">
        <v>10.7</v>
      </c>
      <c r="J555" t="n">
        <v>0</v>
      </c>
      <c r="K555" t="n">
        <v>0</v>
      </c>
      <c r="L555" t="n">
        <v>0</v>
      </c>
      <c r="M555" t="n">
        <v>0</v>
      </c>
      <c r="N555" t="n">
        <v>0</v>
      </c>
      <c r="O555" t="n">
        <v>0</v>
      </c>
      <c r="P555" t="n">
        <v>0</v>
      </c>
      <c r="Q555" t="n">
        <v>0</v>
      </c>
      <c r="R555" t="n">
        <v>0</v>
      </c>
      <c r="S555" t="n">
        <v>0</v>
      </c>
      <c r="T555" t="n">
        <v>0</v>
      </c>
      <c r="U555" s="2" t="inlineStr"/>
    </row>
    <row r="556" ht="15" customHeight="1">
      <c r="A556" t="inlineStr">
        <is>
          <t>A 25879-2025</t>
        </is>
      </c>
      <c r="B556" t="inlineStr">
        <is>
          <t>avverkningsanmälan</t>
        </is>
      </c>
      <c r="C556" t="inlineStr">
        <is>
          <t>Avverkning för annat ändamål</t>
        </is>
      </c>
      <c r="D556" s="1" t="n">
        <v>45804</v>
      </c>
      <c r="E556" s="1" t="n">
        <v>46217</v>
      </c>
      <c r="F556" t="inlineStr">
        <is>
          <t>DALARNAS LÄN</t>
        </is>
      </c>
      <c r="G556" t="inlineStr">
        <is>
          <t>ÄLVDALEN</t>
        </is>
      </c>
      <c r="H556" t="inlineStr">
        <is>
          <t>Allmännings- och besparingsskogar</t>
        </is>
      </c>
      <c r="I556" t="n">
        <v>0.2</v>
      </c>
      <c r="J556" t="n">
        <v>0</v>
      </c>
      <c r="K556" t="n">
        <v>0</v>
      </c>
      <c r="L556" t="n">
        <v>0</v>
      </c>
      <c r="M556" t="n">
        <v>0</v>
      </c>
      <c r="N556" t="n">
        <v>0</v>
      </c>
      <c r="O556" t="n">
        <v>0</v>
      </c>
      <c r="P556" t="n">
        <v>0</v>
      </c>
      <c r="Q556" t="n">
        <v>0</v>
      </c>
      <c r="R556" t="n">
        <v>0</v>
      </c>
      <c r="S556" t="n">
        <v>0</v>
      </c>
      <c r="T556" t="n">
        <v>0</v>
      </c>
      <c r="U556" s="2" t="inlineStr"/>
    </row>
    <row r="557" ht="15" customHeight="1">
      <c r="A557" t="inlineStr">
        <is>
          <t>A 25823-2025</t>
        </is>
      </c>
      <c r="B557" t="inlineStr">
        <is>
          <t>avverkningsanmälan</t>
        </is>
      </c>
      <c r="C557" t="inlineStr">
        <is>
          <t>Föryngringsavverkning</t>
        </is>
      </c>
      <c r="D557" s="1" t="n">
        <v>45804</v>
      </c>
      <c r="E557" s="1" t="n">
        <v>46217</v>
      </c>
      <c r="F557" t="inlineStr">
        <is>
          <t>DALARNAS LÄN</t>
        </is>
      </c>
      <c r="G557" t="inlineStr">
        <is>
          <t>ÄLVDALEN</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50037-2022</t>
        </is>
      </c>
      <c r="B558" t="inlineStr">
        <is>
          <t>avverkningsanmälan</t>
        </is>
      </c>
      <c r="C558" t="inlineStr">
        <is>
          <t>Föryngringsavverkning</t>
        </is>
      </c>
      <c r="D558" s="1" t="n">
        <v>44865</v>
      </c>
      <c r="E558" s="1" t="n">
        <v>46217</v>
      </c>
      <c r="F558" t="inlineStr">
        <is>
          <t>DALARNAS LÄN</t>
        </is>
      </c>
      <c r="G558" t="inlineStr">
        <is>
          <t>ÄLVDALEN</t>
        </is>
      </c>
      <c r="H558" t="inlineStr">
        <is>
          <t>Allmännings- och besparingsskogar</t>
        </is>
      </c>
      <c r="I558" t="n">
        <v>5.8</v>
      </c>
      <c r="J558" t="n">
        <v>0</v>
      </c>
      <c r="K558" t="n">
        <v>0</v>
      </c>
      <c r="L558" t="n">
        <v>0</v>
      </c>
      <c r="M558" t="n">
        <v>0</v>
      </c>
      <c r="N558" t="n">
        <v>0</v>
      </c>
      <c r="O558" t="n">
        <v>0</v>
      </c>
      <c r="P558" t="n">
        <v>0</v>
      </c>
      <c r="Q558" t="n">
        <v>0</v>
      </c>
      <c r="R558" t="n">
        <v>0</v>
      </c>
      <c r="S558" t="n">
        <v>0</v>
      </c>
      <c r="T558" t="n">
        <v>0</v>
      </c>
      <c r="U558" s="2" t="inlineStr"/>
    </row>
    <row r="559" ht="15" customHeight="1">
      <c r="A559" t="inlineStr">
        <is>
          <t>A 2546-2025</t>
        </is>
      </c>
      <c r="B559" t="inlineStr">
        <is>
          <t>avverkningsanmälan</t>
        </is>
      </c>
      <c r="C559" t="inlineStr">
        <is>
          <t>Föryngringsavverkning</t>
        </is>
      </c>
      <c r="D559" s="1" t="n">
        <v>45674</v>
      </c>
      <c r="E559" s="1" t="n">
        <v>46217</v>
      </c>
      <c r="F559" t="inlineStr">
        <is>
          <t>DALARNAS LÄN</t>
        </is>
      </c>
      <c r="G559" t="inlineStr">
        <is>
          <t>ÄLVDALEN</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27261-2025</t>
        </is>
      </c>
      <c r="B560" t="inlineStr">
        <is>
          <t>avverkningsanmälan</t>
        </is>
      </c>
      <c r="C560" t="inlineStr">
        <is>
          <t>Föryngringsavverkning</t>
        </is>
      </c>
      <c r="D560" s="1" t="n">
        <v>45812</v>
      </c>
      <c r="E560" s="1" t="n">
        <v>46217</v>
      </c>
      <c r="F560" t="inlineStr">
        <is>
          <t>DALARNAS LÄN</t>
        </is>
      </c>
      <c r="G560" t="inlineStr">
        <is>
          <t>ÄLVDALEN</t>
        </is>
      </c>
      <c r="H560" t="inlineStr">
        <is>
          <t>Bergvik skog väst AB</t>
        </is>
      </c>
      <c r="I560" t="n">
        <v>9.5</v>
      </c>
      <c r="J560" t="n">
        <v>0</v>
      </c>
      <c r="K560" t="n">
        <v>0</v>
      </c>
      <c r="L560" t="n">
        <v>0</v>
      </c>
      <c r="M560" t="n">
        <v>0</v>
      </c>
      <c r="N560" t="n">
        <v>0</v>
      </c>
      <c r="O560" t="n">
        <v>0</v>
      </c>
      <c r="P560" t="n">
        <v>0</v>
      </c>
      <c r="Q560" t="n">
        <v>0</v>
      </c>
      <c r="R560" t="n">
        <v>0</v>
      </c>
      <c r="S560" t="n">
        <v>0</v>
      </c>
      <c r="T560" t="n">
        <v>0</v>
      </c>
      <c r="U560" s="2" t="inlineStr"/>
    </row>
    <row r="561" ht="15" customHeight="1">
      <c r="A561" t="inlineStr">
        <is>
          <t>A 7998-2024</t>
        </is>
      </c>
      <c r="B561" t="inlineStr">
        <is>
          <t>avverkningsanmälan</t>
        </is>
      </c>
      <c r="C561" t="inlineStr">
        <is>
          <t>Föryngringsavverkning</t>
        </is>
      </c>
      <c r="D561" s="1" t="n">
        <v>45350</v>
      </c>
      <c r="E561" s="1" t="n">
        <v>46217</v>
      </c>
      <c r="F561" t="inlineStr">
        <is>
          <t>DALARNAS LÄN</t>
        </is>
      </c>
      <c r="G561" t="inlineStr">
        <is>
          <t>ÄLVDALEN</t>
        </is>
      </c>
      <c r="H561" t="inlineStr">
        <is>
          <t>Kommuner</t>
        </is>
      </c>
      <c r="I561" t="n">
        <v>7.9</v>
      </c>
      <c r="J561" t="n">
        <v>0</v>
      </c>
      <c r="K561" t="n">
        <v>0</v>
      </c>
      <c r="L561" t="n">
        <v>0</v>
      </c>
      <c r="M561" t="n">
        <v>0</v>
      </c>
      <c r="N561" t="n">
        <v>0</v>
      </c>
      <c r="O561" t="n">
        <v>0</v>
      </c>
      <c r="P561" t="n">
        <v>0</v>
      </c>
      <c r="Q561" t="n">
        <v>0</v>
      </c>
      <c r="R561" t="n">
        <v>0</v>
      </c>
      <c r="S561" t="n">
        <v>0</v>
      </c>
      <c r="T561" t="n">
        <v>0</v>
      </c>
      <c r="U561" s="2" t="inlineStr"/>
    </row>
    <row r="562" ht="15" customHeight="1">
      <c r="A562" t="inlineStr">
        <is>
          <t>A 3904-2024</t>
        </is>
      </c>
      <c r="B562" t="inlineStr">
        <is>
          <t>avverkningsanmälan</t>
        </is>
      </c>
      <c r="C562" t="inlineStr">
        <is>
          <t>Föryngringsavverkning</t>
        </is>
      </c>
      <c r="D562" s="1" t="n">
        <v>45322</v>
      </c>
      <c r="E562" s="1" t="n">
        <v>46217</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30502-2025</t>
        </is>
      </c>
      <c r="B563" t="inlineStr">
        <is>
          <t>avverkningsanmälan</t>
        </is>
      </c>
      <c r="C563" t="inlineStr">
        <is>
          <t>Föryngringsavverkning</t>
        </is>
      </c>
      <c r="D563" s="1" t="n">
        <v>45830</v>
      </c>
      <c r="E563" s="1" t="n">
        <v>46217</v>
      </c>
      <c r="F563" t="inlineStr">
        <is>
          <t>DALARNAS LÄN</t>
        </is>
      </c>
      <c r="G563" t="inlineStr">
        <is>
          <t>ÄLVDALEN</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32063-2025</t>
        </is>
      </c>
      <c r="B564" t="inlineStr">
        <is>
          <t>avverkningsanmälan</t>
        </is>
      </c>
      <c r="C564" t="inlineStr">
        <is>
          <t>Föryngringsavverkning</t>
        </is>
      </c>
      <c r="D564" s="1" t="n">
        <v>45835</v>
      </c>
      <c r="E564" s="1" t="n">
        <v>46217</v>
      </c>
      <c r="F564" t="inlineStr">
        <is>
          <t>DALARNAS LÄN</t>
        </is>
      </c>
      <c r="G564" t="inlineStr">
        <is>
          <t>ÄLVDALEN</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32668-2025</t>
        </is>
      </c>
      <c r="B565" t="inlineStr">
        <is>
          <t>avverkningsanmälan</t>
        </is>
      </c>
      <c r="C565" t="inlineStr">
        <is>
          <t>Föryngringsavverkning</t>
        </is>
      </c>
      <c r="D565" s="1" t="n">
        <v>45838</v>
      </c>
      <c r="E565" s="1" t="n">
        <v>46217</v>
      </c>
      <c r="F565" t="inlineStr">
        <is>
          <t>DALARNAS LÄN</t>
        </is>
      </c>
      <c r="G565" t="inlineStr">
        <is>
          <t>ÄLVDALEN</t>
        </is>
      </c>
      <c r="H565" t="inlineStr">
        <is>
          <t>Övriga Aktiebolag</t>
        </is>
      </c>
      <c r="I565" t="n">
        <v>29.5</v>
      </c>
      <c r="J565" t="n">
        <v>0</v>
      </c>
      <c r="K565" t="n">
        <v>0</v>
      </c>
      <c r="L565" t="n">
        <v>0</v>
      </c>
      <c r="M565" t="n">
        <v>0</v>
      </c>
      <c r="N565" t="n">
        <v>0</v>
      </c>
      <c r="O565" t="n">
        <v>0</v>
      </c>
      <c r="P565" t="n">
        <v>0</v>
      </c>
      <c r="Q565" t="n">
        <v>0</v>
      </c>
      <c r="R565" t="n">
        <v>0</v>
      </c>
      <c r="S565" t="n">
        <v>0</v>
      </c>
      <c r="T565" t="n">
        <v>0</v>
      </c>
      <c r="U565" s="2" t="inlineStr"/>
    </row>
    <row r="566" ht="15" customHeight="1">
      <c r="A566" t="inlineStr">
        <is>
          <t>A 34739-2025</t>
        </is>
      </c>
      <c r="B566" t="inlineStr">
        <is>
          <t>avverkningsanmälan</t>
        </is>
      </c>
      <c r="C566" t="inlineStr">
        <is>
          <t>Föryngringsavverkning</t>
        </is>
      </c>
      <c r="D566" s="1" t="n">
        <v>45848</v>
      </c>
      <c r="E566" s="1" t="n">
        <v>46217</v>
      </c>
      <c r="F566" t="inlineStr">
        <is>
          <t>DALARNAS LÄN</t>
        </is>
      </c>
      <c r="G566" t="inlineStr">
        <is>
          <t>ÄLVDALEN</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34778-2025</t>
        </is>
      </c>
      <c r="B567" t="inlineStr">
        <is>
          <t>avverkningsanmälan</t>
        </is>
      </c>
      <c r="C567" t="inlineStr">
        <is>
          <t>Föryngringsavverkning</t>
        </is>
      </c>
      <c r="D567" s="1" t="n">
        <v>45848</v>
      </c>
      <c r="E567" s="1" t="n">
        <v>46217</v>
      </c>
      <c r="F567" t="inlineStr">
        <is>
          <t>DALARNAS LÄN</t>
        </is>
      </c>
      <c r="G567" t="inlineStr">
        <is>
          <t>ÄLVDALEN</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35993-2025</t>
        </is>
      </c>
      <c r="B568" t="inlineStr">
        <is>
          <t>avverkningsanmälan</t>
        </is>
      </c>
      <c r="C568" t="inlineStr">
        <is>
          <t>Föryngringsavverkning</t>
        </is>
      </c>
      <c r="D568" s="1" t="n">
        <v>45863</v>
      </c>
      <c r="E568" s="1" t="n">
        <v>46217</v>
      </c>
      <c r="F568" t="inlineStr">
        <is>
          <t>DALARNAS LÄN</t>
        </is>
      </c>
      <c r="G568" t="inlineStr">
        <is>
          <t>ÄLVDALEN</t>
        </is>
      </c>
      <c r="H568" t="inlineStr">
        <is>
          <t>Bergvik skog öst AB</t>
        </is>
      </c>
      <c r="I568" t="n">
        <v>6.1</v>
      </c>
      <c r="J568" t="n">
        <v>0</v>
      </c>
      <c r="K568" t="n">
        <v>0</v>
      </c>
      <c r="L568" t="n">
        <v>0</v>
      </c>
      <c r="M568" t="n">
        <v>0</v>
      </c>
      <c r="N568" t="n">
        <v>0</v>
      </c>
      <c r="O568" t="n">
        <v>0</v>
      </c>
      <c r="P568" t="n">
        <v>0</v>
      </c>
      <c r="Q568" t="n">
        <v>0</v>
      </c>
      <c r="R568" t="n">
        <v>0</v>
      </c>
      <c r="S568" t="n">
        <v>0</v>
      </c>
      <c r="T568" t="n">
        <v>0</v>
      </c>
      <c r="U568" s="2" t="inlineStr"/>
    </row>
    <row r="569" ht="15" customHeight="1">
      <c r="A569" t="inlineStr">
        <is>
          <t>A 17558-2024</t>
        </is>
      </c>
      <c r="B569" t="inlineStr">
        <is>
          <t>avverkningsanmälan</t>
        </is>
      </c>
      <c r="C569" t="inlineStr">
        <is>
          <t>Föryngringsavverkning</t>
        </is>
      </c>
      <c r="D569" s="1" t="n">
        <v>45415</v>
      </c>
      <c r="E569" s="1" t="n">
        <v>46217</v>
      </c>
      <c r="F569" t="inlineStr">
        <is>
          <t>DALARNAS LÄN</t>
        </is>
      </c>
      <c r="G569" t="inlineStr">
        <is>
          <t>ÄLVDALEN</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S 1933-2020</t>
        </is>
      </c>
      <c r="B570" t="inlineStr">
        <is>
          <t>samrådsanmälan</t>
        </is>
      </c>
      <c r="C570" t="inlineStr">
        <is>
          <t>Åtgärd i nyckelbiotop</t>
        </is>
      </c>
      <c r="D570" s="1" t="n">
        <v>44083</v>
      </c>
      <c r="E570" s="1" t="n">
        <v>46217</v>
      </c>
      <c r="F570" t="inlineStr">
        <is>
          <t>DALARNAS LÄN</t>
        </is>
      </c>
      <c r="G570" t="inlineStr">
        <is>
          <t>ÄLVDALEN</t>
        </is>
      </c>
      <c r="H570" t="inlineStr">
        <is>
          <t>Allmännings- och besparingsskogar</t>
        </is>
      </c>
      <c r="I570" t="n">
        <v>0.1</v>
      </c>
      <c r="J570" t="n">
        <v>0</v>
      </c>
      <c r="K570" t="n">
        <v>0</v>
      </c>
      <c r="L570" t="n">
        <v>0</v>
      </c>
      <c r="M570" t="n">
        <v>0</v>
      </c>
      <c r="N570" t="n">
        <v>0</v>
      </c>
      <c r="O570" t="n">
        <v>0</v>
      </c>
      <c r="P570" t="n">
        <v>0</v>
      </c>
      <c r="Q570" t="n">
        <v>0</v>
      </c>
      <c r="R570" t="n">
        <v>0</v>
      </c>
      <c r="S570" t="n">
        <v>0</v>
      </c>
      <c r="T570" t="n">
        <v>0</v>
      </c>
      <c r="U570" s="2" t="inlineStr"/>
    </row>
    <row r="571" ht="15" customHeight="1">
      <c r="A571" t="inlineStr">
        <is>
          <t>S 1787-2022</t>
        </is>
      </c>
      <c r="B571" t="inlineStr">
        <is>
          <t>samrådsanmälan</t>
        </is>
      </c>
      <c r="C571" t="inlineStr">
        <is>
          <t>Annan skogsbruksåtgärd</t>
        </is>
      </c>
      <c r="D571" s="1" t="n">
        <v>44637</v>
      </c>
      <c r="E571" s="1" t="n">
        <v>46217</v>
      </c>
      <c r="F571" t="inlineStr">
        <is>
          <t>DALARNAS LÄN</t>
        </is>
      </c>
      <c r="G571" t="inlineStr">
        <is>
          <t>ÄLVDALEN</t>
        </is>
      </c>
      <c r="H571" t="inlineStr">
        <is>
          <t>Övriga statliga verk och myndigheter</t>
        </is>
      </c>
      <c r="I571" t="n">
        <v>85.8</v>
      </c>
      <c r="J571" t="n">
        <v>0</v>
      </c>
      <c r="K571" t="n">
        <v>0</v>
      </c>
      <c r="L571" t="n">
        <v>0</v>
      </c>
      <c r="M571" t="n">
        <v>0</v>
      </c>
      <c r="N571" t="n">
        <v>0</v>
      </c>
      <c r="O571" t="n">
        <v>0</v>
      </c>
      <c r="P571" t="n">
        <v>0</v>
      </c>
      <c r="Q571" t="n">
        <v>0</v>
      </c>
      <c r="R571" t="n">
        <v>0</v>
      </c>
      <c r="S571" t="n">
        <v>0</v>
      </c>
      <c r="T571" t="n">
        <v>0</v>
      </c>
      <c r="U571" s="2" t="inlineStr"/>
    </row>
    <row r="572" ht="15" customHeight="1">
      <c r="A572" t="inlineStr">
        <is>
          <t>S 2469-2022</t>
        </is>
      </c>
      <c r="B572" t="inlineStr">
        <is>
          <t>samrådsanmälan</t>
        </is>
      </c>
      <c r="C572" t="inlineStr">
        <is>
          <t>Skogsgödsling</t>
        </is>
      </c>
      <c r="D572" s="1" t="n">
        <v>44692</v>
      </c>
      <c r="E572" s="1" t="n">
        <v>46217</v>
      </c>
      <c r="F572" t="inlineStr">
        <is>
          <t>DALARNAS LÄN</t>
        </is>
      </c>
      <c r="G572" t="inlineStr">
        <is>
          <t>ÄLVDALEN</t>
        </is>
      </c>
      <c r="H572" t="inlineStr">
        <is>
          <t>Allmännings- och besparingsskogar</t>
        </is>
      </c>
      <c r="I572" t="n">
        <v>10.7</v>
      </c>
      <c r="J572" t="n">
        <v>0</v>
      </c>
      <c r="K572" t="n">
        <v>0</v>
      </c>
      <c r="L572" t="n">
        <v>0</v>
      </c>
      <c r="M572" t="n">
        <v>0</v>
      </c>
      <c r="N572" t="n">
        <v>0</v>
      </c>
      <c r="O572" t="n">
        <v>0</v>
      </c>
      <c r="P572" t="n">
        <v>0</v>
      </c>
      <c r="Q572" t="n">
        <v>0</v>
      </c>
      <c r="R572" t="n">
        <v>0</v>
      </c>
      <c r="S572" t="n">
        <v>0</v>
      </c>
      <c r="T572" t="n">
        <v>0</v>
      </c>
      <c r="U572" s="2" t="inlineStr"/>
    </row>
    <row r="573" ht="15" customHeight="1">
      <c r="A573" t="inlineStr">
        <is>
          <t>S 2476-2022</t>
        </is>
      </c>
      <c r="B573" t="inlineStr">
        <is>
          <t>samrådsanmälan</t>
        </is>
      </c>
      <c r="C573" t="inlineStr">
        <is>
          <t>Skogsgödsling</t>
        </is>
      </c>
      <c r="D573" s="1" t="n">
        <v>44692</v>
      </c>
      <c r="E573" s="1" t="n">
        <v>46217</v>
      </c>
      <c r="F573" t="inlineStr">
        <is>
          <t>DALARNAS LÄN</t>
        </is>
      </c>
      <c r="G573" t="inlineStr">
        <is>
          <t>ÄLVDALEN</t>
        </is>
      </c>
      <c r="H573" t="inlineStr">
        <is>
          <t>Allmännings- och besparingsskogar</t>
        </is>
      </c>
      <c r="I573" t="n">
        <v>83.59999999999999</v>
      </c>
      <c r="J573" t="n">
        <v>0</v>
      </c>
      <c r="K573" t="n">
        <v>0</v>
      </c>
      <c r="L573" t="n">
        <v>0</v>
      </c>
      <c r="M573" t="n">
        <v>0</v>
      </c>
      <c r="N573" t="n">
        <v>0</v>
      </c>
      <c r="O573" t="n">
        <v>0</v>
      </c>
      <c r="P573" t="n">
        <v>0</v>
      </c>
      <c r="Q573" t="n">
        <v>0</v>
      </c>
      <c r="R573" t="n">
        <v>0</v>
      </c>
      <c r="S573" t="n">
        <v>0</v>
      </c>
      <c r="T573" t="n">
        <v>0</v>
      </c>
      <c r="U573" s="2" t="inlineStr"/>
    </row>
    <row r="574" ht="15" customHeight="1">
      <c r="A574" t="inlineStr">
        <is>
          <t>S 2475-2022</t>
        </is>
      </c>
      <c r="B574" t="inlineStr">
        <is>
          <t>samrådsanmälan</t>
        </is>
      </c>
      <c r="C574" t="inlineStr">
        <is>
          <t>Skogsgödsling</t>
        </is>
      </c>
      <c r="D574" s="1" t="n">
        <v>44692</v>
      </c>
      <c r="E574" s="1" t="n">
        <v>46217</v>
      </c>
      <c r="F574" t="inlineStr">
        <is>
          <t>DALARNAS LÄN</t>
        </is>
      </c>
      <c r="G574" t="inlineStr">
        <is>
          <t>ÄLVDALEN</t>
        </is>
      </c>
      <c r="H574" t="inlineStr">
        <is>
          <t>Allmännings- och besparingsskogar</t>
        </is>
      </c>
      <c r="I574" t="n">
        <v>79.8</v>
      </c>
      <c r="J574" t="n">
        <v>0</v>
      </c>
      <c r="K574" t="n">
        <v>0</v>
      </c>
      <c r="L574" t="n">
        <v>0</v>
      </c>
      <c r="M574" t="n">
        <v>0</v>
      </c>
      <c r="N574" t="n">
        <v>0</v>
      </c>
      <c r="O574" t="n">
        <v>0</v>
      </c>
      <c r="P574" t="n">
        <v>0</v>
      </c>
      <c r="Q574" t="n">
        <v>0</v>
      </c>
      <c r="R574" t="n">
        <v>0</v>
      </c>
      <c r="S574" t="n">
        <v>0</v>
      </c>
      <c r="T574" t="n">
        <v>0</v>
      </c>
      <c r="U574" s="2" t="inlineStr"/>
    </row>
    <row r="575" ht="15" customHeight="1">
      <c r="A575" t="inlineStr">
        <is>
          <t>S 3034-2022</t>
        </is>
      </c>
      <c r="B575" t="inlineStr">
        <is>
          <t>samrådsanmälan</t>
        </is>
      </c>
      <c r="C575" t="inlineStr">
        <is>
          <t>Skogsgödsling</t>
        </is>
      </c>
      <c r="D575" s="1" t="n">
        <v>44715</v>
      </c>
      <c r="E575" s="1" t="n">
        <v>46217</v>
      </c>
      <c r="F575" t="inlineStr">
        <is>
          <t>DALARNAS LÄN</t>
        </is>
      </c>
      <c r="G575" t="inlineStr">
        <is>
          <t>ÄLVDALEN</t>
        </is>
      </c>
      <c r="H575" t="inlineStr">
        <is>
          <t>Allmännings- och besparingsskogar</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S 2585-2022</t>
        </is>
      </c>
      <c r="B576" t="inlineStr">
        <is>
          <t>samrådsanmälan</t>
        </is>
      </c>
      <c r="C576" t="inlineStr">
        <is>
          <t>Skogsgödsling</t>
        </is>
      </c>
      <c r="D576" s="1" t="n">
        <v>44698</v>
      </c>
      <c r="E576" s="1" t="n">
        <v>46217</v>
      </c>
      <c r="F576" t="inlineStr">
        <is>
          <t>DALARNAS LÄN</t>
        </is>
      </c>
      <c r="G576" t="inlineStr">
        <is>
          <t>ÄLVDALEN</t>
        </is>
      </c>
      <c r="H576" t="inlineStr">
        <is>
          <t>Allmännings- och besparingsskogar</t>
        </is>
      </c>
      <c r="I576" t="n">
        <v>43.1</v>
      </c>
      <c r="J576" t="n">
        <v>0</v>
      </c>
      <c r="K576" t="n">
        <v>0</v>
      </c>
      <c r="L576" t="n">
        <v>0</v>
      </c>
      <c r="M576" t="n">
        <v>0</v>
      </c>
      <c r="N576" t="n">
        <v>0</v>
      </c>
      <c r="O576" t="n">
        <v>0</v>
      </c>
      <c r="P576" t="n">
        <v>0</v>
      </c>
      <c r="Q576" t="n">
        <v>0</v>
      </c>
      <c r="R576" t="n">
        <v>0</v>
      </c>
      <c r="S576" t="n">
        <v>0</v>
      </c>
      <c r="T576" t="n">
        <v>0</v>
      </c>
      <c r="U576" s="2" t="inlineStr"/>
    </row>
    <row r="577" ht="15" customHeight="1">
      <c r="A577" t="inlineStr">
        <is>
          <t>S 826-2022</t>
        </is>
      </c>
      <c r="B577" t="inlineStr">
        <is>
          <t>samrådsanmälan</t>
        </is>
      </c>
      <c r="C577" t="inlineStr">
        <is>
          <t>Skogsgödsling</t>
        </is>
      </c>
      <c r="D577" s="1" t="n">
        <v>44602</v>
      </c>
      <c r="E577" s="1" t="n">
        <v>46217</v>
      </c>
      <c r="F577" t="inlineStr">
        <is>
          <t>DALARNAS LÄN</t>
        </is>
      </c>
      <c r="G577" t="inlineStr">
        <is>
          <t>ÄLVDALEN</t>
        </is>
      </c>
      <c r="H577" t="inlineStr">
        <is>
          <t>Bergvik skog väst AB</t>
        </is>
      </c>
      <c r="I577" t="n">
        <v>61.8</v>
      </c>
      <c r="J577" t="n">
        <v>0</v>
      </c>
      <c r="K577" t="n">
        <v>0</v>
      </c>
      <c r="L577" t="n">
        <v>0</v>
      </c>
      <c r="M577" t="n">
        <v>0</v>
      </c>
      <c r="N577" t="n">
        <v>0</v>
      </c>
      <c r="O577" t="n">
        <v>0</v>
      </c>
      <c r="P577" t="n">
        <v>0</v>
      </c>
      <c r="Q577" t="n">
        <v>0</v>
      </c>
      <c r="R577" t="n">
        <v>0</v>
      </c>
      <c r="S577" t="n">
        <v>0</v>
      </c>
      <c r="T577" t="n">
        <v>0</v>
      </c>
      <c r="U577" s="2" t="inlineStr"/>
    </row>
    <row r="578" ht="15" customHeight="1">
      <c r="A578" t="inlineStr">
        <is>
          <t>S 817-2022</t>
        </is>
      </c>
      <c r="B578" t="inlineStr">
        <is>
          <t>samrådsanmälan</t>
        </is>
      </c>
      <c r="C578" t="inlineStr">
        <is>
          <t>Skogsgödsling</t>
        </is>
      </c>
      <c r="D578" s="1" t="n">
        <v>44602</v>
      </c>
      <c r="E578" s="1" t="n">
        <v>46217</v>
      </c>
      <c r="F578" t="inlineStr">
        <is>
          <t>DALARNAS LÄN</t>
        </is>
      </c>
      <c r="G578" t="inlineStr">
        <is>
          <t>ÄLVDALEN</t>
        </is>
      </c>
      <c r="H578" t="inlineStr">
        <is>
          <t>Bergvik skog väst AB</t>
        </is>
      </c>
      <c r="I578" t="n">
        <v>252.3</v>
      </c>
      <c r="J578" t="n">
        <v>0</v>
      </c>
      <c r="K578" t="n">
        <v>0</v>
      </c>
      <c r="L578" t="n">
        <v>0</v>
      </c>
      <c r="M578" t="n">
        <v>0</v>
      </c>
      <c r="N578" t="n">
        <v>0</v>
      </c>
      <c r="O578" t="n">
        <v>0</v>
      </c>
      <c r="P578" t="n">
        <v>0</v>
      </c>
      <c r="Q578" t="n">
        <v>0</v>
      </c>
      <c r="R578" t="n">
        <v>0</v>
      </c>
      <c r="S578" t="n">
        <v>0</v>
      </c>
      <c r="T578" t="n">
        <v>0</v>
      </c>
      <c r="U578" s="2" t="inlineStr"/>
    </row>
    <row r="579" ht="15" customHeight="1">
      <c r="A579" t="inlineStr">
        <is>
          <t>S 825-2022</t>
        </is>
      </c>
      <c r="B579" t="inlineStr">
        <is>
          <t>samrådsanmälan</t>
        </is>
      </c>
      <c r="C579" t="inlineStr">
        <is>
          <t>Skogsgödsling</t>
        </is>
      </c>
      <c r="D579" s="1" t="n">
        <v>44602</v>
      </c>
      <c r="E579" s="1" t="n">
        <v>46217</v>
      </c>
      <c r="F579" t="inlineStr">
        <is>
          <t>DALARNAS LÄN</t>
        </is>
      </c>
      <c r="G579" t="inlineStr">
        <is>
          <t>ÄLVDALEN</t>
        </is>
      </c>
      <c r="H579" t="inlineStr">
        <is>
          <t>Bergvik skog väst AB</t>
        </is>
      </c>
      <c r="I579" t="n">
        <v>50</v>
      </c>
      <c r="J579" t="n">
        <v>0</v>
      </c>
      <c r="K579" t="n">
        <v>0</v>
      </c>
      <c r="L579" t="n">
        <v>0</v>
      </c>
      <c r="M579" t="n">
        <v>0</v>
      </c>
      <c r="N579" t="n">
        <v>0</v>
      </c>
      <c r="O579" t="n">
        <v>0</v>
      </c>
      <c r="P579" t="n">
        <v>0</v>
      </c>
      <c r="Q579" t="n">
        <v>0</v>
      </c>
      <c r="R579" t="n">
        <v>0</v>
      </c>
      <c r="S579" t="n">
        <v>0</v>
      </c>
      <c r="T579" t="n">
        <v>0</v>
      </c>
      <c r="U579" s="2" t="inlineStr"/>
    </row>
    <row r="580" ht="15" customHeight="1">
      <c r="A580" t="inlineStr">
        <is>
          <t>S 1885-2022</t>
        </is>
      </c>
      <c r="B580" t="inlineStr">
        <is>
          <t>samrådsanmälan</t>
        </is>
      </c>
      <c r="C580" t="inlineStr">
        <is>
          <t>Dikesrensning</t>
        </is>
      </c>
      <c r="D580" s="1" t="n">
        <v>44662</v>
      </c>
      <c r="E580" s="1" t="n">
        <v>46217</v>
      </c>
      <c r="F580" t="inlineStr">
        <is>
          <t>DALARNAS LÄN</t>
        </is>
      </c>
      <c r="G580" t="inlineStr">
        <is>
          <t>ÄLVDALEN</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S 2878-2022</t>
        </is>
      </c>
      <c r="B581" t="inlineStr">
        <is>
          <t>samrådsanmälan</t>
        </is>
      </c>
      <c r="C581" t="inlineStr">
        <is>
          <t>Skogsgödsling</t>
        </is>
      </c>
      <c r="D581" s="1" t="n">
        <v>44708</v>
      </c>
      <c r="E581" s="1" t="n">
        <v>46217</v>
      </c>
      <c r="F581" t="inlineStr">
        <is>
          <t>DALARNAS LÄN</t>
        </is>
      </c>
      <c r="G581" t="inlineStr">
        <is>
          <t>ÄLVDALEN</t>
        </is>
      </c>
      <c r="H581" t="inlineStr">
        <is>
          <t>Allmännings- och besparingsskogar</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S 675-2024</t>
        </is>
      </c>
      <c r="B582" t="inlineStr">
        <is>
          <t>samrådsanmälan</t>
        </is>
      </c>
      <c r="C582" t="inlineStr">
        <is>
          <t>Skogsgödsling</t>
        </is>
      </c>
      <c r="D582" s="1" t="n">
        <v>45357</v>
      </c>
      <c r="E582" s="1" t="n">
        <v>46217</v>
      </c>
      <c r="F582" t="inlineStr">
        <is>
          <t>DALARNAS LÄN</t>
        </is>
      </c>
      <c r="G582" t="inlineStr">
        <is>
          <t>ÄLVDALEN</t>
        </is>
      </c>
      <c r="H582" t="inlineStr">
        <is>
          <t>Allmännings- och besparingsskogar</t>
        </is>
      </c>
      <c r="I582" t="n">
        <v>8.1</v>
      </c>
      <c r="J582" t="n">
        <v>0</v>
      </c>
      <c r="K582" t="n">
        <v>0</v>
      </c>
      <c r="L582" t="n">
        <v>0</v>
      </c>
      <c r="M582" t="n">
        <v>0</v>
      </c>
      <c r="N582" t="n">
        <v>0</v>
      </c>
      <c r="O582" t="n">
        <v>0</v>
      </c>
      <c r="P582" t="n">
        <v>0</v>
      </c>
      <c r="Q582" t="n">
        <v>0</v>
      </c>
      <c r="R582" t="n">
        <v>0</v>
      </c>
      <c r="S582" t="n">
        <v>0</v>
      </c>
      <c r="T582" t="n">
        <v>0</v>
      </c>
      <c r="U582" s="2" t="inlineStr"/>
    </row>
    <row r="583" ht="15" customHeight="1">
      <c r="A583" t="inlineStr">
        <is>
          <t>S 629-2024</t>
        </is>
      </c>
      <c r="B583" t="inlineStr">
        <is>
          <t>samrådsanmälan</t>
        </is>
      </c>
      <c r="C583" t="inlineStr">
        <is>
          <t>Skogsgödsling</t>
        </is>
      </c>
      <c r="D583" s="1" t="n">
        <v>45355</v>
      </c>
      <c r="E583" s="1" t="n">
        <v>46217</v>
      </c>
      <c r="F583" t="inlineStr">
        <is>
          <t>DALARNAS LÄN</t>
        </is>
      </c>
      <c r="G583" t="inlineStr">
        <is>
          <t>ÄLVDALEN</t>
        </is>
      </c>
      <c r="H583" t="inlineStr">
        <is>
          <t>Allmännings- och besparingsskogar</t>
        </is>
      </c>
      <c r="I583" t="n">
        <v>36.7</v>
      </c>
      <c r="J583" t="n">
        <v>0</v>
      </c>
      <c r="K583" t="n">
        <v>0</v>
      </c>
      <c r="L583" t="n">
        <v>0</v>
      </c>
      <c r="M583" t="n">
        <v>0</v>
      </c>
      <c r="N583" t="n">
        <v>0</v>
      </c>
      <c r="O583" t="n">
        <v>0</v>
      </c>
      <c r="P583" t="n">
        <v>0</v>
      </c>
      <c r="Q583" t="n">
        <v>0</v>
      </c>
      <c r="R583" t="n">
        <v>0</v>
      </c>
      <c r="S583" t="n">
        <v>0</v>
      </c>
      <c r="T583" t="n">
        <v>0</v>
      </c>
      <c r="U583" s="2" t="inlineStr"/>
    </row>
    <row r="584" ht="15" customHeight="1">
      <c r="A584" t="inlineStr">
        <is>
          <t>S 653-2024</t>
        </is>
      </c>
      <c r="B584" t="inlineStr">
        <is>
          <t>samrådsanmälan</t>
        </is>
      </c>
      <c r="C584" t="inlineStr">
        <is>
          <t>Skogsgödsling</t>
        </is>
      </c>
      <c r="D584" s="1" t="n">
        <v>45356</v>
      </c>
      <c r="E584" s="1" t="n">
        <v>46217</v>
      </c>
      <c r="F584" t="inlineStr">
        <is>
          <t>DALARNAS LÄN</t>
        </is>
      </c>
      <c r="G584" t="inlineStr">
        <is>
          <t>ÄLVDALEN</t>
        </is>
      </c>
      <c r="H584" t="inlineStr">
        <is>
          <t>Allmännings- och besparingsskogar</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S 264-2025</t>
        </is>
      </c>
      <c r="B585" t="inlineStr">
        <is>
          <t>samrådsanmälan</t>
        </is>
      </c>
      <c r="C585" t="inlineStr">
        <is>
          <t>Skogsgödsling</t>
        </is>
      </c>
      <c r="D585" s="1" t="n">
        <v>45684</v>
      </c>
      <c r="E585" s="1" t="n">
        <v>46217</v>
      </c>
      <c r="F585" t="inlineStr">
        <is>
          <t>DALARNAS LÄN</t>
        </is>
      </c>
      <c r="G585" t="inlineStr">
        <is>
          <t>ÄLVDALEN</t>
        </is>
      </c>
      <c r="H585" t="inlineStr">
        <is>
          <t>Bergvik skog väst AB</t>
        </is>
      </c>
      <c r="I585" t="n">
        <v>53.3</v>
      </c>
      <c r="J585" t="n">
        <v>0</v>
      </c>
      <c r="K585" t="n">
        <v>0</v>
      </c>
      <c r="L585" t="n">
        <v>0</v>
      </c>
      <c r="M585" t="n">
        <v>0</v>
      </c>
      <c r="N585" t="n">
        <v>0</v>
      </c>
      <c r="O585" t="n">
        <v>0</v>
      </c>
      <c r="P585" t="n">
        <v>0</v>
      </c>
      <c r="Q585" t="n">
        <v>0</v>
      </c>
      <c r="R585" t="n">
        <v>0</v>
      </c>
      <c r="S585" t="n">
        <v>0</v>
      </c>
      <c r="T585" t="n">
        <v>0</v>
      </c>
      <c r="U585" s="2" t="inlineStr"/>
    </row>
    <row r="586" ht="15" customHeight="1">
      <c r="A586" t="inlineStr">
        <is>
          <t>S 655-2024</t>
        </is>
      </c>
      <c r="B586" t="inlineStr">
        <is>
          <t>samrådsanmälan</t>
        </is>
      </c>
      <c r="C586" t="inlineStr">
        <is>
          <t>Skogsgödsling</t>
        </is>
      </c>
      <c r="D586" s="1" t="n">
        <v>45356</v>
      </c>
      <c r="E586" s="1" t="n">
        <v>46217</v>
      </c>
      <c r="F586" t="inlineStr">
        <is>
          <t>DALARNAS LÄN</t>
        </is>
      </c>
      <c r="G586" t="inlineStr">
        <is>
          <t>ÄLVDALEN</t>
        </is>
      </c>
      <c r="H586" t="inlineStr">
        <is>
          <t>Allmännings- och besparingsskogar</t>
        </is>
      </c>
      <c r="I586" t="n">
        <v>15.6</v>
      </c>
      <c r="J586" t="n">
        <v>0</v>
      </c>
      <c r="K586" t="n">
        <v>0</v>
      </c>
      <c r="L586" t="n">
        <v>0</v>
      </c>
      <c r="M586" t="n">
        <v>0</v>
      </c>
      <c r="N586" t="n">
        <v>0</v>
      </c>
      <c r="O586" t="n">
        <v>0</v>
      </c>
      <c r="P586" t="n">
        <v>0</v>
      </c>
      <c r="Q586" t="n">
        <v>0</v>
      </c>
      <c r="R586" t="n">
        <v>0</v>
      </c>
      <c r="S586" t="n">
        <v>0</v>
      </c>
      <c r="T586" t="n">
        <v>0</v>
      </c>
      <c r="U586" s="2" t="inlineStr"/>
    </row>
    <row r="587" ht="15" customHeight="1">
      <c r="A587" t="inlineStr">
        <is>
          <t>S 685-2024</t>
        </is>
      </c>
      <c r="B587" t="inlineStr">
        <is>
          <t>samrådsanmälan</t>
        </is>
      </c>
      <c r="C587" t="inlineStr">
        <is>
          <t>Skogsgödsling</t>
        </is>
      </c>
      <c r="D587" s="1" t="n">
        <v>45359</v>
      </c>
      <c r="E587" s="1" t="n">
        <v>46217</v>
      </c>
      <c r="F587" t="inlineStr">
        <is>
          <t>DALARNAS LÄN</t>
        </is>
      </c>
      <c r="G587" t="inlineStr">
        <is>
          <t>ÄLVDALEN</t>
        </is>
      </c>
      <c r="H587" t="inlineStr">
        <is>
          <t>Allmännings- och besparingsskogar</t>
        </is>
      </c>
      <c r="I587" t="n">
        <v>26.5</v>
      </c>
      <c r="J587" t="n">
        <v>0</v>
      </c>
      <c r="K587" t="n">
        <v>0</v>
      </c>
      <c r="L587" t="n">
        <v>0</v>
      </c>
      <c r="M587" t="n">
        <v>0</v>
      </c>
      <c r="N587" t="n">
        <v>0</v>
      </c>
      <c r="O587" t="n">
        <v>0</v>
      </c>
      <c r="P587" t="n">
        <v>0</v>
      </c>
      <c r="Q587" t="n">
        <v>0</v>
      </c>
      <c r="R587" t="n">
        <v>0</v>
      </c>
      <c r="S587" t="n">
        <v>0</v>
      </c>
      <c r="T587" t="n">
        <v>0</v>
      </c>
      <c r="U587" s="2" t="inlineStr"/>
    </row>
    <row r="588" ht="15" customHeight="1">
      <c r="A588" t="inlineStr">
        <is>
          <t>S 686-2024</t>
        </is>
      </c>
      <c r="B588" t="inlineStr">
        <is>
          <t>samrådsanmälan</t>
        </is>
      </c>
      <c r="C588" t="inlineStr">
        <is>
          <t>Skogsgödsling</t>
        </is>
      </c>
      <c r="D588" s="1" t="n">
        <v>45359</v>
      </c>
      <c r="E588" s="1" t="n">
        <v>46217</v>
      </c>
      <c r="F588" t="inlineStr">
        <is>
          <t>DALARNAS LÄN</t>
        </is>
      </c>
      <c r="G588" t="inlineStr">
        <is>
          <t>ÄLVDALEN</t>
        </is>
      </c>
      <c r="H588" t="inlineStr">
        <is>
          <t>Allmännings- och besparingsskogar</t>
        </is>
      </c>
      <c r="I588" t="n">
        <v>27.5</v>
      </c>
      <c r="J588" t="n">
        <v>0</v>
      </c>
      <c r="K588" t="n">
        <v>0</v>
      </c>
      <c r="L588" t="n">
        <v>0</v>
      </c>
      <c r="M588" t="n">
        <v>0</v>
      </c>
      <c r="N588" t="n">
        <v>0</v>
      </c>
      <c r="O588" t="n">
        <v>0</v>
      </c>
      <c r="P588" t="n">
        <v>0</v>
      </c>
      <c r="Q588" t="n">
        <v>0</v>
      </c>
      <c r="R588" t="n">
        <v>0</v>
      </c>
      <c r="S588" t="n">
        <v>0</v>
      </c>
      <c r="T588" t="n">
        <v>0</v>
      </c>
      <c r="U588" s="2" t="inlineStr"/>
    </row>
    <row r="589" ht="15" customHeight="1">
      <c r="A589" t="inlineStr">
        <is>
          <t>S 624-2024</t>
        </is>
      </c>
      <c r="B589" t="inlineStr">
        <is>
          <t>samrådsanmälan</t>
        </is>
      </c>
      <c r="C589" t="inlineStr">
        <is>
          <t>Skogsgödsling</t>
        </is>
      </c>
      <c r="D589" s="1" t="n">
        <v>45355</v>
      </c>
      <c r="E589" s="1" t="n">
        <v>46217</v>
      </c>
      <c r="F589" t="inlineStr">
        <is>
          <t>DALARNAS LÄN</t>
        </is>
      </c>
      <c r="G589" t="inlineStr">
        <is>
          <t>ÄLVDALEN</t>
        </is>
      </c>
      <c r="H589" t="inlineStr">
        <is>
          <t>Allmännings- och besparingsskogar</t>
        </is>
      </c>
      <c r="I589" t="n">
        <v>24.3</v>
      </c>
      <c r="J589" t="n">
        <v>0</v>
      </c>
      <c r="K589" t="n">
        <v>0</v>
      </c>
      <c r="L589" t="n">
        <v>0</v>
      </c>
      <c r="M589" t="n">
        <v>0</v>
      </c>
      <c r="N589" t="n">
        <v>0</v>
      </c>
      <c r="O589" t="n">
        <v>0</v>
      </c>
      <c r="P589" t="n">
        <v>0</v>
      </c>
      <c r="Q589" t="n">
        <v>0</v>
      </c>
      <c r="R589" t="n">
        <v>0</v>
      </c>
      <c r="S589" t="n">
        <v>0</v>
      </c>
      <c r="T589" t="n">
        <v>0</v>
      </c>
      <c r="U589" s="2" t="inlineStr"/>
    </row>
    <row r="590" ht="15" customHeight="1">
      <c r="A590" t="inlineStr">
        <is>
          <t>S 632-2024</t>
        </is>
      </c>
      <c r="B590" t="inlineStr">
        <is>
          <t>samrådsanmälan</t>
        </is>
      </c>
      <c r="C590" t="inlineStr">
        <is>
          <t>Skogsgödsling</t>
        </is>
      </c>
      <c r="D590" s="1" t="n">
        <v>45355</v>
      </c>
      <c r="E590" s="1" t="n">
        <v>46217</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s="2" t="inlineStr"/>
    </row>
    <row r="591" ht="15" customHeight="1">
      <c r="A591" t="inlineStr">
        <is>
          <t>S 261-2025</t>
        </is>
      </c>
      <c r="B591" t="inlineStr">
        <is>
          <t>samrådsanmälan</t>
        </is>
      </c>
      <c r="C591" t="inlineStr">
        <is>
          <t>Skogsgödsling</t>
        </is>
      </c>
      <c r="D591" s="1" t="n">
        <v>45684</v>
      </c>
      <c r="E591" s="1" t="n">
        <v>46217</v>
      </c>
      <c r="F591" t="inlineStr">
        <is>
          <t>DALARNAS LÄN</t>
        </is>
      </c>
      <c r="G591" t="inlineStr">
        <is>
          <t>ÄLVDALEN</t>
        </is>
      </c>
      <c r="H591" t="inlineStr">
        <is>
          <t>Bergvik skog väst AB</t>
        </is>
      </c>
      <c r="I591" t="n">
        <v>23.5</v>
      </c>
      <c r="J591" t="n">
        <v>0</v>
      </c>
      <c r="K591" t="n">
        <v>0</v>
      </c>
      <c r="L591" t="n">
        <v>0</v>
      </c>
      <c r="M591" t="n">
        <v>0</v>
      </c>
      <c r="N591" t="n">
        <v>0</v>
      </c>
      <c r="O591" t="n">
        <v>0</v>
      </c>
      <c r="P591" t="n">
        <v>0</v>
      </c>
      <c r="Q591" t="n">
        <v>0</v>
      </c>
      <c r="R591" t="n">
        <v>0</v>
      </c>
      <c r="S591" t="n">
        <v>0</v>
      </c>
      <c r="T591" t="n">
        <v>0</v>
      </c>
      <c r="U591" s="2" t="inlineStr"/>
    </row>
    <row r="592" ht="15" customHeight="1">
      <c r="A592" t="inlineStr">
        <is>
          <t>S 4879-2022</t>
        </is>
      </c>
      <c r="B592" t="inlineStr">
        <is>
          <t>samrådsanmälan</t>
        </is>
      </c>
      <c r="C592" t="inlineStr">
        <is>
          <t>Annan skogsbruksåtgärd</t>
        </is>
      </c>
      <c r="D592" s="1" t="n">
        <v>44806</v>
      </c>
      <c r="E592" s="1" t="n">
        <v>46217</v>
      </c>
      <c r="F592" t="inlineStr">
        <is>
          <t>DALARNAS LÄN</t>
        </is>
      </c>
      <c r="G592" t="inlineStr">
        <is>
          <t>ÄLVDALEN</t>
        </is>
      </c>
      <c r="I592" t="n">
        <v>3.4</v>
      </c>
      <c r="J592" t="n">
        <v>0</v>
      </c>
      <c r="K592" t="n">
        <v>0</v>
      </c>
      <c r="L592" t="n">
        <v>0</v>
      </c>
      <c r="M592" t="n">
        <v>0</v>
      </c>
      <c r="N592" t="n">
        <v>0</v>
      </c>
      <c r="O592" t="n">
        <v>0</v>
      </c>
      <c r="P592" t="n">
        <v>0</v>
      </c>
      <c r="Q592" t="n">
        <v>0</v>
      </c>
      <c r="R592" t="n">
        <v>0</v>
      </c>
      <c r="S592" t="n">
        <v>0</v>
      </c>
      <c r="T592" t="n">
        <v>0</v>
      </c>
      <c r="U592" s="2" t="inlineStr"/>
    </row>
    <row r="593" ht="15" customHeight="1">
      <c r="A593" t="inlineStr">
        <is>
          <t>S 652-2024</t>
        </is>
      </c>
      <c r="B593" t="inlineStr">
        <is>
          <t>samrådsanmälan</t>
        </is>
      </c>
      <c r="C593" t="inlineStr">
        <is>
          <t>Skogsgödsling</t>
        </is>
      </c>
      <c r="D593" s="1" t="n">
        <v>45356</v>
      </c>
      <c r="E593" s="1" t="n">
        <v>46217</v>
      </c>
      <c r="F593" t="inlineStr">
        <is>
          <t>DALARNAS LÄN</t>
        </is>
      </c>
      <c r="G593" t="inlineStr">
        <is>
          <t>ÄLVDALEN</t>
        </is>
      </c>
      <c r="H593" t="inlineStr">
        <is>
          <t>Allmännings- och besparingsskogar</t>
        </is>
      </c>
      <c r="I593" t="n">
        <v>44.8</v>
      </c>
      <c r="J593" t="n">
        <v>0</v>
      </c>
      <c r="K593" t="n">
        <v>0</v>
      </c>
      <c r="L593" t="n">
        <v>0</v>
      </c>
      <c r="M593" t="n">
        <v>0</v>
      </c>
      <c r="N593" t="n">
        <v>0</v>
      </c>
      <c r="O593" t="n">
        <v>0</v>
      </c>
      <c r="P593" t="n">
        <v>0</v>
      </c>
      <c r="Q593" t="n">
        <v>0</v>
      </c>
      <c r="R593" t="n">
        <v>0</v>
      </c>
      <c r="S593" t="n">
        <v>0</v>
      </c>
      <c r="T593" t="n">
        <v>0</v>
      </c>
      <c r="U593" s="2" t="inlineStr"/>
    </row>
    <row r="594" ht="15" customHeight="1">
      <c r="A594" t="inlineStr">
        <is>
          <t>S 688-2024</t>
        </is>
      </c>
      <c r="B594" t="inlineStr">
        <is>
          <t>samrådsanmälan</t>
        </is>
      </c>
      <c r="C594" t="inlineStr">
        <is>
          <t>Skogsgödsling</t>
        </is>
      </c>
      <c r="D594" s="1" t="n">
        <v>45359</v>
      </c>
      <c r="E594" s="1" t="n">
        <v>46217</v>
      </c>
      <c r="F594" t="inlineStr">
        <is>
          <t>DALARNAS LÄN</t>
        </is>
      </c>
      <c r="G594" t="inlineStr">
        <is>
          <t>ÄLVDALEN</t>
        </is>
      </c>
      <c r="H594" t="inlineStr">
        <is>
          <t>Allmännings- och besparingsskogar</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S 674-2024</t>
        </is>
      </c>
      <c r="B595" t="inlineStr">
        <is>
          <t>samrådsanmälan</t>
        </is>
      </c>
      <c r="C595" t="inlineStr">
        <is>
          <t>Skogsgödsling</t>
        </is>
      </c>
      <c r="D595" s="1" t="n">
        <v>45357</v>
      </c>
      <c r="E595" s="1" t="n">
        <v>46217</v>
      </c>
      <c r="F595" t="inlineStr">
        <is>
          <t>DALARNAS LÄN</t>
        </is>
      </c>
      <c r="G595" t="inlineStr">
        <is>
          <t>ÄLVDALEN</t>
        </is>
      </c>
      <c r="H595" t="inlineStr">
        <is>
          <t>Allmännings- och besparingsskogar</t>
        </is>
      </c>
      <c r="I595" t="n">
        <v>4.6</v>
      </c>
      <c r="J595" t="n">
        <v>0</v>
      </c>
      <c r="K595" t="n">
        <v>0</v>
      </c>
      <c r="L595" t="n">
        <v>0</v>
      </c>
      <c r="M595" t="n">
        <v>0</v>
      </c>
      <c r="N595" t="n">
        <v>0</v>
      </c>
      <c r="O595" t="n">
        <v>0</v>
      </c>
      <c r="P595" t="n">
        <v>0</v>
      </c>
      <c r="Q595" t="n">
        <v>0</v>
      </c>
      <c r="R595" t="n">
        <v>0</v>
      </c>
      <c r="S595" t="n">
        <v>0</v>
      </c>
      <c r="T595" t="n">
        <v>0</v>
      </c>
      <c r="U595" s="2" t="inlineStr"/>
    </row>
    <row r="596" ht="15" customHeight="1">
      <c r="A596" t="inlineStr">
        <is>
          <t>S 676-2024</t>
        </is>
      </c>
      <c r="B596" t="inlineStr">
        <is>
          <t>samrådsanmälan</t>
        </is>
      </c>
      <c r="C596" t="inlineStr">
        <is>
          <t>Skogsgödsling</t>
        </is>
      </c>
      <c r="D596" s="1" t="n">
        <v>45357</v>
      </c>
      <c r="E596" s="1" t="n">
        <v>46217</v>
      </c>
      <c r="F596" t="inlineStr">
        <is>
          <t>DALARNAS LÄN</t>
        </is>
      </c>
      <c r="G596" t="inlineStr">
        <is>
          <t>ÄLVDALEN</t>
        </is>
      </c>
      <c r="H596" t="inlineStr">
        <is>
          <t>Allmännings- och besparingsskogar</t>
        </is>
      </c>
      <c r="I596" t="n">
        <v>63.5</v>
      </c>
      <c r="J596" t="n">
        <v>0</v>
      </c>
      <c r="K596" t="n">
        <v>0</v>
      </c>
      <c r="L596" t="n">
        <v>0</v>
      </c>
      <c r="M596" t="n">
        <v>0</v>
      </c>
      <c r="N596" t="n">
        <v>0</v>
      </c>
      <c r="O596" t="n">
        <v>0</v>
      </c>
      <c r="P596" t="n">
        <v>0</v>
      </c>
      <c r="Q596" t="n">
        <v>0</v>
      </c>
      <c r="R596" t="n">
        <v>0</v>
      </c>
      <c r="S596" t="n">
        <v>0</v>
      </c>
      <c r="T596" t="n">
        <v>0</v>
      </c>
      <c r="U596" s="2" t="inlineStr"/>
    </row>
    <row r="597" ht="15" customHeight="1">
      <c r="A597" t="inlineStr">
        <is>
          <t>S 650-2024</t>
        </is>
      </c>
      <c r="B597" t="inlineStr">
        <is>
          <t>samrådsanmälan</t>
        </is>
      </c>
      <c r="C597" t="inlineStr">
        <is>
          <t>Skogsgödsling</t>
        </is>
      </c>
      <c r="D597" s="1" t="n">
        <v>45356</v>
      </c>
      <c r="E597" s="1" t="n">
        <v>46217</v>
      </c>
      <c r="F597" t="inlineStr">
        <is>
          <t>DALARNAS LÄN</t>
        </is>
      </c>
      <c r="G597" t="inlineStr">
        <is>
          <t>ÄLVDALEN</t>
        </is>
      </c>
      <c r="H597" t="inlineStr">
        <is>
          <t>Allmännings- och besparingsskogar</t>
        </is>
      </c>
      <c r="I597" t="n">
        <v>10.5</v>
      </c>
      <c r="J597" t="n">
        <v>0</v>
      </c>
      <c r="K597" t="n">
        <v>0</v>
      </c>
      <c r="L597" t="n">
        <v>0</v>
      </c>
      <c r="M597" t="n">
        <v>0</v>
      </c>
      <c r="N597" t="n">
        <v>0</v>
      </c>
      <c r="O597" t="n">
        <v>0</v>
      </c>
      <c r="P597" t="n">
        <v>0</v>
      </c>
      <c r="Q597" t="n">
        <v>0</v>
      </c>
      <c r="R597" t="n">
        <v>0</v>
      </c>
      <c r="S597" t="n">
        <v>0</v>
      </c>
      <c r="T597" t="n">
        <v>0</v>
      </c>
      <c r="U597" s="2" t="inlineStr"/>
    </row>
    <row r="598" ht="15" customHeight="1">
      <c r="A598" t="inlineStr">
        <is>
          <t>S 654-2024</t>
        </is>
      </c>
      <c r="B598" t="inlineStr">
        <is>
          <t>samrådsanmälan</t>
        </is>
      </c>
      <c r="C598" t="inlineStr">
        <is>
          <t>Skogsgödsling</t>
        </is>
      </c>
      <c r="D598" s="1" t="n">
        <v>45356</v>
      </c>
      <c r="E598" s="1" t="n">
        <v>46217</v>
      </c>
      <c r="F598" t="inlineStr">
        <is>
          <t>DALARNAS LÄN</t>
        </is>
      </c>
      <c r="G598" t="inlineStr">
        <is>
          <t>ÄLVDALEN</t>
        </is>
      </c>
      <c r="H598" t="inlineStr">
        <is>
          <t>Allmännings- och besparingsskogar</t>
        </is>
      </c>
      <c r="I598" t="n">
        <v>9.1</v>
      </c>
      <c r="J598" t="n">
        <v>0</v>
      </c>
      <c r="K598" t="n">
        <v>0</v>
      </c>
      <c r="L598" t="n">
        <v>0</v>
      </c>
      <c r="M598" t="n">
        <v>0</v>
      </c>
      <c r="N598" t="n">
        <v>0</v>
      </c>
      <c r="O598" t="n">
        <v>0</v>
      </c>
      <c r="P598" t="n">
        <v>0</v>
      </c>
      <c r="Q598" t="n">
        <v>0</v>
      </c>
      <c r="R598" t="n">
        <v>0</v>
      </c>
      <c r="S598" t="n">
        <v>0</v>
      </c>
      <c r="T598" t="n">
        <v>0</v>
      </c>
      <c r="U598" s="2" t="inlineStr"/>
    </row>
    <row r="599" ht="15" customHeight="1">
      <c r="A599" t="inlineStr">
        <is>
          <t>S 633-2024</t>
        </is>
      </c>
      <c r="B599" t="inlineStr">
        <is>
          <t>samrådsanmälan</t>
        </is>
      </c>
      <c r="C599" t="inlineStr">
        <is>
          <t>Skogsgödsling</t>
        </is>
      </c>
      <c r="D599" s="1" t="n">
        <v>45355</v>
      </c>
      <c r="E599" s="1" t="n">
        <v>46217</v>
      </c>
      <c r="F599" t="inlineStr">
        <is>
          <t>DALARNAS LÄN</t>
        </is>
      </c>
      <c r="G599" t="inlineStr">
        <is>
          <t>ÄLVDALEN</t>
        </is>
      </c>
      <c r="H599" t="inlineStr">
        <is>
          <t>Allmännings- och besparingsskogar</t>
        </is>
      </c>
      <c r="I599" t="n">
        <v>3</v>
      </c>
      <c r="J599" t="n">
        <v>0</v>
      </c>
      <c r="K599" t="n">
        <v>0</v>
      </c>
      <c r="L599" t="n">
        <v>0</v>
      </c>
      <c r="M599" t="n">
        <v>0</v>
      </c>
      <c r="N599" t="n">
        <v>0</v>
      </c>
      <c r="O599" t="n">
        <v>0</v>
      </c>
      <c r="P599" t="n">
        <v>0</v>
      </c>
      <c r="Q599" t="n">
        <v>0</v>
      </c>
      <c r="R599" t="n">
        <v>0</v>
      </c>
      <c r="S599" t="n">
        <v>0</v>
      </c>
      <c r="T599" t="n">
        <v>0</v>
      </c>
      <c r="U599" s="2" t="inlineStr"/>
    </row>
    <row r="600" ht="15" customHeight="1">
      <c r="A600" t="inlineStr">
        <is>
          <t>S 246-2025</t>
        </is>
      </c>
      <c r="B600" t="inlineStr">
        <is>
          <t>samrådsanmälan</t>
        </is>
      </c>
      <c r="C600" t="inlineStr">
        <is>
          <t>Skogsgödsling</t>
        </is>
      </c>
      <c r="D600" s="1" t="n">
        <v>45684</v>
      </c>
      <c r="E600" s="1" t="n">
        <v>46217</v>
      </c>
      <c r="F600" t="inlineStr">
        <is>
          <t>DALARNAS LÄN</t>
        </is>
      </c>
      <c r="G600" t="inlineStr">
        <is>
          <t>ÄLVDALEN</t>
        </is>
      </c>
      <c r="H600" t="inlineStr">
        <is>
          <t>Bergvik skog väst AB</t>
        </is>
      </c>
      <c r="I600" t="n">
        <v>49</v>
      </c>
      <c r="J600" t="n">
        <v>0</v>
      </c>
      <c r="K600" t="n">
        <v>0</v>
      </c>
      <c r="L600" t="n">
        <v>0</v>
      </c>
      <c r="M600" t="n">
        <v>0</v>
      </c>
      <c r="N600" t="n">
        <v>0</v>
      </c>
      <c r="O600" t="n">
        <v>0</v>
      </c>
      <c r="P600" t="n">
        <v>0</v>
      </c>
      <c r="Q600" t="n">
        <v>0</v>
      </c>
      <c r="R600" t="n">
        <v>0</v>
      </c>
      <c r="S600" t="n">
        <v>0</v>
      </c>
      <c r="T600" t="n">
        <v>0</v>
      </c>
      <c r="U600" s="2" t="inlineStr"/>
    </row>
    <row r="601" ht="15" customHeight="1">
      <c r="A601" t="inlineStr">
        <is>
          <t>S 651-2025</t>
        </is>
      </c>
      <c r="B601" t="inlineStr">
        <is>
          <t>samrådsanmälan</t>
        </is>
      </c>
      <c r="C601" t="inlineStr">
        <is>
          <t>Skogsgödsling</t>
        </is>
      </c>
      <c r="D601" s="1" t="n">
        <v>45715</v>
      </c>
      <c r="E601" s="1" t="n">
        <v>46217</v>
      </c>
      <c r="F601" t="inlineStr">
        <is>
          <t>DALARNAS LÄN</t>
        </is>
      </c>
      <c r="G601" t="inlineStr">
        <is>
          <t>ÄLVDALEN</t>
        </is>
      </c>
      <c r="I601" t="n">
        <v>26</v>
      </c>
      <c r="J601" t="n">
        <v>0</v>
      </c>
      <c r="K601" t="n">
        <v>0</v>
      </c>
      <c r="L601" t="n">
        <v>0</v>
      </c>
      <c r="M601" t="n">
        <v>0</v>
      </c>
      <c r="N601" t="n">
        <v>0</v>
      </c>
      <c r="O601" t="n">
        <v>0</v>
      </c>
      <c r="P601" t="n">
        <v>0</v>
      </c>
      <c r="Q601" t="n">
        <v>0</v>
      </c>
      <c r="R601" t="n">
        <v>0</v>
      </c>
      <c r="S601" t="n">
        <v>0</v>
      </c>
      <c r="T601" t="n">
        <v>0</v>
      </c>
      <c r="U601" s="2" t="inlineStr"/>
    </row>
    <row r="602" ht="15" customHeight="1">
      <c r="A602" t="inlineStr">
        <is>
          <t>S 256-2025</t>
        </is>
      </c>
      <c r="B602" t="inlineStr">
        <is>
          <t>samrådsanmälan</t>
        </is>
      </c>
      <c r="C602" t="inlineStr">
        <is>
          <t>Skogsgödsling</t>
        </is>
      </c>
      <c r="D602" s="1" t="n">
        <v>45684</v>
      </c>
      <c r="E602" s="1" t="n">
        <v>46217</v>
      </c>
      <c r="F602" t="inlineStr">
        <is>
          <t>DALARNAS LÄN</t>
        </is>
      </c>
      <c r="G602" t="inlineStr">
        <is>
          <t>ÄLVDALEN</t>
        </is>
      </c>
      <c r="H602" t="inlineStr">
        <is>
          <t>Bergvik skog väst AB</t>
        </is>
      </c>
      <c r="I602" t="n">
        <v>40.6</v>
      </c>
      <c r="J602" t="n">
        <v>0</v>
      </c>
      <c r="K602" t="n">
        <v>0</v>
      </c>
      <c r="L602" t="n">
        <v>0</v>
      </c>
      <c r="M602" t="n">
        <v>0</v>
      </c>
      <c r="N602" t="n">
        <v>0</v>
      </c>
      <c r="O602" t="n">
        <v>0</v>
      </c>
      <c r="P602" t="n">
        <v>0</v>
      </c>
      <c r="Q602" t="n">
        <v>0</v>
      </c>
      <c r="R602" t="n">
        <v>0</v>
      </c>
      <c r="S602" t="n">
        <v>0</v>
      </c>
      <c r="T602" t="n">
        <v>0</v>
      </c>
      <c r="U602" s="2" t="inlineStr"/>
    </row>
    <row r="603" ht="15" customHeight="1">
      <c r="A603" t="inlineStr">
        <is>
          <t>S 612-2025</t>
        </is>
      </c>
      <c r="B603" t="inlineStr">
        <is>
          <t>samrådsanmälan</t>
        </is>
      </c>
      <c r="C603" t="inlineStr">
        <is>
          <t>Skogsgödsling</t>
        </is>
      </c>
      <c r="D603" s="1" t="n">
        <v>45713</v>
      </c>
      <c r="E603" s="1" t="n">
        <v>46217</v>
      </c>
      <c r="F603" t="inlineStr">
        <is>
          <t>DALARNAS LÄN</t>
        </is>
      </c>
      <c r="G603" t="inlineStr">
        <is>
          <t>ÄLVDALEN</t>
        </is>
      </c>
      <c r="H603" t="inlineStr">
        <is>
          <t>Allmännings- och besparingsskogar</t>
        </is>
      </c>
      <c r="I603" t="n">
        <v>55.8</v>
      </c>
      <c r="J603" t="n">
        <v>0</v>
      </c>
      <c r="K603" t="n">
        <v>0</v>
      </c>
      <c r="L603" t="n">
        <v>0</v>
      </c>
      <c r="M603" t="n">
        <v>0</v>
      </c>
      <c r="N603" t="n">
        <v>0</v>
      </c>
      <c r="O603" t="n">
        <v>0</v>
      </c>
      <c r="P603" t="n">
        <v>0</v>
      </c>
      <c r="Q603" t="n">
        <v>0</v>
      </c>
      <c r="R603" t="n">
        <v>0</v>
      </c>
      <c r="S603" t="n">
        <v>0</v>
      </c>
      <c r="T603" t="n">
        <v>0</v>
      </c>
      <c r="U603" s="2" t="inlineStr"/>
    </row>
    <row r="604" ht="15" customHeight="1">
      <c r="A604" t="inlineStr">
        <is>
          <t>S 636-2025</t>
        </is>
      </c>
      <c r="B604" t="inlineStr">
        <is>
          <t>samrådsanmälan</t>
        </is>
      </c>
      <c r="C604" t="inlineStr">
        <is>
          <t>Skogsgödsling</t>
        </is>
      </c>
      <c r="D604" s="1" t="n">
        <v>45714</v>
      </c>
      <c r="E604" s="1" t="n">
        <v>46217</v>
      </c>
      <c r="F604" t="inlineStr">
        <is>
          <t>DALARNAS LÄN</t>
        </is>
      </c>
      <c r="G604" t="inlineStr">
        <is>
          <t>ÄLVDALEN</t>
        </is>
      </c>
      <c r="H604" t="inlineStr">
        <is>
          <t>Allmännings- och besparingsskogar</t>
        </is>
      </c>
      <c r="I604" t="n">
        <v>66.8</v>
      </c>
      <c r="J604" t="n">
        <v>0</v>
      </c>
      <c r="K604" t="n">
        <v>0</v>
      </c>
      <c r="L604" t="n">
        <v>0</v>
      </c>
      <c r="M604" t="n">
        <v>0</v>
      </c>
      <c r="N604" t="n">
        <v>0</v>
      </c>
      <c r="O604" t="n">
        <v>0</v>
      </c>
      <c r="P604" t="n">
        <v>0</v>
      </c>
      <c r="Q604" t="n">
        <v>0</v>
      </c>
      <c r="R604" t="n">
        <v>0</v>
      </c>
      <c r="S604" t="n">
        <v>0</v>
      </c>
      <c r="T604" t="n">
        <v>0</v>
      </c>
      <c r="U604" s="2" t="inlineStr"/>
    </row>
    <row r="605" ht="15" customHeight="1">
      <c r="A605" t="inlineStr">
        <is>
          <t>S 1199-2025</t>
        </is>
      </c>
      <c r="B605" t="inlineStr">
        <is>
          <t>samrådsanmälan</t>
        </is>
      </c>
      <c r="C605" t="inlineStr">
        <is>
          <t>Skogsgödsling</t>
        </is>
      </c>
      <c r="D605" s="1" t="n">
        <v>45758</v>
      </c>
      <c r="E605" s="1" t="n">
        <v>46217</v>
      </c>
      <c r="F605" t="inlineStr">
        <is>
          <t>DALARNAS LÄN</t>
        </is>
      </c>
      <c r="G605" t="inlineStr">
        <is>
          <t>ÄLVDALEN</t>
        </is>
      </c>
      <c r="H605" t="inlineStr">
        <is>
          <t>Allmännings- och besparingsskogar</t>
        </is>
      </c>
      <c r="I605" t="n">
        <v>50.7</v>
      </c>
      <c r="J605" t="n">
        <v>0</v>
      </c>
      <c r="K605" t="n">
        <v>0</v>
      </c>
      <c r="L605" t="n">
        <v>0</v>
      </c>
      <c r="M605" t="n">
        <v>0</v>
      </c>
      <c r="N605" t="n">
        <v>0</v>
      </c>
      <c r="O605" t="n">
        <v>0</v>
      </c>
      <c r="P605" t="n">
        <v>0</v>
      </c>
      <c r="Q605" t="n">
        <v>0</v>
      </c>
      <c r="R605" t="n">
        <v>0</v>
      </c>
      <c r="S605" t="n">
        <v>0</v>
      </c>
      <c r="T605" t="n">
        <v>0</v>
      </c>
      <c r="U605" s="2" t="inlineStr"/>
    </row>
    <row r="606" ht="15" customHeight="1">
      <c r="A606" t="inlineStr">
        <is>
          <t>S 1197-2025</t>
        </is>
      </c>
      <c r="B606" t="inlineStr">
        <is>
          <t>samrådsanmälan</t>
        </is>
      </c>
      <c r="C606" t="inlineStr">
        <is>
          <t>Skogsgödsling</t>
        </is>
      </c>
      <c r="D606" s="1" t="n">
        <v>45757</v>
      </c>
      <c r="E606" s="1" t="n">
        <v>46217</v>
      </c>
      <c r="F606" t="inlineStr">
        <is>
          <t>DALARNAS LÄN</t>
        </is>
      </c>
      <c r="G606" t="inlineStr">
        <is>
          <t>ÄLVDALEN</t>
        </is>
      </c>
      <c r="H606" t="inlineStr">
        <is>
          <t>Allmännings- och besparingsskogar</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S 1198-2025</t>
        </is>
      </c>
      <c r="B607" t="inlineStr">
        <is>
          <t>samrådsanmälan</t>
        </is>
      </c>
      <c r="C607" t="inlineStr">
        <is>
          <t>Skogsgödsling</t>
        </is>
      </c>
      <c r="D607" s="1" t="n">
        <v>45757</v>
      </c>
      <c r="E607" s="1" t="n">
        <v>46217</v>
      </c>
      <c r="F607" t="inlineStr">
        <is>
          <t>DALARNAS LÄN</t>
        </is>
      </c>
      <c r="G607" t="inlineStr">
        <is>
          <t>ÄLVDALEN</t>
        </is>
      </c>
      <c r="H607" t="inlineStr">
        <is>
          <t>Allmännings- och besparingsskogar</t>
        </is>
      </c>
      <c r="I607" t="n">
        <v>8.800000000000001</v>
      </c>
      <c r="J607" t="n">
        <v>0</v>
      </c>
      <c r="K607" t="n">
        <v>0</v>
      </c>
      <c r="L607" t="n">
        <v>0</v>
      </c>
      <c r="M607" t="n">
        <v>0</v>
      </c>
      <c r="N607" t="n">
        <v>0</v>
      </c>
      <c r="O607" t="n">
        <v>0</v>
      </c>
      <c r="P607" t="n">
        <v>0</v>
      </c>
      <c r="Q607" t="n">
        <v>0</v>
      </c>
      <c r="R607" t="n">
        <v>0</v>
      </c>
      <c r="S607" t="n">
        <v>0</v>
      </c>
      <c r="T607" t="n">
        <v>0</v>
      </c>
      <c r="U607" s="2" t="inlineStr"/>
    </row>
    <row r="608" ht="15" customHeight="1">
      <c r="A608" t="inlineStr">
        <is>
          <t>S 1202-2025</t>
        </is>
      </c>
      <c r="B608" t="inlineStr">
        <is>
          <t>samrådsanmälan</t>
        </is>
      </c>
      <c r="C608" t="inlineStr">
        <is>
          <t>Skogsgödsling</t>
        </is>
      </c>
      <c r="D608" s="1" t="n">
        <v>45757</v>
      </c>
      <c r="E608" s="1" t="n">
        <v>46217</v>
      </c>
      <c r="F608" t="inlineStr">
        <is>
          <t>DALARNAS LÄN</t>
        </is>
      </c>
      <c r="G608" t="inlineStr">
        <is>
          <t>ÄLVDALEN</t>
        </is>
      </c>
      <c r="H608" t="inlineStr">
        <is>
          <t>Allmännings- och besparingsskogar</t>
        </is>
      </c>
      <c r="I608" t="n">
        <v>36.5</v>
      </c>
      <c r="J608" t="n">
        <v>0</v>
      </c>
      <c r="K608" t="n">
        <v>0</v>
      </c>
      <c r="L608" t="n">
        <v>0</v>
      </c>
      <c r="M608" t="n">
        <v>0</v>
      </c>
      <c r="N608" t="n">
        <v>0</v>
      </c>
      <c r="O608" t="n">
        <v>0</v>
      </c>
      <c r="P608" t="n">
        <v>0</v>
      </c>
      <c r="Q608" t="n">
        <v>0</v>
      </c>
      <c r="R608" t="n">
        <v>0</v>
      </c>
      <c r="S608" t="n">
        <v>0</v>
      </c>
      <c r="T608" t="n">
        <v>0</v>
      </c>
      <c r="U608" s="2" t="inlineStr"/>
    </row>
    <row r="609" ht="15" customHeight="1">
      <c r="A609" t="inlineStr">
        <is>
          <t>S 1200-2025</t>
        </is>
      </c>
      <c r="B609" t="inlineStr">
        <is>
          <t>samrådsanmälan</t>
        </is>
      </c>
      <c r="C609" t="inlineStr">
        <is>
          <t>Skogsgödsling</t>
        </is>
      </c>
      <c r="D609" s="1" t="n">
        <v>45757</v>
      </c>
      <c r="E609" s="1" t="n">
        <v>46217</v>
      </c>
      <c r="F609" t="inlineStr">
        <is>
          <t>DALARNAS LÄN</t>
        </is>
      </c>
      <c r="G609" t="inlineStr">
        <is>
          <t>ÄLVDALEN</t>
        </is>
      </c>
      <c r="H609" t="inlineStr">
        <is>
          <t>Allmännings- och besparingsskogar</t>
        </is>
      </c>
      <c r="I609" t="n">
        <v>6.8</v>
      </c>
      <c r="J609" t="n">
        <v>0</v>
      </c>
      <c r="K609" t="n">
        <v>0</v>
      </c>
      <c r="L609" t="n">
        <v>0</v>
      </c>
      <c r="M609" t="n">
        <v>0</v>
      </c>
      <c r="N609" t="n">
        <v>0</v>
      </c>
      <c r="O609" t="n">
        <v>0</v>
      </c>
      <c r="P609" t="n">
        <v>0</v>
      </c>
      <c r="Q609" t="n">
        <v>0</v>
      </c>
      <c r="R609" t="n">
        <v>0</v>
      </c>
      <c r="S609" t="n">
        <v>0</v>
      </c>
      <c r="T609" t="n">
        <v>0</v>
      </c>
      <c r="U609" s="2" t="inlineStr"/>
    </row>
    <row r="610" ht="15" customHeight="1">
      <c r="A610" t="inlineStr">
        <is>
          <t>S 4145-2024</t>
        </is>
      </c>
      <c r="B610" t="inlineStr">
        <is>
          <t>samrådsanmälan</t>
        </is>
      </c>
      <c r="C610" t="inlineStr">
        <is>
          <t>Annan skogsbruksåtgärd</t>
        </is>
      </c>
      <c r="D610" s="1" t="n">
        <v>45575</v>
      </c>
      <c r="E610" s="1" t="n">
        <v>46217</v>
      </c>
      <c r="F610" t="inlineStr">
        <is>
          <t>DALARNAS LÄN</t>
        </is>
      </c>
      <c r="G610" t="inlineStr">
        <is>
          <t>ÄLVDALEN</t>
        </is>
      </c>
      <c r="I610" t="n">
        <v>2.7</v>
      </c>
      <c r="J610" t="n">
        <v>0</v>
      </c>
      <c r="K610" t="n">
        <v>0</v>
      </c>
      <c r="L610" t="n">
        <v>0</v>
      </c>
      <c r="M610" t="n">
        <v>0</v>
      </c>
      <c r="N610" t="n">
        <v>0</v>
      </c>
      <c r="O610" t="n">
        <v>0</v>
      </c>
      <c r="P610" t="n">
        <v>0</v>
      </c>
      <c r="Q610" t="n">
        <v>0</v>
      </c>
      <c r="R610" t="n">
        <v>0</v>
      </c>
      <c r="S610" t="n">
        <v>0</v>
      </c>
      <c r="T610" t="n">
        <v>0</v>
      </c>
      <c r="U610" s="2" t="inlineStr"/>
    </row>
    <row r="611" ht="15" customHeight="1">
      <c r="A611" t="inlineStr">
        <is>
          <t>S 257-2025</t>
        </is>
      </c>
      <c r="B611" t="inlineStr">
        <is>
          <t>samrådsanmälan</t>
        </is>
      </c>
      <c r="C611" t="inlineStr">
        <is>
          <t>Skogsgödsling</t>
        </is>
      </c>
      <c r="D611" s="1" t="n">
        <v>45684</v>
      </c>
      <c r="E611" s="1" t="n">
        <v>46217</v>
      </c>
      <c r="F611" t="inlineStr">
        <is>
          <t>DALARNAS LÄN</t>
        </is>
      </c>
      <c r="G611" t="inlineStr">
        <is>
          <t>ÄLVDALEN</t>
        </is>
      </c>
      <c r="H611" t="inlineStr">
        <is>
          <t>Bergvik skog väst AB</t>
        </is>
      </c>
      <c r="I611" t="n">
        <v>296.1</v>
      </c>
      <c r="J611" t="n">
        <v>0</v>
      </c>
      <c r="K611" t="n">
        <v>0</v>
      </c>
      <c r="L611" t="n">
        <v>0</v>
      </c>
      <c r="M611" t="n">
        <v>0</v>
      </c>
      <c r="N611" t="n">
        <v>0</v>
      </c>
      <c r="O611" t="n">
        <v>0</v>
      </c>
      <c r="P611" t="n">
        <v>0</v>
      </c>
      <c r="Q611" t="n">
        <v>0</v>
      </c>
      <c r="R611" t="n">
        <v>0</v>
      </c>
      <c r="S611" t="n">
        <v>0</v>
      </c>
      <c r="T611" t="n">
        <v>0</v>
      </c>
      <c r="U611" s="2" t="inlineStr"/>
    </row>
    <row r="612" ht="15" customHeight="1">
      <c r="A612" t="inlineStr">
        <is>
          <t>S 748-2026</t>
        </is>
      </c>
      <c r="B612" t="inlineStr">
        <is>
          <t>samrådsanmälan</t>
        </is>
      </c>
      <c r="C612" t="inlineStr">
        <is>
          <t>Skogsgödsling</t>
        </is>
      </c>
      <c r="D612" s="1" t="n">
        <v>46089</v>
      </c>
      <c r="E612" s="1" t="n">
        <v>46217</v>
      </c>
      <c r="F612" t="inlineStr">
        <is>
          <t>DALARNAS LÄN</t>
        </is>
      </c>
      <c r="G612" t="inlineStr">
        <is>
          <t>ÄLVDALEN</t>
        </is>
      </c>
      <c r="H612" t="inlineStr">
        <is>
          <t>Naturvårdsverket</t>
        </is>
      </c>
      <c r="I612" t="n">
        <v>7.7</v>
      </c>
      <c r="J612" t="n">
        <v>0</v>
      </c>
      <c r="K612" t="n">
        <v>0</v>
      </c>
      <c r="L612" t="n">
        <v>0</v>
      </c>
      <c r="M612" t="n">
        <v>0</v>
      </c>
      <c r="N612" t="n">
        <v>0</v>
      </c>
      <c r="O612" t="n">
        <v>0</v>
      </c>
      <c r="P612" t="n">
        <v>0</v>
      </c>
      <c r="Q612" t="n">
        <v>0</v>
      </c>
      <c r="R612" t="n">
        <v>0</v>
      </c>
      <c r="S612" t="n">
        <v>0</v>
      </c>
      <c r="T612" t="n">
        <v>0</v>
      </c>
      <c r="U612" s="2" t="inlineStr"/>
    </row>
    <row r="613" ht="15" customHeight="1">
      <c r="A613" t="inlineStr">
        <is>
          <t>S 749-2026</t>
        </is>
      </c>
      <c r="B613" t="inlineStr">
        <is>
          <t>samrådsanmälan</t>
        </is>
      </c>
      <c r="C613" t="inlineStr">
        <is>
          <t>Skogsgödsling</t>
        </is>
      </c>
      <c r="D613" s="1" t="n">
        <v>46089</v>
      </c>
      <c r="E613" s="1" t="n">
        <v>46217</v>
      </c>
      <c r="F613" t="inlineStr">
        <is>
          <t>DALARNAS LÄN</t>
        </is>
      </c>
      <c r="G613" t="inlineStr">
        <is>
          <t>ÄLVDALEN</t>
        </is>
      </c>
      <c r="H613" t="inlineStr">
        <is>
          <t>Naturvårdsverket</t>
        </is>
      </c>
      <c r="I613" t="n">
        <v>14.4</v>
      </c>
      <c r="J613" t="n">
        <v>0</v>
      </c>
      <c r="K613" t="n">
        <v>0</v>
      </c>
      <c r="L613" t="n">
        <v>0</v>
      </c>
      <c r="M613" t="n">
        <v>0</v>
      </c>
      <c r="N613" t="n">
        <v>0</v>
      </c>
      <c r="O613" t="n">
        <v>0</v>
      </c>
      <c r="P613" t="n">
        <v>0</v>
      </c>
      <c r="Q613" t="n">
        <v>0</v>
      </c>
      <c r="R613" t="n">
        <v>0</v>
      </c>
      <c r="S613" t="n">
        <v>0</v>
      </c>
      <c r="T613" t="n">
        <v>0</v>
      </c>
      <c r="U613" s="2" t="inlineStr"/>
    </row>
    <row r="614" ht="15" customHeight="1">
      <c r="A614" t="inlineStr">
        <is>
          <t>S 827-2026</t>
        </is>
      </c>
      <c r="B614" t="inlineStr">
        <is>
          <t>samrådsanmälan</t>
        </is>
      </c>
      <c r="C614" t="inlineStr">
        <is>
          <t>Skogsgödsling</t>
        </is>
      </c>
      <c r="D614" s="1" t="n">
        <v>46104</v>
      </c>
      <c r="E614" s="1" t="n">
        <v>46217</v>
      </c>
      <c r="F614" t="inlineStr">
        <is>
          <t>DALARNAS LÄN</t>
        </is>
      </c>
      <c r="G614" t="inlineStr">
        <is>
          <t>ÄLVDALEN</t>
        </is>
      </c>
      <c r="H614" t="inlineStr">
        <is>
          <t>Allmännings- och besparingsskogar</t>
        </is>
      </c>
      <c r="I614" t="n">
        <v>16.9</v>
      </c>
      <c r="J614" t="n">
        <v>0</v>
      </c>
      <c r="K614" t="n">
        <v>0</v>
      </c>
      <c r="L614" t="n">
        <v>0</v>
      </c>
      <c r="M614" t="n">
        <v>0</v>
      </c>
      <c r="N614" t="n">
        <v>0</v>
      </c>
      <c r="O614" t="n">
        <v>0</v>
      </c>
      <c r="P614" t="n">
        <v>0</v>
      </c>
      <c r="Q614" t="n">
        <v>0</v>
      </c>
      <c r="R614" t="n">
        <v>0</v>
      </c>
      <c r="S614" t="n">
        <v>0</v>
      </c>
      <c r="T614" t="n">
        <v>0</v>
      </c>
      <c r="U614" s="2" t="inlineStr"/>
    </row>
    <row r="615" ht="15" customHeight="1">
      <c r="A615" t="inlineStr">
        <is>
          <t>S 824-2026</t>
        </is>
      </c>
      <c r="B615" t="inlineStr">
        <is>
          <t>samrådsanmälan</t>
        </is>
      </c>
      <c r="C615" t="inlineStr">
        <is>
          <t>Skogsgödsling</t>
        </is>
      </c>
      <c r="D615" s="1" t="n">
        <v>46104</v>
      </c>
      <c r="E615" s="1" t="n">
        <v>46217</v>
      </c>
      <c r="F615" t="inlineStr">
        <is>
          <t>DALARNAS LÄN</t>
        </is>
      </c>
      <c r="G615" t="inlineStr">
        <is>
          <t>ÄLVDALEN</t>
        </is>
      </c>
      <c r="H615" t="inlineStr">
        <is>
          <t>Allmännings- och besparingsskogar</t>
        </is>
      </c>
      <c r="I615" t="n">
        <v>13.1</v>
      </c>
      <c r="J615" t="n">
        <v>0</v>
      </c>
      <c r="K615" t="n">
        <v>0</v>
      </c>
      <c r="L615" t="n">
        <v>0</v>
      </c>
      <c r="M615" t="n">
        <v>0</v>
      </c>
      <c r="N615" t="n">
        <v>0</v>
      </c>
      <c r="O615" t="n">
        <v>0</v>
      </c>
      <c r="P615" t="n">
        <v>0</v>
      </c>
      <c r="Q615" t="n">
        <v>0</v>
      </c>
      <c r="R615" t="n">
        <v>0</v>
      </c>
      <c r="S615" t="n">
        <v>0</v>
      </c>
      <c r="T615" t="n">
        <v>0</v>
      </c>
      <c r="U615" s="2" t="inlineStr"/>
    </row>
    <row r="616" ht="15" customHeight="1">
      <c r="A616" t="inlineStr">
        <is>
          <t>S 844-2026</t>
        </is>
      </c>
      <c r="B616" t="inlineStr">
        <is>
          <t>samrådsanmälan</t>
        </is>
      </c>
      <c r="C616" t="inlineStr">
        <is>
          <t>Skogsgödsling</t>
        </is>
      </c>
      <c r="D616" s="1" t="n">
        <v>46105</v>
      </c>
      <c r="E616" s="1" t="n">
        <v>46217</v>
      </c>
      <c r="F616" t="inlineStr">
        <is>
          <t>DALARNAS LÄN</t>
        </is>
      </c>
      <c r="G616" t="inlineStr">
        <is>
          <t>ÄLVDALEN</t>
        </is>
      </c>
      <c r="H616" t="inlineStr">
        <is>
          <t>Allmännings- och besparingsskogar</t>
        </is>
      </c>
      <c r="I616" t="n">
        <v>66.40000000000001</v>
      </c>
      <c r="J616" t="n">
        <v>0</v>
      </c>
      <c r="K616" t="n">
        <v>0</v>
      </c>
      <c r="L616" t="n">
        <v>0</v>
      </c>
      <c r="M616" t="n">
        <v>0</v>
      </c>
      <c r="N616" t="n">
        <v>0</v>
      </c>
      <c r="O616" t="n">
        <v>0</v>
      </c>
      <c r="P616" t="n">
        <v>0</v>
      </c>
      <c r="Q616" t="n">
        <v>0</v>
      </c>
      <c r="R616" t="n">
        <v>0</v>
      </c>
      <c r="S616" t="n">
        <v>0</v>
      </c>
      <c r="T616" t="n">
        <v>0</v>
      </c>
      <c r="U616" s="2" t="inlineStr"/>
    </row>
    <row r="617" ht="15" customHeight="1">
      <c r="A617" t="inlineStr">
        <is>
          <t>S 826-2026</t>
        </is>
      </c>
      <c r="B617" t="inlineStr">
        <is>
          <t>samrådsanmälan</t>
        </is>
      </c>
      <c r="C617" t="inlineStr">
        <is>
          <t>Skogsgödsling</t>
        </is>
      </c>
      <c r="D617" s="1" t="n">
        <v>46104</v>
      </c>
      <c r="E617" s="1" t="n">
        <v>46217</v>
      </c>
      <c r="F617" t="inlineStr">
        <is>
          <t>DALARNAS LÄN</t>
        </is>
      </c>
      <c r="G617" t="inlineStr">
        <is>
          <t>ÄLVDALEN</t>
        </is>
      </c>
      <c r="H617" t="inlineStr">
        <is>
          <t>Allmännings- och besparingsskogar</t>
        </is>
      </c>
      <c r="I617" t="n">
        <v>72.5</v>
      </c>
      <c r="J617" t="n">
        <v>0</v>
      </c>
      <c r="K617" t="n">
        <v>0</v>
      </c>
      <c r="L617" t="n">
        <v>0</v>
      </c>
      <c r="M617" t="n">
        <v>0</v>
      </c>
      <c r="N617" t="n">
        <v>0</v>
      </c>
      <c r="O617" t="n">
        <v>0</v>
      </c>
      <c r="P617" t="n">
        <v>0</v>
      </c>
      <c r="Q617" t="n">
        <v>0</v>
      </c>
      <c r="R617" t="n">
        <v>0</v>
      </c>
      <c r="S617" t="n">
        <v>0</v>
      </c>
      <c r="T617" t="n">
        <v>0</v>
      </c>
      <c r="U617" s="2" t="inlineStr"/>
    </row>
    <row r="618" ht="15" customHeight="1">
      <c r="A618" t="inlineStr">
        <is>
          <t>S 828-2026</t>
        </is>
      </c>
      <c r="B618" t="inlineStr">
        <is>
          <t>samrådsanmälan</t>
        </is>
      </c>
      <c r="C618" t="inlineStr">
        <is>
          <t>Skogsgödsling</t>
        </is>
      </c>
      <c r="D618" s="1" t="n">
        <v>46104</v>
      </c>
      <c r="E618" s="1" t="n">
        <v>46217</v>
      </c>
      <c r="F618" t="inlineStr">
        <is>
          <t>DALARNAS LÄN</t>
        </is>
      </c>
      <c r="G618" t="inlineStr">
        <is>
          <t>ÄLVDALEN</t>
        </is>
      </c>
      <c r="H618" t="inlineStr">
        <is>
          <t>Allmännings- och besparingsskogar</t>
        </is>
      </c>
      <c r="I618" t="n">
        <v>20.1</v>
      </c>
      <c r="J618" t="n">
        <v>0</v>
      </c>
      <c r="K618" t="n">
        <v>0</v>
      </c>
      <c r="L618" t="n">
        <v>0</v>
      </c>
      <c r="M618" t="n">
        <v>0</v>
      </c>
      <c r="N618" t="n">
        <v>0</v>
      </c>
      <c r="O618" t="n">
        <v>0</v>
      </c>
      <c r="P618" t="n">
        <v>0</v>
      </c>
      <c r="Q618" t="n">
        <v>0</v>
      </c>
      <c r="R618" t="n">
        <v>0</v>
      </c>
      <c r="S618" t="n">
        <v>0</v>
      </c>
      <c r="T618" t="n">
        <v>0</v>
      </c>
      <c r="U618" s="2" t="inlineStr"/>
    </row>
    <row r="619" ht="15" customHeight="1">
      <c r="A619" t="inlineStr">
        <is>
          <t>S 829-2026</t>
        </is>
      </c>
      <c r="B619" t="inlineStr">
        <is>
          <t>samrådsanmälan</t>
        </is>
      </c>
      <c r="C619" t="inlineStr">
        <is>
          <t>Skogsgödsling</t>
        </is>
      </c>
      <c r="D619" s="1" t="n">
        <v>46104</v>
      </c>
      <c r="E619" s="1" t="n">
        <v>46217</v>
      </c>
      <c r="F619" t="inlineStr">
        <is>
          <t>DALARNAS LÄN</t>
        </is>
      </c>
      <c r="G619" t="inlineStr">
        <is>
          <t>ÄLVDALEN</t>
        </is>
      </c>
      <c r="H619" t="inlineStr">
        <is>
          <t>Allmännings- och besparingsskogar</t>
        </is>
      </c>
      <c r="I619" t="n">
        <v>24.5</v>
      </c>
      <c r="J619" t="n">
        <v>0</v>
      </c>
      <c r="K619" t="n">
        <v>0</v>
      </c>
      <c r="L619" t="n">
        <v>0</v>
      </c>
      <c r="M619" t="n">
        <v>0</v>
      </c>
      <c r="N619" t="n">
        <v>0</v>
      </c>
      <c r="O619" t="n">
        <v>0</v>
      </c>
      <c r="P619" t="n">
        <v>0</v>
      </c>
      <c r="Q619" t="n">
        <v>0</v>
      </c>
      <c r="R619" t="n">
        <v>0</v>
      </c>
      <c r="S619" t="n">
        <v>0</v>
      </c>
      <c r="T619" t="n">
        <v>0</v>
      </c>
      <c r="U619" s="2" t="inlineStr"/>
    </row>
    <row r="620" ht="15" customHeight="1">
      <c r="A620" t="inlineStr">
        <is>
          <t>S 1014-2026</t>
        </is>
      </c>
      <c r="B620" t="inlineStr">
        <is>
          <t>samrådsanmälan</t>
        </is>
      </c>
      <c r="C620" t="inlineStr">
        <is>
          <t>Skogsgödsling</t>
        </is>
      </c>
      <c r="D620" s="1" t="n">
        <v>46121</v>
      </c>
      <c r="E620" s="1" t="n">
        <v>46217</v>
      </c>
      <c r="F620" t="inlineStr">
        <is>
          <t>DALARNAS LÄN</t>
        </is>
      </c>
      <c r="G620" t="inlineStr">
        <is>
          <t>ÄLVDALEN</t>
        </is>
      </c>
      <c r="H620" t="inlineStr">
        <is>
          <t>Allmännings- och besparingsskogar</t>
        </is>
      </c>
      <c r="I620" t="n">
        <v>12.3</v>
      </c>
      <c r="J620" t="n">
        <v>0</v>
      </c>
      <c r="K620" t="n">
        <v>0</v>
      </c>
      <c r="L620" t="n">
        <v>0</v>
      </c>
      <c r="M620" t="n">
        <v>0</v>
      </c>
      <c r="N620" t="n">
        <v>0</v>
      </c>
      <c r="O620" t="n">
        <v>0</v>
      </c>
      <c r="P620" t="n">
        <v>0</v>
      </c>
      <c r="Q620" t="n">
        <v>0</v>
      </c>
      <c r="R620" t="n">
        <v>0</v>
      </c>
      <c r="S620" t="n">
        <v>0</v>
      </c>
      <c r="T620" t="n">
        <v>0</v>
      </c>
      <c r="U620" s="2" t="inlineStr"/>
    </row>
    <row r="621">
      <c r="A621" t="inlineStr">
        <is>
          <t>S 1365-2026</t>
        </is>
      </c>
      <c r="B621" t="inlineStr">
        <is>
          <t>samrådsanmälan</t>
        </is>
      </c>
      <c r="C621" t="inlineStr">
        <is>
          <t>Annan skogsbruksåtgärd</t>
        </is>
      </c>
      <c r="D621" s="1" t="n">
        <v>46150</v>
      </c>
      <c r="E621" s="1" t="n">
        <v>46217</v>
      </c>
      <c r="F621" t="inlineStr">
        <is>
          <t>DALARNAS LÄN</t>
        </is>
      </c>
      <c r="G621" t="inlineStr">
        <is>
          <t>ÄLVDALEN</t>
        </is>
      </c>
      <c r="I621" t="n">
        <v>1.5</v>
      </c>
      <c r="J621" t="n">
        <v>0</v>
      </c>
      <c r="K621" t="n">
        <v>0</v>
      </c>
      <c r="L621" t="n">
        <v>0</v>
      </c>
      <c r="M621" t="n">
        <v>0</v>
      </c>
      <c r="N621" t="n">
        <v>0</v>
      </c>
      <c r="O621" t="n">
        <v>0</v>
      </c>
      <c r="P621" t="n">
        <v>0</v>
      </c>
      <c r="Q621" t="n">
        <v>0</v>
      </c>
      <c r="R621" t="n">
        <v>0</v>
      </c>
      <c r="S621" t="n">
        <v>0</v>
      </c>
      <c r="T621" t="n">
        <v>0</v>
      </c>
      <c r="U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2026-07-14T09:02:36Z</dcterms:created>
  <dcterms:modified xmlns:dcterms="http://purl.org/dc/terms/" xmlns:xsi="http://www.w3.org/2001/XMLSchema-instance" xsi:type="dcterms:W3CDTF">2026-07-14T09:02:37Z</dcterms:modified>
</cp:coreProperties>
</file>