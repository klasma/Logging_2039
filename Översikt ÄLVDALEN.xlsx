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45983</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45983</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47442-2025</t>
        </is>
      </c>
      <c r="B6" s="1" t="n">
        <v>45930</v>
      </c>
      <c r="C6" s="1" t="n">
        <v>45983</v>
      </c>
      <c r="D6" t="inlineStr">
        <is>
          <t>DALARNAS LÄN</t>
        </is>
      </c>
      <c r="E6" t="inlineStr">
        <is>
          <t>ÄLVDALEN</t>
        </is>
      </c>
      <c r="F6" t="inlineStr">
        <is>
          <t>Allmännings- och besparingsskogar</t>
        </is>
      </c>
      <c r="G6" t="n">
        <v>28.9</v>
      </c>
      <c r="H6" t="n">
        <v>8</v>
      </c>
      <c r="I6" t="n">
        <v>6</v>
      </c>
      <c r="J6" t="n">
        <v>11</v>
      </c>
      <c r="K6" t="n">
        <v>3</v>
      </c>
      <c r="L6" t="n">
        <v>0</v>
      </c>
      <c r="M6" t="n">
        <v>0</v>
      </c>
      <c r="N6" t="n">
        <v>0</v>
      </c>
      <c r="O6" t="n">
        <v>14</v>
      </c>
      <c r="P6" t="n">
        <v>3</v>
      </c>
      <c r="Q6" t="n">
        <v>22</v>
      </c>
      <c r="R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6">
        <f>HYPERLINK("https://klasma.github.io/Logging_2039/artfynd/A 47442-2025 artfynd.xlsx", "A 47442-2025")</f>
        <v/>
      </c>
      <c r="T6">
        <f>HYPERLINK("https://klasma.github.io/Logging_2039/kartor/A 47442-2025 karta.png", "A 47442-2025")</f>
        <v/>
      </c>
      <c r="U6">
        <f>HYPERLINK("https://klasma.github.io/Logging_2039/knärot/A 47442-2025 karta knärot.png", "A 47442-2025")</f>
        <v/>
      </c>
      <c r="V6">
        <f>HYPERLINK("https://klasma.github.io/Logging_2039/klagomål/A 47442-2025 FSC-klagomål.docx", "A 47442-2025")</f>
        <v/>
      </c>
      <c r="W6">
        <f>HYPERLINK("https://klasma.github.io/Logging_2039/klagomålsmail/A 47442-2025 FSC-klagomål mail.docx", "A 47442-2025")</f>
        <v/>
      </c>
      <c r="X6">
        <f>HYPERLINK("https://klasma.github.io/Logging_2039/tillsyn/A 47442-2025 tillsynsbegäran.docx", "A 47442-2025")</f>
        <v/>
      </c>
      <c r="Y6">
        <f>HYPERLINK("https://klasma.github.io/Logging_2039/tillsynsmail/A 47442-2025 tillsynsbegäran mail.docx", "A 47442-2025")</f>
        <v/>
      </c>
      <c r="Z6">
        <f>HYPERLINK("https://klasma.github.io/Logging_2039/fåglar/A 47442-2025 prioriterade fågelarter.docx", "A 47442-2025")</f>
        <v/>
      </c>
    </row>
    <row r="7" ht="15" customHeight="1">
      <c r="A7" t="inlineStr">
        <is>
          <t>A 34215-2024</t>
        </is>
      </c>
      <c r="B7" s="1" t="n">
        <v>45524</v>
      </c>
      <c r="C7" s="1" t="n">
        <v>45983</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6679-2025</t>
        </is>
      </c>
      <c r="B8" s="1" t="n">
        <v>45700</v>
      </c>
      <c r="C8" s="1" t="n">
        <v>45983</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45825.64402777778</v>
      </c>
      <c r="C9" s="1" t="n">
        <v>45983</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30241-2023</t>
        </is>
      </c>
      <c r="B10" s="1" t="n">
        <v>45110</v>
      </c>
      <c r="C10" s="1" t="n">
        <v>45983</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45983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45983</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45983</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45983</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45983</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45983</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19109-2023</t>
        </is>
      </c>
      <c r="B20" s="1" t="n">
        <v>45044</v>
      </c>
      <c r="C20" s="1" t="n">
        <v>45983</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45983</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45983</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45983</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50492-2025</t>
        </is>
      </c>
      <c r="B24" s="1" t="n">
        <v>45945.40607638889</v>
      </c>
      <c r="C24" s="1" t="n">
        <v>45983</v>
      </c>
      <c r="D24" t="inlineStr">
        <is>
          <t>DALARNAS LÄN</t>
        </is>
      </c>
      <c r="E24" t="inlineStr">
        <is>
          <t>ÄLVDALEN</t>
        </is>
      </c>
      <c r="F24" t="inlineStr">
        <is>
          <t>Allmännings- och besparingsskogar</t>
        </is>
      </c>
      <c r="G24" t="n">
        <v>6.2</v>
      </c>
      <c r="H24" t="n">
        <v>2</v>
      </c>
      <c r="I24" t="n">
        <v>3</v>
      </c>
      <c r="J24" t="n">
        <v>9</v>
      </c>
      <c r="K24" t="n">
        <v>0</v>
      </c>
      <c r="L24" t="n">
        <v>0</v>
      </c>
      <c r="M24" t="n">
        <v>0</v>
      </c>
      <c r="N24" t="n">
        <v>0</v>
      </c>
      <c r="O24" t="n">
        <v>9</v>
      </c>
      <c r="P24" t="n">
        <v>0</v>
      </c>
      <c r="Q24" t="n">
        <v>13</v>
      </c>
      <c r="R24" s="2" t="inlineStr">
        <is>
          <t>Garnlav
Kolflarnlav
Leptoporus erubescens
Mörk kolflarnlav
Rosenticka
Spillkråka
Tallticka
Vedskivlav
Vitplätt
Dropptaggsvamp
Mindre märgborre
Skuggblåslav
Tjäder</t>
        </is>
      </c>
      <c r="S24">
        <f>HYPERLINK("https://klasma.github.io/Logging_2039/artfynd/A 50492-2025 artfynd.xlsx", "A 50492-2025")</f>
        <v/>
      </c>
      <c r="T24">
        <f>HYPERLINK("https://klasma.github.io/Logging_2039/kartor/A 50492-2025 karta.png", "A 50492-2025")</f>
        <v/>
      </c>
      <c r="V24">
        <f>HYPERLINK("https://klasma.github.io/Logging_2039/klagomål/A 50492-2025 FSC-klagomål.docx", "A 50492-2025")</f>
        <v/>
      </c>
      <c r="W24">
        <f>HYPERLINK("https://klasma.github.io/Logging_2039/klagomålsmail/A 50492-2025 FSC-klagomål mail.docx", "A 50492-2025")</f>
        <v/>
      </c>
      <c r="X24">
        <f>HYPERLINK("https://klasma.github.io/Logging_2039/tillsyn/A 50492-2025 tillsynsbegäran.docx", "A 50492-2025")</f>
        <v/>
      </c>
      <c r="Y24">
        <f>HYPERLINK("https://klasma.github.io/Logging_2039/tillsynsmail/A 50492-2025 tillsynsbegäran mail.docx", "A 50492-2025")</f>
        <v/>
      </c>
      <c r="Z24">
        <f>HYPERLINK("https://klasma.github.io/Logging_2039/fåglar/A 50492-2025 prioriterade fågelarter.docx", "A 50492-2025")</f>
        <v/>
      </c>
    </row>
    <row r="25" ht="15" customHeight="1">
      <c r="A25" t="inlineStr">
        <is>
          <t>A 69728-2021</t>
        </is>
      </c>
      <c r="B25" s="1" t="n">
        <v>44532</v>
      </c>
      <c r="C25" s="1" t="n">
        <v>45983</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45983</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45983</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45983</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45983</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45983</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45983</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45983</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45983</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45983</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43867-2025</t>
        </is>
      </c>
      <c r="B35" s="1" t="n">
        <v>45912.65945601852</v>
      </c>
      <c r="C35" s="1" t="n">
        <v>45983</v>
      </c>
      <c r="D35" t="inlineStr">
        <is>
          <t>DALARNAS LÄN</t>
        </is>
      </c>
      <c r="E35" t="inlineStr">
        <is>
          <t>ÄLVDALEN</t>
        </is>
      </c>
      <c r="F35" t="inlineStr">
        <is>
          <t>Allmännings- och besparingsskogar</t>
        </is>
      </c>
      <c r="G35" t="n">
        <v>25.5</v>
      </c>
      <c r="H35" t="n">
        <v>5</v>
      </c>
      <c r="I35" t="n">
        <v>1</v>
      </c>
      <c r="J35" t="n">
        <v>8</v>
      </c>
      <c r="K35" t="n">
        <v>0</v>
      </c>
      <c r="L35" t="n">
        <v>0</v>
      </c>
      <c r="M35" t="n">
        <v>0</v>
      </c>
      <c r="N35" t="n">
        <v>0</v>
      </c>
      <c r="O35" t="n">
        <v>8</v>
      </c>
      <c r="P35" t="n">
        <v>0</v>
      </c>
      <c r="Q35" t="n">
        <v>11</v>
      </c>
      <c r="R35" s="2" t="inlineStr">
        <is>
          <t>Doftskinn
Garnlav
Kolflarnlav
Mörk kolflarnlav
Spillkråka
Talltita
Vedflamlav
Vedskivlav
Plattlummer
Kungsfågel
Tjäder</t>
        </is>
      </c>
      <c r="S35">
        <f>HYPERLINK("https://klasma.github.io/Logging_2039/artfynd/A 43867-2025 artfynd.xlsx", "A 43867-2025")</f>
        <v/>
      </c>
      <c r="T35">
        <f>HYPERLINK("https://klasma.github.io/Logging_2039/kartor/A 43867-2025 karta.png", "A 43867-2025")</f>
        <v/>
      </c>
      <c r="V35">
        <f>HYPERLINK("https://klasma.github.io/Logging_2039/klagomål/A 43867-2025 FSC-klagomål.docx", "A 43867-2025")</f>
        <v/>
      </c>
      <c r="W35">
        <f>HYPERLINK("https://klasma.github.io/Logging_2039/klagomålsmail/A 43867-2025 FSC-klagomål mail.docx", "A 43867-2025")</f>
        <v/>
      </c>
      <c r="X35">
        <f>HYPERLINK("https://klasma.github.io/Logging_2039/tillsyn/A 43867-2025 tillsynsbegäran.docx", "A 43867-2025")</f>
        <v/>
      </c>
      <c r="Y35">
        <f>HYPERLINK("https://klasma.github.io/Logging_2039/tillsynsmail/A 43867-2025 tillsynsbegäran mail.docx", "A 43867-2025")</f>
        <v/>
      </c>
      <c r="Z35">
        <f>HYPERLINK("https://klasma.github.io/Logging_2039/fåglar/A 43867-2025 prioriterade fågelarter.docx", "A 43867-2025")</f>
        <v/>
      </c>
    </row>
    <row r="36" ht="15" customHeight="1">
      <c r="A36" t="inlineStr">
        <is>
          <t>A 47008-2025</t>
        </is>
      </c>
      <c r="B36" s="1" t="n">
        <v>45929.56971064815</v>
      </c>
      <c r="C36" s="1" t="n">
        <v>45983</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45983</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45983</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45983</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49064-2025</t>
        </is>
      </c>
      <c r="B40" s="1" t="n">
        <v>45937.6440162037</v>
      </c>
      <c r="C40" s="1" t="n">
        <v>45983</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38364-2021</t>
        </is>
      </c>
      <c r="B41" s="1" t="n">
        <v>44406</v>
      </c>
      <c r="C41" s="1" t="n">
        <v>45983</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16370-2024</t>
        </is>
      </c>
      <c r="B42" s="1" t="n">
        <v>45407</v>
      </c>
      <c r="C42" s="1" t="n">
        <v>45983</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30214-2023</t>
        </is>
      </c>
      <c r="B43" s="1" t="n">
        <v>45110</v>
      </c>
      <c r="C43" s="1" t="n">
        <v>45983</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31658-2025</t>
        </is>
      </c>
      <c r="B44" s="1" t="n">
        <v>45834.34892361111</v>
      </c>
      <c r="C44" s="1" t="n">
        <v>45983</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45983</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45983</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34765-2025</t>
        </is>
      </c>
      <c r="B47" s="1" t="n">
        <v>45848</v>
      </c>
      <c r="C47" s="1" t="n">
        <v>45983</v>
      </c>
      <c r="D47" t="inlineStr">
        <is>
          <t>DALARNAS LÄN</t>
        </is>
      </c>
      <c r="E47" t="inlineStr">
        <is>
          <t>ÄLVDALEN</t>
        </is>
      </c>
      <c r="F47" t="inlineStr">
        <is>
          <t>Allmännings- och besparingsskogar</t>
        </is>
      </c>
      <c r="G47" t="n">
        <v>32.9</v>
      </c>
      <c r="H47" t="n">
        <v>3</v>
      </c>
      <c r="I47" t="n">
        <v>1</v>
      </c>
      <c r="J47" t="n">
        <v>8</v>
      </c>
      <c r="K47" t="n">
        <v>0</v>
      </c>
      <c r="L47" t="n">
        <v>0</v>
      </c>
      <c r="M47" t="n">
        <v>0</v>
      </c>
      <c r="N47" t="n">
        <v>0</v>
      </c>
      <c r="O47" t="n">
        <v>8</v>
      </c>
      <c r="P47" t="n">
        <v>0</v>
      </c>
      <c r="Q47" t="n">
        <v>10</v>
      </c>
      <c r="R47" s="2" t="inlineStr">
        <is>
          <t>Garnlav
Järpe
Kolflarnlav
Mörk kolflarnlav
Spillkråka
Tallticka
Vedflamlav
Vedskivlav
Mindre märgborre
Tjäder</t>
        </is>
      </c>
      <c r="S47">
        <f>HYPERLINK("https://klasma.github.io/Logging_2039/artfynd/A 34765-2025 artfynd.xlsx", "A 34765-2025")</f>
        <v/>
      </c>
      <c r="T47">
        <f>HYPERLINK("https://klasma.github.io/Logging_2039/kartor/A 34765-2025 karta.png", "A 34765-2025")</f>
        <v/>
      </c>
      <c r="V47">
        <f>HYPERLINK("https://klasma.github.io/Logging_2039/klagomål/A 34765-2025 FSC-klagomål.docx", "A 34765-2025")</f>
        <v/>
      </c>
      <c r="W47">
        <f>HYPERLINK("https://klasma.github.io/Logging_2039/klagomålsmail/A 34765-2025 FSC-klagomål mail.docx", "A 34765-2025")</f>
        <v/>
      </c>
      <c r="X47">
        <f>HYPERLINK("https://klasma.github.io/Logging_2039/tillsyn/A 34765-2025 tillsynsbegäran.docx", "A 34765-2025")</f>
        <v/>
      </c>
      <c r="Y47">
        <f>HYPERLINK("https://klasma.github.io/Logging_2039/tillsynsmail/A 34765-2025 tillsynsbegäran mail.docx", "A 34765-2025")</f>
        <v/>
      </c>
      <c r="Z47">
        <f>HYPERLINK("https://klasma.github.io/Logging_2039/fåglar/A 34765-2025 prioriterade fågelarter.docx", "A 34765-2025")</f>
        <v/>
      </c>
    </row>
    <row r="48" ht="15" customHeight="1">
      <c r="A48" t="inlineStr">
        <is>
          <t>A 30220-2023</t>
        </is>
      </c>
      <c r="B48" s="1" t="n">
        <v>45110.64706018518</v>
      </c>
      <c r="C48" s="1" t="n">
        <v>45983</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41753-2025</t>
        </is>
      </c>
      <c r="B49" s="1" t="n">
        <v>45902.49891203704</v>
      </c>
      <c r="C49" s="1" t="n">
        <v>45983</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33487-2025</t>
        </is>
      </c>
      <c r="B50" s="1" t="n">
        <v>45841.50515046297</v>
      </c>
      <c r="C50" s="1" t="n">
        <v>45983</v>
      </c>
      <c r="D50" t="inlineStr">
        <is>
          <t>DALARNAS LÄN</t>
        </is>
      </c>
      <c r="E50" t="inlineStr">
        <is>
          <t>ÄLVDALEN</t>
        </is>
      </c>
      <c r="F50" t="inlineStr">
        <is>
          <t>Sveaskog</t>
        </is>
      </c>
      <c r="G50" t="n">
        <v>15.2</v>
      </c>
      <c r="H50" t="n">
        <v>4</v>
      </c>
      <c r="I50" t="n">
        <v>2</v>
      </c>
      <c r="J50" t="n">
        <v>5</v>
      </c>
      <c r="K50" t="n">
        <v>0</v>
      </c>
      <c r="L50" t="n">
        <v>1</v>
      </c>
      <c r="M50" t="n">
        <v>0</v>
      </c>
      <c r="N50" t="n">
        <v>0</v>
      </c>
      <c r="O50" t="n">
        <v>6</v>
      </c>
      <c r="P50" t="n">
        <v>1</v>
      </c>
      <c r="Q50" t="n">
        <v>9</v>
      </c>
      <c r="R50" s="2" t="inlineStr">
        <is>
          <t>Mosippa
Dvärgbägarlav
Kolflarnlav
Mörk kolflarnlav
Talltita
Vedflamlav
Dropptaggsvamp
Plattlummer
Fläcknycklar</t>
        </is>
      </c>
      <c r="S50">
        <f>HYPERLINK("https://klasma.github.io/Logging_2039/artfynd/A 33487-2025 artfynd.xlsx", "A 33487-2025")</f>
        <v/>
      </c>
      <c r="T50">
        <f>HYPERLINK("https://klasma.github.io/Logging_2039/kartor/A 33487-2025 karta.png", "A 33487-2025")</f>
        <v/>
      </c>
      <c r="V50">
        <f>HYPERLINK("https://klasma.github.io/Logging_2039/klagomål/A 33487-2025 FSC-klagomål.docx", "A 33487-2025")</f>
        <v/>
      </c>
      <c r="W50">
        <f>HYPERLINK("https://klasma.github.io/Logging_2039/klagomålsmail/A 33487-2025 FSC-klagomål mail.docx", "A 33487-2025")</f>
        <v/>
      </c>
      <c r="X50">
        <f>HYPERLINK("https://klasma.github.io/Logging_2039/tillsyn/A 33487-2025 tillsynsbegäran.docx", "A 33487-2025")</f>
        <v/>
      </c>
      <c r="Y50">
        <f>HYPERLINK("https://klasma.github.io/Logging_2039/tillsynsmail/A 33487-2025 tillsynsbegäran mail.docx", "A 33487-2025")</f>
        <v/>
      </c>
      <c r="Z50">
        <f>HYPERLINK("https://klasma.github.io/Logging_2039/fåglar/A 33487-2025 prioriterade fågelarter.docx", "A 33487-2025")</f>
        <v/>
      </c>
    </row>
    <row r="51" ht="15" customHeight="1">
      <c r="A51" t="inlineStr">
        <is>
          <t>A 15738-2025</t>
        </is>
      </c>
      <c r="B51" s="1" t="n">
        <v>45748.54524305555</v>
      </c>
      <c r="C51" s="1" t="n">
        <v>45983</v>
      </c>
      <c r="D51" t="inlineStr">
        <is>
          <t>DALARNAS LÄN</t>
        </is>
      </c>
      <c r="E51" t="inlineStr">
        <is>
          <t>ÄLVDALEN</t>
        </is>
      </c>
      <c r="G51" t="n">
        <v>4.5</v>
      </c>
      <c r="H51" t="n">
        <v>2</v>
      </c>
      <c r="I51" t="n">
        <v>3</v>
      </c>
      <c r="J51" t="n">
        <v>6</v>
      </c>
      <c r="K51" t="n">
        <v>0</v>
      </c>
      <c r="L51" t="n">
        <v>0</v>
      </c>
      <c r="M51" t="n">
        <v>0</v>
      </c>
      <c r="N51" t="n">
        <v>0</v>
      </c>
      <c r="O51" t="n">
        <v>6</v>
      </c>
      <c r="P51" t="n">
        <v>0</v>
      </c>
      <c r="Q51" t="n">
        <v>9</v>
      </c>
      <c r="R51" s="2" t="inlineStr">
        <is>
          <t>Doftskinn
Garnlav
Spillkråka
Talltita
Ullticka
Vedskivlav
Bronshjon
Dropptaggsvamp
Mindre märgborre</t>
        </is>
      </c>
      <c r="S51">
        <f>HYPERLINK("https://klasma.github.io/Logging_2039/artfynd/A 15738-2025 artfynd.xlsx", "A 15738-2025")</f>
        <v/>
      </c>
      <c r="T51">
        <f>HYPERLINK("https://klasma.github.io/Logging_2039/kartor/A 15738-2025 karta.png", "A 15738-2025")</f>
        <v/>
      </c>
      <c r="V51">
        <f>HYPERLINK("https://klasma.github.io/Logging_2039/klagomål/A 15738-2025 FSC-klagomål.docx", "A 15738-2025")</f>
        <v/>
      </c>
      <c r="W51">
        <f>HYPERLINK("https://klasma.github.io/Logging_2039/klagomålsmail/A 15738-2025 FSC-klagomål mail.docx", "A 15738-2025")</f>
        <v/>
      </c>
      <c r="X51">
        <f>HYPERLINK("https://klasma.github.io/Logging_2039/tillsyn/A 15738-2025 tillsynsbegäran.docx", "A 15738-2025")</f>
        <v/>
      </c>
      <c r="Y51">
        <f>HYPERLINK("https://klasma.github.io/Logging_2039/tillsynsmail/A 15738-2025 tillsynsbegäran mail.docx", "A 15738-2025")</f>
        <v/>
      </c>
      <c r="Z51">
        <f>HYPERLINK("https://klasma.github.io/Logging_2039/fåglar/A 15738-2025 prioriterade fågelarter.docx", "A 15738-2025")</f>
        <v/>
      </c>
    </row>
    <row r="52" ht="15" customHeight="1">
      <c r="A52" t="inlineStr">
        <is>
          <t>A 66637-2021</t>
        </is>
      </c>
      <c r="B52" s="1" t="n">
        <v>44519</v>
      </c>
      <c r="C52" s="1" t="n">
        <v>45983</v>
      </c>
      <c r="D52" t="inlineStr">
        <is>
          <t>DALARNAS LÄN</t>
        </is>
      </c>
      <c r="E52" t="inlineStr">
        <is>
          <t>ÄLVDALEN</t>
        </is>
      </c>
      <c r="F52" t="inlineStr">
        <is>
          <t>Sveaskog</t>
        </is>
      </c>
      <c r="G52" t="n">
        <v>4.7</v>
      </c>
      <c r="H52" t="n">
        <v>0</v>
      </c>
      <c r="I52" t="n">
        <v>3</v>
      </c>
      <c r="J52" t="n">
        <v>6</v>
      </c>
      <c r="K52" t="n">
        <v>0</v>
      </c>
      <c r="L52" t="n">
        <v>0</v>
      </c>
      <c r="M52" t="n">
        <v>0</v>
      </c>
      <c r="N52" t="n">
        <v>0</v>
      </c>
      <c r="O52" t="n">
        <v>6</v>
      </c>
      <c r="P52" t="n">
        <v>0</v>
      </c>
      <c r="Q52" t="n">
        <v>9</v>
      </c>
      <c r="R52" s="2" t="inlineStr">
        <is>
          <t>Dvärgbägarlav
Kolflarnlav
Mörk kolflarnlav
Nordtagging
Vedskivlav
Vitplätt
Dropptaggsvamp
Nästlav
Vedticka</t>
        </is>
      </c>
      <c r="S52">
        <f>HYPERLINK("https://klasma.github.io/Logging_2039/artfynd/A 66637-2021 artfynd.xlsx", "A 66637-2021")</f>
        <v/>
      </c>
      <c r="T52">
        <f>HYPERLINK("https://klasma.github.io/Logging_2039/kartor/A 66637-2021 karta.png", "A 66637-2021")</f>
        <v/>
      </c>
      <c r="V52">
        <f>HYPERLINK("https://klasma.github.io/Logging_2039/klagomål/A 66637-2021 FSC-klagomål.docx", "A 66637-2021")</f>
        <v/>
      </c>
      <c r="W52">
        <f>HYPERLINK("https://klasma.github.io/Logging_2039/klagomålsmail/A 66637-2021 FSC-klagomål mail.docx", "A 66637-2021")</f>
        <v/>
      </c>
      <c r="X52">
        <f>HYPERLINK("https://klasma.github.io/Logging_2039/tillsyn/A 66637-2021 tillsynsbegäran.docx", "A 66637-2021")</f>
        <v/>
      </c>
      <c r="Y52">
        <f>HYPERLINK("https://klasma.github.io/Logging_2039/tillsynsmail/A 66637-2021 tillsynsbegäran mail.docx", "A 66637-2021")</f>
        <v/>
      </c>
    </row>
    <row r="53" ht="15" customHeight="1">
      <c r="A53" t="inlineStr">
        <is>
          <t>A 38582-2023</t>
        </is>
      </c>
      <c r="B53" s="1" t="n">
        <v>45162</v>
      </c>
      <c r="C53" s="1" t="n">
        <v>45983</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41913-2022</t>
        </is>
      </c>
      <c r="B54" s="1" t="n">
        <v>44830</v>
      </c>
      <c r="C54" s="1" t="n">
        <v>45983</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71652-2021</t>
        </is>
      </c>
      <c r="B55" s="1" t="n">
        <v>44543</v>
      </c>
      <c r="C55" s="1" t="n">
        <v>45983</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17715-2024</t>
        </is>
      </c>
      <c r="B56" s="1" t="n">
        <v>45415</v>
      </c>
      <c r="C56" s="1" t="n">
        <v>45983</v>
      </c>
      <c r="D56" t="inlineStr">
        <is>
          <t>DALARNAS LÄN</t>
        </is>
      </c>
      <c r="E56" t="inlineStr">
        <is>
          <t>ÄLVDALEN</t>
        </is>
      </c>
      <c r="F56" t="inlineStr">
        <is>
          <t>Övriga statliga verk och myndigheter</t>
        </is>
      </c>
      <c r="G56" t="n">
        <v>19.2</v>
      </c>
      <c r="H56" t="n">
        <v>1</v>
      </c>
      <c r="I56" t="n">
        <v>1</v>
      </c>
      <c r="J56" t="n">
        <v>6</v>
      </c>
      <c r="K56" t="n">
        <v>0</v>
      </c>
      <c r="L56" t="n">
        <v>0</v>
      </c>
      <c r="M56" t="n">
        <v>0</v>
      </c>
      <c r="N56" t="n">
        <v>0</v>
      </c>
      <c r="O56" t="n">
        <v>6</v>
      </c>
      <c r="P56" t="n">
        <v>0</v>
      </c>
      <c r="Q56" t="n">
        <v>8</v>
      </c>
      <c r="R56" s="2" t="inlineStr">
        <is>
          <t>Dvärgbägarlav
Kolflarnlav
Mörk kolflarnlav
Reliktbock
Vedflamlav
Vedskivlav
Dropptaggsvamp
Tjäder</t>
        </is>
      </c>
      <c r="S56">
        <f>HYPERLINK("https://klasma.github.io/Logging_2039/artfynd/A 17715-2024 artfynd.xlsx", "A 17715-2024")</f>
        <v/>
      </c>
      <c r="T56">
        <f>HYPERLINK("https://klasma.github.io/Logging_2039/kartor/A 17715-2024 karta.png", "A 17715-2024")</f>
        <v/>
      </c>
      <c r="V56">
        <f>HYPERLINK("https://klasma.github.io/Logging_2039/klagomål/A 17715-2024 FSC-klagomål.docx", "A 17715-2024")</f>
        <v/>
      </c>
      <c r="W56">
        <f>HYPERLINK("https://klasma.github.io/Logging_2039/klagomålsmail/A 17715-2024 FSC-klagomål mail.docx", "A 17715-2024")</f>
        <v/>
      </c>
      <c r="X56">
        <f>HYPERLINK("https://klasma.github.io/Logging_2039/tillsyn/A 17715-2024 tillsynsbegäran.docx", "A 17715-2024")</f>
        <v/>
      </c>
      <c r="Y56">
        <f>HYPERLINK("https://klasma.github.io/Logging_2039/tillsynsmail/A 17715-2024 tillsynsbegäran mail.docx", "A 17715-2024")</f>
        <v/>
      </c>
      <c r="Z56">
        <f>HYPERLINK("https://klasma.github.io/Logging_2039/fåglar/A 17715-2024 prioriterade fågelarter.docx", "A 17715-2024")</f>
        <v/>
      </c>
    </row>
    <row r="57" ht="15" customHeight="1">
      <c r="A57" t="inlineStr">
        <is>
          <t>A 41755-2025</t>
        </is>
      </c>
      <c r="B57" s="1" t="n">
        <v>45902.50262731482</v>
      </c>
      <c r="C57" s="1" t="n">
        <v>45983</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50070-2025</t>
        </is>
      </c>
      <c r="B58" s="1" t="n">
        <v>45943.4594212963</v>
      </c>
      <c r="C58" s="1" t="n">
        <v>45983</v>
      </c>
      <c r="D58" t="inlineStr">
        <is>
          <t>DALARNAS LÄN</t>
        </is>
      </c>
      <c r="E58" t="inlineStr">
        <is>
          <t>ÄLVDALEN</t>
        </is>
      </c>
      <c r="F58" t="inlineStr">
        <is>
          <t>Allmännings- och besparingsskogar</t>
        </is>
      </c>
      <c r="G58" t="n">
        <v>2.6</v>
      </c>
      <c r="H58" t="n">
        <v>3</v>
      </c>
      <c r="I58" t="n">
        <v>0</v>
      </c>
      <c r="J58" t="n">
        <v>7</v>
      </c>
      <c r="K58" t="n">
        <v>0</v>
      </c>
      <c r="L58" t="n">
        <v>0</v>
      </c>
      <c r="M58" t="n">
        <v>0</v>
      </c>
      <c r="N58" t="n">
        <v>0</v>
      </c>
      <c r="O58" t="n">
        <v>7</v>
      </c>
      <c r="P58" t="n">
        <v>0</v>
      </c>
      <c r="Q58" t="n">
        <v>8</v>
      </c>
      <c r="R58" s="2" t="inlineStr">
        <is>
          <t>Garnlav
Kolflarnlav
Mörk kolflarnlav
Spillkråka
Tallticka
Varglav
Vedskivlav
Tjäder</t>
        </is>
      </c>
      <c r="S58">
        <f>HYPERLINK("https://klasma.github.io/Logging_2039/artfynd/A 50070-2025 artfynd.xlsx", "A 50070-2025")</f>
        <v/>
      </c>
      <c r="T58">
        <f>HYPERLINK("https://klasma.github.io/Logging_2039/kartor/A 50070-2025 karta.png", "A 50070-2025")</f>
        <v/>
      </c>
      <c r="V58">
        <f>HYPERLINK("https://klasma.github.io/Logging_2039/klagomål/A 50070-2025 FSC-klagomål.docx", "A 50070-2025")</f>
        <v/>
      </c>
      <c r="W58">
        <f>HYPERLINK("https://klasma.github.io/Logging_2039/klagomålsmail/A 50070-2025 FSC-klagomål mail.docx", "A 50070-2025")</f>
        <v/>
      </c>
      <c r="X58">
        <f>HYPERLINK("https://klasma.github.io/Logging_2039/tillsyn/A 50070-2025 tillsynsbegäran.docx", "A 50070-2025")</f>
        <v/>
      </c>
      <c r="Y58">
        <f>HYPERLINK("https://klasma.github.io/Logging_2039/tillsynsmail/A 50070-2025 tillsynsbegäran mail.docx", "A 50070-2025")</f>
        <v/>
      </c>
      <c r="Z58">
        <f>HYPERLINK("https://klasma.github.io/Logging_2039/fåglar/A 50070-2025 prioriterade fågelarter.docx", "A 50070-2025")</f>
        <v/>
      </c>
    </row>
    <row r="59" ht="15" customHeight="1">
      <c r="A59" t="inlineStr">
        <is>
          <t>A 44785-2025</t>
        </is>
      </c>
      <c r="B59" s="1" t="n">
        <v>45917.96543981481</v>
      </c>
      <c r="C59" s="1" t="n">
        <v>45983</v>
      </c>
      <c r="D59" t="inlineStr">
        <is>
          <t>DALARNAS LÄN</t>
        </is>
      </c>
      <c r="E59" t="inlineStr">
        <is>
          <t>ÄLVDALEN</t>
        </is>
      </c>
      <c r="F59" t="inlineStr">
        <is>
          <t>Sveaskog</t>
        </is>
      </c>
      <c r="G59" t="n">
        <v>29.6</v>
      </c>
      <c r="H59" t="n">
        <v>0</v>
      </c>
      <c r="I59" t="n">
        <v>2</v>
      </c>
      <c r="J59" t="n">
        <v>5</v>
      </c>
      <c r="K59" t="n">
        <v>1</v>
      </c>
      <c r="L59" t="n">
        <v>0</v>
      </c>
      <c r="M59" t="n">
        <v>0</v>
      </c>
      <c r="N59" t="n">
        <v>0</v>
      </c>
      <c r="O59" t="n">
        <v>6</v>
      </c>
      <c r="P59" t="n">
        <v>1</v>
      </c>
      <c r="Q59" t="n">
        <v>8</v>
      </c>
      <c r="R59" s="2" t="inlineStr">
        <is>
          <t>Tallgråticka
Blå taggsvamp
Dvärgbägarlav
Kolflarnlav
Talltaggsvamp
Vedflamlav
Dropptaggsvamp
Skarp dropptaggsvamp</t>
        </is>
      </c>
      <c r="S59">
        <f>HYPERLINK("https://klasma.github.io/Logging_2039/artfynd/A 44785-2025 artfynd.xlsx", "A 44785-2025")</f>
        <v/>
      </c>
      <c r="T59">
        <f>HYPERLINK("https://klasma.github.io/Logging_2039/kartor/A 44785-2025 karta.png", "A 44785-2025")</f>
        <v/>
      </c>
      <c r="V59">
        <f>HYPERLINK("https://klasma.github.io/Logging_2039/klagomål/A 44785-2025 FSC-klagomål.docx", "A 44785-2025")</f>
        <v/>
      </c>
      <c r="W59">
        <f>HYPERLINK("https://klasma.github.io/Logging_2039/klagomålsmail/A 44785-2025 FSC-klagomål mail.docx", "A 44785-2025")</f>
        <v/>
      </c>
      <c r="X59">
        <f>HYPERLINK("https://klasma.github.io/Logging_2039/tillsyn/A 44785-2025 tillsynsbegäran.docx", "A 44785-2025")</f>
        <v/>
      </c>
      <c r="Y59">
        <f>HYPERLINK("https://klasma.github.io/Logging_2039/tillsynsmail/A 44785-2025 tillsynsbegäran mail.docx", "A 44785-2025")</f>
        <v/>
      </c>
    </row>
    <row r="60" ht="15" customHeight="1">
      <c r="A60" t="inlineStr">
        <is>
          <t>A 23427-2025</t>
        </is>
      </c>
      <c r="B60" s="1" t="n">
        <v>45792</v>
      </c>
      <c r="C60" s="1" t="n">
        <v>45983</v>
      </c>
      <c r="D60" t="inlineStr">
        <is>
          <t>DALARNAS LÄN</t>
        </is>
      </c>
      <c r="E60" t="inlineStr">
        <is>
          <t>ÄLVDALEN</t>
        </is>
      </c>
      <c r="F60" t="inlineStr">
        <is>
          <t>Bergvik skog väst AB</t>
        </is>
      </c>
      <c r="G60" t="n">
        <v>11.7</v>
      </c>
      <c r="H60" t="n">
        <v>4</v>
      </c>
      <c r="I60" t="n">
        <v>1</v>
      </c>
      <c r="J60" t="n">
        <v>5</v>
      </c>
      <c r="K60" t="n">
        <v>0</v>
      </c>
      <c r="L60" t="n">
        <v>0</v>
      </c>
      <c r="M60" t="n">
        <v>0</v>
      </c>
      <c r="N60" t="n">
        <v>0</v>
      </c>
      <c r="O60" t="n">
        <v>5</v>
      </c>
      <c r="P60" t="n">
        <v>0</v>
      </c>
      <c r="Q60" t="n">
        <v>8</v>
      </c>
      <c r="R60" s="2" t="inlineStr">
        <is>
          <t>Blågrå svartspik
Garnlav
Tretåig hackspett
Varglav
Vedflamlav
Bronshjon
Fläcknycklar
Revlummer</t>
        </is>
      </c>
      <c r="S60">
        <f>HYPERLINK("https://klasma.github.io/Logging_2039/artfynd/A 23427-2025 artfynd.xlsx", "A 23427-2025")</f>
        <v/>
      </c>
      <c r="T60">
        <f>HYPERLINK("https://klasma.github.io/Logging_2039/kartor/A 23427-2025 karta.png", "A 23427-2025")</f>
        <v/>
      </c>
      <c r="V60">
        <f>HYPERLINK("https://klasma.github.io/Logging_2039/klagomål/A 23427-2025 FSC-klagomål.docx", "A 23427-2025")</f>
        <v/>
      </c>
      <c r="W60">
        <f>HYPERLINK("https://klasma.github.io/Logging_2039/klagomålsmail/A 23427-2025 FSC-klagomål mail.docx", "A 23427-2025")</f>
        <v/>
      </c>
      <c r="X60">
        <f>HYPERLINK("https://klasma.github.io/Logging_2039/tillsyn/A 23427-2025 tillsynsbegäran.docx", "A 23427-2025")</f>
        <v/>
      </c>
      <c r="Y60">
        <f>HYPERLINK("https://klasma.github.io/Logging_2039/tillsynsmail/A 23427-2025 tillsynsbegäran mail.docx", "A 23427-2025")</f>
        <v/>
      </c>
      <c r="Z60">
        <f>HYPERLINK("https://klasma.github.io/Logging_2039/fåglar/A 23427-2025 prioriterade fågelarter.docx", "A 23427-2025")</f>
        <v/>
      </c>
    </row>
    <row r="61" ht="15" customHeight="1">
      <c r="A61" t="inlineStr">
        <is>
          <t>A 43051-2025</t>
        </is>
      </c>
      <c r="B61" s="1" t="n">
        <v>45909.56883101852</v>
      </c>
      <c r="C61" s="1" t="n">
        <v>45983</v>
      </c>
      <c r="D61" t="inlineStr">
        <is>
          <t>DALARNAS LÄN</t>
        </is>
      </c>
      <c r="E61" t="inlineStr">
        <is>
          <t>ÄLVDALEN</t>
        </is>
      </c>
      <c r="G61" t="n">
        <v>1.1</v>
      </c>
      <c r="H61" t="n">
        <v>4</v>
      </c>
      <c r="I61" t="n">
        <v>1</v>
      </c>
      <c r="J61" t="n">
        <v>4</v>
      </c>
      <c r="K61" t="n">
        <v>0</v>
      </c>
      <c r="L61" t="n">
        <v>0</v>
      </c>
      <c r="M61" t="n">
        <v>0</v>
      </c>
      <c r="N61" t="n">
        <v>0</v>
      </c>
      <c r="O61" t="n">
        <v>4</v>
      </c>
      <c r="P61" t="n">
        <v>0</v>
      </c>
      <c r="Q61" t="n">
        <v>8</v>
      </c>
      <c r="R61" s="2" t="inlineStr">
        <is>
          <t>Garnlav
Skrovellav
Tretåig hackspett
Vitgrynig nållav
Bronshjon
Pärluggla
Tjäder
Revlummer</t>
        </is>
      </c>
      <c r="S61">
        <f>HYPERLINK("https://klasma.github.io/Logging_2039/artfynd/A 43051-2025 artfynd.xlsx", "A 43051-2025")</f>
        <v/>
      </c>
      <c r="T61">
        <f>HYPERLINK("https://klasma.github.io/Logging_2039/kartor/A 43051-2025 karta.png", "A 43051-2025")</f>
        <v/>
      </c>
      <c r="V61">
        <f>HYPERLINK("https://klasma.github.io/Logging_2039/klagomål/A 43051-2025 FSC-klagomål.docx", "A 43051-2025")</f>
        <v/>
      </c>
      <c r="W61">
        <f>HYPERLINK("https://klasma.github.io/Logging_2039/klagomålsmail/A 43051-2025 FSC-klagomål mail.docx", "A 43051-2025")</f>
        <v/>
      </c>
      <c r="X61">
        <f>HYPERLINK("https://klasma.github.io/Logging_2039/tillsyn/A 43051-2025 tillsynsbegäran.docx", "A 43051-2025")</f>
        <v/>
      </c>
      <c r="Y61">
        <f>HYPERLINK("https://klasma.github.io/Logging_2039/tillsynsmail/A 43051-2025 tillsynsbegäran mail.docx", "A 43051-2025")</f>
        <v/>
      </c>
      <c r="Z61">
        <f>HYPERLINK("https://klasma.github.io/Logging_2039/fåglar/A 43051-2025 prioriterade fågelarter.docx", "A 43051-2025")</f>
        <v/>
      </c>
    </row>
    <row r="62" ht="15" customHeight="1">
      <c r="A62" t="inlineStr">
        <is>
          <t>A 14277-2024</t>
        </is>
      </c>
      <c r="B62" s="1" t="n">
        <v>45393.60042824074</v>
      </c>
      <c r="C62" s="1" t="n">
        <v>45983</v>
      </c>
      <c r="D62" t="inlineStr">
        <is>
          <t>DALARNAS LÄN</t>
        </is>
      </c>
      <c r="E62" t="inlineStr">
        <is>
          <t>ÄLVDALEN</t>
        </is>
      </c>
      <c r="F62" t="inlineStr">
        <is>
          <t>Allmännings- och besparingsskogar</t>
        </is>
      </c>
      <c r="G62" t="n">
        <v>2.8</v>
      </c>
      <c r="H62" t="n">
        <v>2</v>
      </c>
      <c r="I62" t="n">
        <v>1</v>
      </c>
      <c r="J62" t="n">
        <v>6</v>
      </c>
      <c r="K62" t="n">
        <v>0</v>
      </c>
      <c r="L62" t="n">
        <v>0</v>
      </c>
      <c r="M62" t="n">
        <v>0</v>
      </c>
      <c r="N62" t="n">
        <v>0</v>
      </c>
      <c r="O62" t="n">
        <v>6</v>
      </c>
      <c r="P62" t="n">
        <v>0</v>
      </c>
      <c r="Q62" t="n">
        <v>7</v>
      </c>
      <c r="R62" s="2" t="inlineStr">
        <is>
          <t>Garnlav
Mörk kolflarnlav
Talltita
Varglav
Vedflamlav
Vedskivlav
Mindre märgborre</t>
        </is>
      </c>
      <c r="S62">
        <f>HYPERLINK("https://klasma.github.io/Logging_2039/artfynd/A 14277-2024 artfynd.xlsx", "A 14277-2024")</f>
        <v/>
      </c>
      <c r="T62">
        <f>HYPERLINK("https://klasma.github.io/Logging_2039/kartor/A 14277-2024 karta.png", "A 14277-2024")</f>
        <v/>
      </c>
      <c r="V62">
        <f>HYPERLINK("https://klasma.github.io/Logging_2039/klagomål/A 14277-2024 FSC-klagomål.docx", "A 14277-2024")</f>
        <v/>
      </c>
      <c r="W62">
        <f>HYPERLINK("https://klasma.github.io/Logging_2039/klagomålsmail/A 14277-2024 FSC-klagomål mail.docx", "A 14277-2024")</f>
        <v/>
      </c>
      <c r="X62">
        <f>HYPERLINK("https://klasma.github.io/Logging_2039/tillsyn/A 14277-2024 tillsynsbegäran.docx", "A 14277-2024")</f>
        <v/>
      </c>
      <c r="Y62">
        <f>HYPERLINK("https://klasma.github.io/Logging_2039/tillsynsmail/A 14277-2024 tillsynsbegäran mail.docx", "A 14277-2024")</f>
        <v/>
      </c>
      <c r="Z62">
        <f>HYPERLINK("https://klasma.github.io/Logging_2039/fåglar/A 14277-2024 prioriterade fågelarter.docx", "A 14277-2024")</f>
        <v/>
      </c>
    </row>
    <row r="63" ht="15" customHeight="1">
      <c r="A63" t="inlineStr">
        <is>
          <t>A 25754-2025</t>
        </is>
      </c>
      <c r="B63" s="1" t="n">
        <v>45804.32020833333</v>
      </c>
      <c r="C63" s="1" t="n">
        <v>45983</v>
      </c>
      <c r="D63" t="inlineStr">
        <is>
          <t>DALARNAS LÄN</t>
        </is>
      </c>
      <c r="E63" t="inlineStr">
        <is>
          <t>ÄLVDALEN</t>
        </is>
      </c>
      <c r="F63" t="inlineStr">
        <is>
          <t>Kommuner</t>
        </is>
      </c>
      <c r="G63" t="n">
        <v>2.2</v>
      </c>
      <c r="H63" t="n">
        <v>4</v>
      </c>
      <c r="I63" t="n">
        <v>2</v>
      </c>
      <c r="J63" t="n">
        <v>3</v>
      </c>
      <c r="K63" t="n">
        <v>0</v>
      </c>
      <c r="L63" t="n">
        <v>0</v>
      </c>
      <c r="M63" t="n">
        <v>0</v>
      </c>
      <c r="N63" t="n">
        <v>0</v>
      </c>
      <c r="O63" t="n">
        <v>3</v>
      </c>
      <c r="P63" t="n">
        <v>0</v>
      </c>
      <c r="Q63" t="n">
        <v>7</v>
      </c>
      <c r="R63" s="2" t="inlineStr">
        <is>
          <t>Garnlav
Spillkråka
Talltita
Dropptaggsvamp
Mindre märgborre
Kungsfågel
Revlummer</t>
        </is>
      </c>
      <c r="S63">
        <f>HYPERLINK("https://klasma.github.io/Logging_2039/artfynd/A 25754-2025 artfynd.xlsx", "A 25754-2025")</f>
        <v/>
      </c>
      <c r="T63">
        <f>HYPERLINK("https://klasma.github.io/Logging_2039/kartor/A 25754-2025 karta.png", "A 25754-2025")</f>
        <v/>
      </c>
      <c r="V63">
        <f>HYPERLINK("https://klasma.github.io/Logging_2039/klagomål/A 25754-2025 FSC-klagomål.docx", "A 25754-2025")</f>
        <v/>
      </c>
      <c r="W63">
        <f>HYPERLINK("https://klasma.github.io/Logging_2039/klagomålsmail/A 25754-2025 FSC-klagomål mail.docx", "A 25754-2025")</f>
        <v/>
      </c>
      <c r="X63">
        <f>HYPERLINK("https://klasma.github.io/Logging_2039/tillsyn/A 25754-2025 tillsynsbegäran.docx", "A 25754-2025")</f>
        <v/>
      </c>
      <c r="Y63">
        <f>HYPERLINK("https://klasma.github.io/Logging_2039/tillsynsmail/A 25754-2025 tillsynsbegäran mail.docx", "A 25754-2025")</f>
        <v/>
      </c>
      <c r="Z63">
        <f>HYPERLINK("https://klasma.github.io/Logging_2039/fåglar/A 25754-2025 prioriterade fågelarter.docx", "A 25754-2025")</f>
        <v/>
      </c>
    </row>
    <row r="64" ht="15" customHeight="1">
      <c r="A64" t="inlineStr">
        <is>
          <t>A 9783-2024</t>
        </is>
      </c>
      <c r="B64" s="1" t="n">
        <v>45362</v>
      </c>
      <c r="C64" s="1" t="n">
        <v>45983</v>
      </c>
      <c r="D64" t="inlineStr">
        <is>
          <t>DALARNAS LÄN</t>
        </is>
      </c>
      <c r="E64" t="inlineStr">
        <is>
          <t>ÄLVDALEN</t>
        </is>
      </c>
      <c r="F64" t="inlineStr">
        <is>
          <t>Övriga statliga verk och myndigheter</t>
        </is>
      </c>
      <c r="G64" t="n">
        <v>7</v>
      </c>
      <c r="H64" t="n">
        <v>0</v>
      </c>
      <c r="I64" t="n">
        <v>1</v>
      </c>
      <c r="J64" t="n">
        <v>6</v>
      </c>
      <c r="K64" t="n">
        <v>0</v>
      </c>
      <c r="L64" t="n">
        <v>0</v>
      </c>
      <c r="M64" t="n">
        <v>0</v>
      </c>
      <c r="N64" t="n">
        <v>0</v>
      </c>
      <c r="O64" t="n">
        <v>6</v>
      </c>
      <c r="P64" t="n">
        <v>0</v>
      </c>
      <c r="Q64" t="n">
        <v>7</v>
      </c>
      <c r="R64" s="2" t="inlineStr">
        <is>
          <t>Blanksvart spiklav
Blågrå svartspik
Kolflarnlav
Mörk kolflarnlav
Vedflamlav
Vedskivlav
Dropptaggsvamp</t>
        </is>
      </c>
      <c r="S64">
        <f>HYPERLINK("https://klasma.github.io/Logging_2039/artfynd/A 9783-2024 artfynd.xlsx", "A 9783-2024")</f>
        <v/>
      </c>
      <c r="T64">
        <f>HYPERLINK("https://klasma.github.io/Logging_2039/kartor/A 9783-2024 karta.png", "A 9783-2024")</f>
        <v/>
      </c>
      <c r="V64">
        <f>HYPERLINK("https://klasma.github.io/Logging_2039/klagomål/A 9783-2024 FSC-klagomål.docx", "A 9783-2024")</f>
        <v/>
      </c>
      <c r="W64">
        <f>HYPERLINK("https://klasma.github.io/Logging_2039/klagomålsmail/A 9783-2024 FSC-klagomål mail.docx", "A 9783-2024")</f>
        <v/>
      </c>
      <c r="X64">
        <f>HYPERLINK("https://klasma.github.io/Logging_2039/tillsyn/A 9783-2024 tillsynsbegäran.docx", "A 9783-2024")</f>
        <v/>
      </c>
      <c r="Y64">
        <f>HYPERLINK("https://klasma.github.io/Logging_2039/tillsynsmail/A 9783-2024 tillsynsbegäran mail.docx", "A 9783-2024")</f>
        <v/>
      </c>
    </row>
    <row r="65" ht="15" customHeight="1">
      <c r="A65" t="inlineStr">
        <is>
          <t>A 46305-2025</t>
        </is>
      </c>
      <c r="B65" s="1" t="n">
        <v>45925.4190625</v>
      </c>
      <c r="C65" s="1" t="n">
        <v>45983</v>
      </c>
      <c r="D65" t="inlineStr">
        <is>
          <t>DALARNAS LÄN</t>
        </is>
      </c>
      <c r="E65" t="inlineStr">
        <is>
          <t>ÄLVDALEN</t>
        </is>
      </c>
      <c r="F65" t="inlineStr">
        <is>
          <t>Allmännings- och besparingsskogar</t>
        </is>
      </c>
      <c r="G65" t="n">
        <v>6.4</v>
      </c>
      <c r="H65" t="n">
        <v>1</v>
      </c>
      <c r="I65" t="n">
        <v>1</v>
      </c>
      <c r="J65" t="n">
        <v>5</v>
      </c>
      <c r="K65" t="n">
        <v>0</v>
      </c>
      <c r="L65" t="n">
        <v>0</v>
      </c>
      <c r="M65" t="n">
        <v>0</v>
      </c>
      <c r="N65" t="n">
        <v>0</v>
      </c>
      <c r="O65" t="n">
        <v>5</v>
      </c>
      <c r="P65" t="n">
        <v>0</v>
      </c>
      <c r="Q65" t="n">
        <v>7</v>
      </c>
      <c r="R65" s="2" t="inlineStr">
        <is>
          <t>Garnlav
Kolflarnlav
Mörk kolflarnlav
Vedflamlav
Vedskivlav
Mindre märgborre
Tjäder</t>
        </is>
      </c>
      <c r="S65">
        <f>HYPERLINK("https://klasma.github.io/Logging_2039/artfynd/A 46305-2025 artfynd.xlsx", "A 46305-2025")</f>
        <v/>
      </c>
      <c r="T65">
        <f>HYPERLINK("https://klasma.github.io/Logging_2039/kartor/A 46305-2025 karta.png", "A 46305-2025")</f>
        <v/>
      </c>
      <c r="V65">
        <f>HYPERLINK("https://klasma.github.io/Logging_2039/klagomål/A 46305-2025 FSC-klagomål.docx", "A 46305-2025")</f>
        <v/>
      </c>
      <c r="W65">
        <f>HYPERLINK("https://klasma.github.io/Logging_2039/klagomålsmail/A 46305-2025 FSC-klagomål mail.docx", "A 46305-2025")</f>
        <v/>
      </c>
      <c r="X65">
        <f>HYPERLINK("https://klasma.github.io/Logging_2039/tillsyn/A 46305-2025 tillsynsbegäran.docx", "A 46305-2025")</f>
        <v/>
      </c>
      <c r="Y65">
        <f>HYPERLINK("https://klasma.github.io/Logging_2039/tillsynsmail/A 46305-2025 tillsynsbegäran mail.docx", "A 46305-2025")</f>
        <v/>
      </c>
      <c r="Z65">
        <f>HYPERLINK("https://klasma.github.io/Logging_2039/fåglar/A 46305-2025 prioriterade fågelarter.docx", "A 46305-2025")</f>
        <v/>
      </c>
    </row>
    <row r="66" ht="15" customHeight="1">
      <c r="A66" t="inlineStr">
        <is>
          <t>A 33882-2024</t>
        </is>
      </c>
      <c r="B66" s="1" t="n">
        <v>45522</v>
      </c>
      <c r="C66" s="1" t="n">
        <v>45983</v>
      </c>
      <c r="D66" t="inlineStr">
        <is>
          <t>DALARNAS LÄN</t>
        </is>
      </c>
      <c r="E66" t="inlineStr">
        <is>
          <t>ÄLVDALEN</t>
        </is>
      </c>
      <c r="G66" t="n">
        <v>53.8</v>
      </c>
      <c r="H66" t="n">
        <v>3</v>
      </c>
      <c r="I66" t="n">
        <v>1</v>
      </c>
      <c r="J66" t="n">
        <v>5</v>
      </c>
      <c r="K66" t="n">
        <v>0</v>
      </c>
      <c r="L66" t="n">
        <v>0</v>
      </c>
      <c r="M66" t="n">
        <v>0</v>
      </c>
      <c r="N66" t="n">
        <v>0</v>
      </c>
      <c r="O66" t="n">
        <v>5</v>
      </c>
      <c r="P66" t="n">
        <v>0</v>
      </c>
      <c r="Q66" t="n">
        <v>7</v>
      </c>
      <c r="R66" s="2" t="inlineStr">
        <is>
          <t>Garnlav
Granticka
Skrovellav
Tretåig hackspett
Vitplätt
Spindelblomster
Lavskrika</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39267-2021</t>
        </is>
      </c>
      <c r="B67" s="1" t="n">
        <v>44413</v>
      </c>
      <c r="C67" s="1" t="n">
        <v>45983</v>
      </c>
      <c r="D67" t="inlineStr">
        <is>
          <t>DALARNAS LÄN</t>
        </is>
      </c>
      <c r="E67" t="inlineStr">
        <is>
          <t>ÄLVDALEN</t>
        </is>
      </c>
      <c r="G67" t="n">
        <v>2.4</v>
      </c>
      <c r="H67" t="n">
        <v>4</v>
      </c>
      <c r="I67" t="n">
        <v>0</v>
      </c>
      <c r="J67" t="n">
        <v>4</v>
      </c>
      <c r="K67" t="n">
        <v>1</v>
      </c>
      <c r="L67" t="n">
        <v>0</v>
      </c>
      <c r="M67" t="n">
        <v>0</v>
      </c>
      <c r="N67" t="n">
        <v>0</v>
      </c>
      <c r="O67" t="n">
        <v>5</v>
      </c>
      <c r="P67" t="n">
        <v>1</v>
      </c>
      <c r="Q67" t="n">
        <v>6</v>
      </c>
      <c r="R67" s="2" t="inlineStr">
        <is>
          <t>Knärot
Garnlav
Spillkråka
Tretåig hackspett
Vedskivlav
Kungsfågel</t>
        </is>
      </c>
      <c r="S67">
        <f>HYPERLINK("https://klasma.github.io/Logging_2039/artfynd/A 39267-2021 artfynd.xlsx", "A 39267-2021")</f>
        <v/>
      </c>
      <c r="T67">
        <f>HYPERLINK("https://klasma.github.io/Logging_2039/kartor/A 39267-2021 karta.png", "A 39267-2021")</f>
        <v/>
      </c>
      <c r="U67">
        <f>HYPERLINK("https://klasma.github.io/Logging_2039/knärot/A 39267-2021 karta knärot.png", "A 39267-2021")</f>
        <v/>
      </c>
      <c r="V67">
        <f>HYPERLINK("https://klasma.github.io/Logging_2039/klagomål/A 39267-2021 FSC-klagomål.docx", "A 39267-2021")</f>
        <v/>
      </c>
      <c r="W67">
        <f>HYPERLINK("https://klasma.github.io/Logging_2039/klagomålsmail/A 39267-2021 FSC-klagomål mail.docx", "A 39267-2021")</f>
        <v/>
      </c>
      <c r="X67">
        <f>HYPERLINK("https://klasma.github.io/Logging_2039/tillsyn/A 39267-2021 tillsynsbegäran.docx", "A 39267-2021")</f>
        <v/>
      </c>
      <c r="Y67">
        <f>HYPERLINK("https://klasma.github.io/Logging_2039/tillsynsmail/A 39267-2021 tillsynsbegäran mail.docx", "A 39267-2021")</f>
        <v/>
      </c>
      <c r="Z67">
        <f>HYPERLINK("https://klasma.github.io/Logging_2039/fåglar/A 39267-2021 prioriterade fågelarter.docx", "A 39267-2021")</f>
        <v/>
      </c>
    </row>
    <row r="68" ht="15" customHeight="1">
      <c r="A68" t="inlineStr">
        <is>
          <t>A 54314-2021</t>
        </is>
      </c>
      <c r="B68" s="1" t="n">
        <v>44472</v>
      </c>
      <c r="C68" s="1" t="n">
        <v>45983</v>
      </c>
      <c r="D68" t="inlineStr">
        <is>
          <t>DALARNAS LÄN</t>
        </is>
      </c>
      <c r="E68" t="inlineStr">
        <is>
          <t>ÄLVDALEN</t>
        </is>
      </c>
      <c r="G68" t="n">
        <v>48.4</v>
      </c>
      <c r="H68" t="n">
        <v>0</v>
      </c>
      <c r="I68" t="n">
        <v>1</v>
      </c>
      <c r="J68" t="n">
        <v>5</v>
      </c>
      <c r="K68" t="n">
        <v>0</v>
      </c>
      <c r="L68" t="n">
        <v>0</v>
      </c>
      <c r="M68" t="n">
        <v>0</v>
      </c>
      <c r="N68" t="n">
        <v>0</v>
      </c>
      <c r="O68" t="n">
        <v>5</v>
      </c>
      <c r="P68" t="n">
        <v>0</v>
      </c>
      <c r="Q68" t="n">
        <v>6</v>
      </c>
      <c r="R68" s="2" t="inlineStr">
        <is>
          <t>Garnlav
Mörk kolflarnlav
Vedflamlav
Vedskivlav
Violettgrå tagellav
Mindre märgborre</t>
        </is>
      </c>
      <c r="S68">
        <f>HYPERLINK("https://klasma.github.io/Logging_2039/artfynd/A 54314-2021 artfynd.xlsx", "A 54314-2021")</f>
        <v/>
      </c>
      <c r="T68">
        <f>HYPERLINK("https://klasma.github.io/Logging_2039/kartor/A 54314-2021 karta.png", "A 54314-2021")</f>
        <v/>
      </c>
      <c r="V68">
        <f>HYPERLINK("https://klasma.github.io/Logging_2039/klagomål/A 54314-2021 FSC-klagomål.docx", "A 54314-2021")</f>
        <v/>
      </c>
      <c r="W68">
        <f>HYPERLINK("https://klasma.github.io/Logging_2039/klagomålsmail/A 54314-2021 FSC-klagomål mail.docx", "A 54314-2021")</f>
        <v/>
      </c>
      <c r="X68">
        <f>HYPERLINK("https://klasma.github.io/Logging_2039/tillsyn/A 54314-2021 tillsynsbegäran.docx", "A 54314-2021")</f>
        <v/>
      </c>
      <c r="Y68">
        <f>HYPERLINK("https://klasma.github.io/Logging_2039/tillsynsmail/A 54314-2021 tillsynsbegäran mail.docx", "A 54314-2021")</f>
        <v/>
      </c>
    </row>
    <row r="69" ht="15" customHeight="1">
      <c r="A69" t="inlineStr">
        <is>
          <t>A 41750-2025</t>
        </is>
      </c>
      <c r="B69" s="1" t="n">
        <v>45902.49466435185</v>
      </c>
      <c r="C69" s="1" t="n">
        <v>45983</v>
      </c>
      <c r="D69" t="inlineStr">
        <is>
          <t>DALARNAS LÄN</t>
        </is>
      </c>
      <c r="E69" t="inlineStr">
        <is>
          <t>ÄLVDALEN</t>
        </is>
      </c>
      <c r="G69" t="n">
        <v>1.2</v>
      </c>
      <c r="H69" t="n">
        <v>0</v>
      </c>
      <c r="I69" t="n">
        <v>1</v>
      </c>
      <c r="J69" t="n">
        <v>4</v>
      </c>
      <c r="K69" t="n">
        <v>1</v>
      </c>
      <c r="L69" t="n">
        <v>0</v>
      </c>
      <c r="M69" t="n">
        <v>0</v>
      </c>
      <c r="N69" t="n">
        <v>0</v>
      </c>
      <c r="O69" t="n">
        <v>5</v>
      </c>
      <c r="P69" t="n">
        <v>1</v>
      </c>
      <c r="Q69" t="n">
        <v>6</v>
      </c>
      <c r="R69" s="2" t="inlineStr">
        <is>
          <t>Gräddporing
Dvärgbägarlav
Kolflarnlav
Mörk kolflarnlav
Vedflamlav
Dropptaggsvamp</t>
        </is>
      </c>
      <c r="S69">
        <f>HYPERLINK("https://klasma.github.io/Logging_2039/artfynd/A 41750-2025 artfynd.xlsx", "A 41750-2025")</f>
        <v/>
      </c>
      <c r="T69">
        <f>HYPERLINK("https://klasma.github.io/Logging_2039/kartor/A 41750-2025 karta.png", "A 41750-2025")</f>
        <v/>
      </c>
      <c r="V69">
        <f>HYPERLINK("https://klasma.github.io/Logging_2039/klagomål/A 41750-2025 FSC-klagomål.docx", "A 41750-2025")</f>
        <v/>
      </c>
      <c r="W69">
        <f>HYPERLINK("https://klasma.github.io/Logging_2039/klagomålsmail/A 41750-2025 FSC-klagomål mail.docx", "A 41750-2025")</f>
        <v/>
      </c>
      <c r="X69">
        <f>HYPERLINK("https://klasma.github.io/Logging_2039/tillsyn/A 41750-2025 tillsynsbegäran.docx", "A 41750-2025")</f>
        <v/>
      </c>
      <c r="Y69">
        <f>HYPERLINK("https://klasma.github.io/Logging_2039/tillsynsmail/A 41750-2025 tillsynsbegäran mail.docx", "A 41750-2025")</f>
        <v/>
      </c>
    </row>
    <row r="70" ht="15" customHeight="1">
      <c r="A70" t="inlineStr">
        <is>
          <t>A 49052-2023</t>
        </is>
      </c>
      <c r="B70" s="1" t="n">
        <v>45210</v>
      </c>
      <c r="C70" s="1" t="n">
        <v>45983</v>
      </c>
      <c r="D70" t="inlineStr">
        <is>
          <t>DALARNAS LÄN</t>
        </is>
      </c>
      <c r="E70" t="inlineStr">
        <is>
          <t>ÄLVDALEN</t>
        </is>
      </c>
      <c r="F70" t="inlineStr">
        <is>
          <t>Sveaskog</t>
        </is>
      </c>
      <c r="G70" t="n">
        <v>4.4</v>
      </c>
      <c r="H70" t="n">
        <v>1</v>
      </c>
      <c r="I70" t="n">
        <v>2</v>
      </c>
      <c r="J70" t="n">
        <v>4</v>
      </c>
      <c r="K70" t="n">
        <v>0</v>
      </c>
      <c r="L70" t="n">
        <v>0</v>
      </c>
      <c r="M70" t="n">
        <v>0</v>
      </c>
      <c r="N70" t="n">
        <v>0</v>
      </c>
      <c r="O70" t="n">
        <v>4</v>
      </c>
      <c r="P70" t="n">
        <v>0</v>
      </c>
      <c r="Q70" t="n">
        <v>6</v>
      </c>
      <c r="R70" s="2" t="inlineStr">
        <is>
          <t>Kolflarnlav
Mörk kolflarnlav
Varglav
Vedflamlav
Dropptaggsvamp
Skarp dropptaggsvamp</t>
        </is>
      </c>
      <c r="S70">
        <f>HYPERLINK("https://klasma.github.io/Logging_2039/artfynd/A 49052-2023 artfynd.xlsx", "A 49052-2023")</f>
        <v/>
      </c>
      <c r="T70">
        <f>HYPERLINK("https://klasma.github.io/Logging_2039/kartor/A 49052-2023 karta.png", "A 49052-2023")</f>
        <v/>
      </c>
      <c r="V70">
        <f>HYPERLINK("https://klasma.github.io/Logging_2039/klagomål/A 49052-2023 FSC-klagomål.docx", "A 49052-2023")</f>
        <v/>
      </c>
      <c r="W70">
        <f>HYPERLINK("https://klasma.github.io/Logging_2039/klagomålsmail/A 49052-2023 FSC-klagomål mail.docx", "A 49052-2023")</f>
        <v/>
      </c>
      <c r="X70">
        <f>HYPERLINK("https://klasma.github.io/Logging_2039/tillsyn/A 49052-2023 tillsynsbegäran.docx", "A 49052-2023")</f>
        <v/>
      </c>
      <c r="Y70">
        <f>HYPERLINK("https://klasma.github.io/Logging_2039/tillsynsmail/A 49052-2023 tillsynsbegäran mail.docx", "A 49052-2023")</f>
        <v/>
      </c>
    </row>
    <row r="71" ht="15" customHeight="1">
      <c r="A71" t="inlineStr">
        <is>
          <t>A 31821-2025</t>
        </is>
      </c>
      <c r="B71" s="1" t="n">
        <v>45834.57958333333</v>
      </c>
      <c r="C71" s="1" t="n">
        <v>45983</v>
      </c>
      <c r="D71" t="inlineStr">
        <is>
          <t>DALARNAS LÄN</t>
        </is>
      </c>
      <c r="E71" t="inlineStr">
        <is>
          <t>ÄLVDALEN</t>
        </is>
      </c>
      <c r="F71" t="inlineStr">
        <is>
          <t>Allmännings- och besparingsskogar</t>
        </is>
      </c>
      <c r="G71" t="n">
        <v>1.2</v>
      </c>
      <c r="H71" t="n">
        <v>1</v>
      </c>
      <c r="I71" t="n">
        <v>1</v>
      </c>
      <c r="J71" t="n">
        <v>4</v>
      </c>
      <c r="K71" t="n">
        <v>1</v>
      </c>
      <c r="L71" t="n">
        <v>0</v>
      </c>
      <c r="M71" t="n">
        <v>0</v>
      </c>
      <c r="N71" t="n">
        <v>0</v>
      </c>
      <c r="O71" t="n">
        <v>5</v>
      </c>
      <c r="P71" t="n">
        <v>1</v>
      </c>
      <c r="Q71" t="n">
        <v>6</v>
      </c>
      <c r="R71" s="2" t="inlineStr">
        <is>
          <t>Fläckporing
Blanksvart spiklav
Varglav
Vedflamlav
Vedskivlav
Mindre märgborre</t>
        </is>
      </c>
      <c r="S71">
        <f>HYPERLINK("https://klasma.github.io/Logging_2039/artfynd/A 31821-2025 artfynd.xlsx", "A 31821-2025")</f>
        <v/>
      </c>
      <c r="T71">
        <f>HYPERLINK("https://klasma.github.io/Logging_2039/kartor/A 31821-2025 karta.png", "A 31821-2025")</f>
        <v/>
      </c>
      <c r="V71">
        <f>HYPERLINK("https://klasma.github.io/Logging_2039/klagomål/A 31821-2025 FSC-klagomål.docx", "A 31821-2025")</f>
        <v/>
      </c>
      <c r="W71">
        <f>HYPERLINK("https://klasma.github.io/Logging_2039/klagomålsmail/A 31821-2025 FSC-klagomål mail.docx", "A 31821-2025")</f>
        <v/>
      </c>
      <c r="X71">
        <f>HYPERLINK("https://klasma.github.io/Logging_2039/tillsyn/A 31821-2025 tillsynsbegäran.docx", "A 31821-2025")</f>
        <v/>
      </c>
      <c r="Y71">
        <f>HYPERLINK("https://klasma.github.io/Logging_2039/tillsynsmail/A 31821-2025 tillsynsbegäran mail.docx", "A 31821-2025")</f>
        <v/>
      </c>
    </row>
    <row r="72" ht="15" customHeight="1">
      <c r="A72" t="inlineStr">
        <is>
          <t>A 31631-2025</t>
        </is>
      </c>
      <c r="B72" s="1" t="n">
        <v>45834</v>
      </c>
      <c r="C72" s="1" t="n">
        <v>45983</v>
      </c>
      <c r="D72" t="inlineStr">
        <is>
          <t>DALARNAS LÄN</t>
        </is>
      </c>
      <c r="E72" t="inlineStr">
        <is>
          <t>ÄLVDALEN</t>
        </is>
      </c>
      <c r="F72" t="inlineStr">
        <is>
          <t>Sveaskog</t>
        </is>
      </c>
      <c r="G72" t="n">
        <v>9</v>
      </c>
      <c r="H72" t="n">
        <v>0</v>
      </c>
      <c r="I72" t="n">
        <v>1</v>
      </c>
      <c r="J72" t="n">
        <v>5</v>
      </c>
      <c r="K72" t="n">
        <v>0</v>
      </c>
      <c r="L72" t="n">
        <v>0</v>
      </c>
      <c r="M72" t="n">
        <v>0</v>
      </c>
      <c r="N72" t="n">
        <v>0</v>
      </c>
      <c r="O72" t="n">
        <v>5</v>
      </c>
      <c r="P72" t="n">
        <v>0</v>
      </c>
      <c r="Q72" t="n">
        <v>6</v>
      </c>
      <c r="R72" s="2" t="inlineStr">
        <is>
          <t>Dvärgbägarlav
Kolflarnlav
Lunglav
Mörk kolflarnlav
Vedflamlav
Dropptaggsvamp</t>
        </is>
      </c>
      <c r="S72">
        <f>HYPERLINK("https://klasma.github.io/Logging_2039/artfynd/A 31631-2025 artfynd.xlsx", "A 31631-2025")</f>
        <v/>
      </c>
      <c r="T72">
        <f>HYPERLINK("https://klasma.github.io/Logging_2039/kartor/A 31631-2025 karta.png", "A 31631-2025")</f>
        <v/>
      </c>
      <c r="V72">
        <f>HYPERLINK("https://klasma.github.io/Logging_2039/klagomål/A 31631-2025 FSC-klagomål.docx", "A 31631-2025")</f>
        <v/>
      </c>
      <c r="W72">
        <f>HYPERLINK("https://klasma.github.io/Logging_2039/klagomålsmail/A 31631-2025 FSC-klagomål mail.docx", "A 31631-2025")</f>
        <v/>
      </c>
      <c r="X72">
        <f>HYPERLINK("https://klasma.github.io/Logging_2039/tillsyn/A 31631-2025 tillsynsbegäran.docx", "A 31631-2025")</f>
        <v/>
      </c>
      <c r="Y72">
        <f>HYPERLINK("https://klasma.github.io/Logging_2039/tillsynsmail/A 31631-2025 tillsynsbegäran mail.docx", "A 31631-2025")</f>
        <v/>
      </c>
    </row>
    <row r="73" ht="15" customHeight="1">
      <c r="A73" t="inlineStr">
        <is>
          <t>A 22701-2024</t>
        </is>
      </c>
      <c r="B73" s="1" t="n">
        <v>45448</v>
      </c>
      <c r="C73" s="1" t="n">
        <v>45983</v>
      </c>
      <c r="D73" t="inlineStr">
        <is>
          <t>DALARNAS LÄN</t>
        </is>
      </c>
      <c r="E73" t="inlineStr">
        <is>
          <t>ÄLVDALEN</t>
        </is>
      </c>
      <c r="F73" t="inlineStr">
        <is>
          <t>Sveaskog</t>
        </is>
      </c>
      <c r="G73" t="n">
        <v>2.7</v>
      </c>
      <c r="H73" t="n">
        <v>0</v>
      </c>
      <c r="I73" t="n">
        <v>2</v>
      </c>
      <c r="J73" t="n">
        <v>1</v>
      </c>
      <c r="K73" t="n">
        <v>3</v>
      </c>
      <c r="L73" t="n">
        <v>0</v>
      </c>
      <c r="M73" t="n">
        <v>0</v>
      </c>
      <c r="N73" t="n">
        <v>0</v>
      </c>
      <c r="O73" t="n">
        <v>4</v>
      </c>
      <c r="P73" t="n">
        <v>3</v>
      </c>
      <c r="Q73" t="n">
        <v>6</v>
      </c>
      <c r="R73" s="2" t="inlineStr">
        <is>
          <t>Smalfotad taggsvamp
Tajgataggsvamp
Tallstocksticka
Dvärgbägarlav
Dropptaggsvamp
Skarp dropptaggsvamp</t>
        </is>
      </c>
      <c r="S73">
        <f>HYPERLINK("https://klasma.github.io/Logging_2039/artfynd/A 22701-2024 artfynd.xlsx", "A 22701-2024")</f>
        <v/>
      </c>
      <c r="T73">
        <f>HYPERLINK("https://klasma.github.io/Logging_2039/kartor/A 22701-2024 karta.png", "A 22701-2024")</f>
        <v/>
      </c>
      <c r="V73">
        <f>HYPERLINK("https://klasma.github.io/Logging_2039/klagomål/A 22701-2024 FSC-klagomål.docx", "A 22701-2024")</f>
        <v/>
      </c>
      <c r="W73">
        <f>HYPERLINK("https://klasma.github.io/Logging_2039/klagomålsmail/A 22701-2024 FSC-klagomål mail.docx", "A 22701-2024")</f>
        <v/>
      </c>
      <c r="X73">
        <f>HYPERLINK("https://klasma.github.io/Logging_2039/tillsyn/A 22701-2024 tillsynsbegäran.docx", "A 22701-2024")</f>
        <v/>
      </c>
      <c r="Y73">
        <f>HYPERLINK("https://klasma.github.io/Logging_2039/tillsynsmail/A 22701-2024 tillsynsbegäran mail.docx", "A 22701-2024")</f>
        <v/>
      </c>
    </row>
    <row r="74" ht="15" customHeight="1">
      <c r="A74" t="inlineStr">
        <is>
          <t>A 33638-2025</t>
        </is>
      </c>
      <c r="B74" s="1" t="n">
        <v>45841.64807870371</v>
      </c>
      <c r="C74" s="1" t="n">
        <v>45983</v>
      </c>
      <c r="D74" t="inlineStr">
        <is>
          <t>DALARNAS LÄN</t>
        </is>
      </c>
      <c r="E74" t="inlineStr">
        <is>
          <t>ÄLVDALEN</t>
        </is>
      </c>
      <c r="F74" t="inlineStr">
        <is>
          <t>Sveaskog</t>
        </is>
      </c>
      <c r="G74" t="n">
        <v>2.1</v>
      </c>
      <c r="H74" t="n">
        <v>0</v>
      </c>
      <c r="I74" t="n">
        <v>1</v>
      </c>
      <c r="J74" t="n">
        <v>4</v>
      </c>
      <c r="K74" t="n">
        <v>1</v>
      </c>
      <c r="L74" t="n">
        <v>0</v>
      </c>
      <c r="M74" t="n">
        <v>0</v>
      </c>
      <c r="N74" t="n">
        <v>0</v>
      </c>
      <c r="O74" t="n">
        <v>5</v>
      </c>
      <c r="P74" t="n">
        <v>1</v>
      </c>
      <c r="Q74" t="n">
        <v>6</v>
      </c>
      <c r="R74" s="2" t="inlineStr">
        <is>
          <t>Gräddporing
Blanksvart spiklav
Dvärgbägarlav
Kolflarnlav
Mörk kolflarnlav
Dropptaggsvamp</t>
        </is>
      </c>
      <c r="S74">
        <f>HYPERLINK("https://klasma.github.io/Logging_2039/artfynd/A 33638-2025 artfynd.xlsx", "A 33638-2025")</f>
        <v/>
      </c>
      <c r="T74">
        <f>HYPERLINK("https://klasma.github.io/Logging_2039/kartor/A 33638-2025 karta.png", "A 33638-2025")</f>
        <v/>
      </c>
      <c r="V74">
        <f>HYPERLINK("https://klasma.github.io/Logging_2039/klagomål/A 33638-2025 FSC-klagomål.docx", "A 33638-2025")</f>
        <v/>
      </c>
      <c r="W74">
        <f>HYPERLINK("https://klasma.github.io/Logging_2039/klagomålsmail/A 33638-2025 FSC-klagomål mail.docx", "A 33638-2025")</f>
        <v/>
      </c>
      <c r="X74">
        <f>HYPERLINK("https://klasma.github.io/Logging_2039/tillsyn/A 33638-2025 tillsynsbegäran.docx", "A 33638-2025")</f>
        <v/>
      </c>
      <c r="Y74">
        <f>HYPERLINK("https://klasma.github.io/Logging_2039/tillsynsmail/A 33638-2025 tillsynsbegäran mail.docx", "A 33638-2025")</f>
        <v/>
      </c>
    </row>
    <row r="75" ht="15" customHeight="1">
      <c r="A75" t="inlineStr">
        <is>
          <t>A 33822-2025</t>
        </is>
      </c>
      <c r="B75" s="1" t="n">
        <v>45842.46769675926</v>
      </c>
      <c r="C75" s="1" t="n">
        <v>45983</v>
      </c>
      <c r="D75" t="inlineStr">
        <is>
          <t>DALARNAS LÄN</t>
        </is>
      </c>
      <c r="E75" t="inlineStr">
        <is>
          <t>ÄLVDALEN</t>
        </is>
      </c>
      <c r="F75" t="inlineStr">
        <is>
          <t>Sveaskog</t>
        </is>
      </c>
      <c r="G75" t="n">
        <v>3.9</v>
      </c>
      <c r="H75" t="n">
        <v>0</v>
      </c>
      <c r="I75" t="n">
        <v>1</v>
      </c>
      <c r="J75" t="n">
        <v>5</v>
      </c>
      <c r="K75" t="n">
        <v>0</v>
      </c>
      <c r="L75" t="n">
        <v>0</v>
      </c>
      <c r="M75" t="n">
        <v>0</v>
      </c>
      <c r="N75" t="n">
        <v>0</v>
      </c>
      <c r="O75" t="n">
        <v>5</v>
      </c>
      <c r="P75" t="n">
        <v>0</v>
      </c>
      <c r="Q75" t="n">
        <v>6</v>
      </c>
      <c r="R75" s="2" t="inlineStr">
        <is>
          <t>Blå taggsvamp
Kolflarnlav
Motaggsvamp
Mörk kolflarnlav
Vedflamlav
Skarp dropptaggsvamp</t>
        </is>
      </c>
      <c r="S75">
        <f>HYPERLINK("https://klasma.github.io/Logging_2039/artfynd/A 33822-2025 artfynd.xlsx", "A 33822-2025")</f>
        <v/>
      </c>
      <c r="T75">
        <f>HYPERLINK("https://klasma.github.io/Logging_2039/kartor/A 33822-2025 karta.png", "A 33822-2025")</f>
        <v/>
      </c>
      <c r="V75">
        <f>HYPERLINK("https://klasma.github.io/Logging_2039/klagomål/A 33822-2025 FSC-klagomål.docx", "A 33822-2025")</f>
        <v/>
      </c>
      <c r="W75">
        <f>HYPERLINK("https://klasma.github.io/Logging_2039/klagomålsmail/A 33822-2025 FSC-klagomål mail.docx", "A 33822-2025")</f>
        <v/>
      </c>
      <c r="X75">
        <f>HYPERLINK("https://klasma.github.io/Logging_2039/tillsyn/A 33822-2025 tillsynsbegäran.docx", "A 33822-2025")</f>
        <v/>
      </c>
      <c r="Y75">
        <f>HYPERLINK("https://klasma.github.io/Logging_2039/tillsynsmail/A 33822-2025 tillsynsbegäran mail.docx", "A 33822-2025")</f>
        <v/>
      </c>
    </row>
    <row r="76" ht="15" customHeight="1">
      <c r="A76" t="inlineStr">
        <is>
          <t>A 40417-2025</t>
        </is>
      </c>
      <c r="B76" s="1" t="n">
        <v>45895</v>
      </c>
      <c r="C76" s="1" t="n">
        <v>45983</v>
      </c>
      <c r="D76" t="inlineStr">
        <is>
          <t>DALARNAS LÄN</t>
        </is>
      </c>
      <c r="E76" t="inlineStr">
        <is>
          <t>ÄLVDALEN</t>
        </is>
      </c>
      <c r="G76" t="n">
        <v>14.2</v>
      </c>
      <c r="H76" t="n">
        <v>2</v>
      </c>
      <c r="I76" t="n">
        <v>1</v>
      </c>
      <c r="J76" t="n">
        <v>4</v>
      </c>
      <c r="K76" t="n">
        <v>0</v>
      </c>
      <c r="L76" t="n">
        <v>0</v>
      </c>
      <c r="M76" t="n">
        <v>0</v>
      </c>
      <c r="N76" t="n">
        <v>0</v>
      </c>
      <c r="O76" t="n">
        <v>4</v>
      </c>
      <c r="P76" t="n">
        <v>0</v>
      </c>
      <c r="Q76" t="n">
        <v>6</v>
      </c>
      <c r="R76" s="2" t="inlineStr">
        <is>
          <t>Garnlav
Kolflarnlav
Mörk kolflarnlav
Vedskivlav
Plattlummer
Tjäder</t>
        </is>
      </c>
      <c r="S76">
        <f>HYPERLINK("https://klasma.github.io/Logging_2039/artfynd/A 40417-2025 artfynd.xlsx", "A 40417-2025")</f>
        <v/>
      </c>
      <c r="T76">
        <f>HYPERLINK("https://klasma.github.io/Logging_2039/kartor/A 40417-2025 karta.png", "A 40417-2025")</f>
        <v/>
      </c>
      <c r="V76">
        <f>HYPERLINK("https://klasma.github.io/Logging_2039/klagomål/A 40417-2025 FSC-klagomål.docx", "A 40417-2025")</f>
        <v/>
      </c>
      <c r="W76">
        <f>HYPERLINK("https://klasma.github.io/Logging_2039/klagomålsmail/A 40417-2025 FSC-klagomål mail.docx", "A 40417-2025")</f>
        <v/>
      </c>
      <c r="X76">
        <f>HYPERLINK("https://klasma.github.io/Logging_2039/tillsyn/A 40417-2025 tillsynsbegäran.docx", "A 40417-2025")</f>
        <v/>
      </c>
      <c r="Y76">
        <f>HYPERLINK("https://klasma.github.io/Logging_2039/tillsynsmail/A 40417-2025 tillsynsbegäran mail.docx", "A 40417-2025")</f>
        <v/>
      </c>
      <c r="Z76">
        <f>HYPERLINK("https://klasma.github.io/Logging_2039/fåglar/A 40417-2025 prioriterade fågelarter.docx", "A 40417-2025")</f>
        <v/>
      </c>
    </row>
    <row r="77" ht="15" customHeight="1">
      <c r="A77" t="inlineStr">
        <is>
          <t>A 19534-2025</t>
        </is>
      </c>
      <c r="B77" s="1" t="n">
        <v>45770.47667824074</v>
      </c>
      <c r="C77" s="1" t="n">
        <v>45983</v>
      </c>
      <c r="D77" t="inlineStr">
        <is>
          <t>DALARNAS LÄN</t>
        </is>
      </c>
      <c r="E77" t="inlineStr">
        <is>
          <t>ÄLVDALEN</t>
        </is>
      </c>
      <c r="F77" t="inlineStr">
        <is>
          <t>Sveaskog</t>
        </is>
      </c>
      <c r="G77" t="n">
        <v>34</v>
      </c>
      <c r="H77" t="n">
        <v>1</v>
      </c>
      <c r="I77" t="n">
        <v>1</v>
      </c>
      <c r="J77" t="n">
        <v>5</v>
      </c>
      <c r="K77" t="n">
        <v>0</v>
      </c>
      <c r="L77" t="n">
        <v>0</v>
      </c>
      <c r="M77" t="n">
        <v>0</v>
      </c>
      <c r="N77" t="n">
        <v>0</v>
      </c>
      <c r="O77" t="n">
        <v>5</v>
      </c>
      <c r="P77" t="n">
        <v>0</v>
      </c>
      <c r="Q77" t="n">
        <v>6</v>
      </c>
      <c r="R77" s="2" t="inlineStr">
        <is>
          <t>Dvärgbägarlav
Kolflarnlav
Mörk kolflarnlav
Varglav
Vedflamlav
Dropptaggsvamp</t>
        </is>
      </c>
      <c r="S77">
        <f>HYPERLINK("https://klasma.github.io/Logging_2039/artfynd/A 19534-2025 artfynd.xlsx", "A 19534-2025")</f>
        <v/>
      </c>
      <c r="T77">
        <f>HYPERLINK("https://klasma.github.io/Logging_2039/kartor/A 19534-2025 karta.png", "A 19534-2025")</f>
        <v/>
      </c>
      <c r="V77">
        <f>HYPERLINK("https://klasma.github.io/Logging_2039/klagomål/A 19534-2025 FSC-klagomål.docx", "A 19534-2025")</f>
        <v/>
      </c>
      <c r="W77">
        <f>HYPERLINK("https://klasma.github.io/Logging_2039/klagomålsmail/A 19534-2025 FSC-klagomål mail.docx", "A 19534-2025")</f>
        <v/>
      </c>
      <c r="X77">
        <f>HYPERLINK("https://klasma.github.io/Logging_2039/tillsyn/A 19534-2025 tillsynsbegäran.docx", "A 19534-2025")</f>
        <v/>
      </c>
      <c r="Y77">
        <f>HYPERLINK("https://klasma.github.io/Logging_2039/tillsynsmail/A 19534-2025 tillsynsbegäran mail.docx", "A 19534-2025")</f>
        <v/>
      </c>
    </row>
    <row r="78" ht="15" customHeight="1">
      <c r="A78" t="inlineStr">
        <is>
          <t>A 54671-2021</t>
        </is>
      </c>
      <c r="B78" s="1" t="n">
        <v>44473</v>
      </c>
      <c r="C78" s="1" t="n">
        <v>45983</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19262-2025</t>
        </is>
      </c>
      <c r="B79" s="1" t="n">
        <v>45769.51054398148</v>
      </c>
      <c r="C79" s="1" t="n">
        <v>45983</v>
      </c>
      <c r="D79" t="inlineStr">
        <is>
          <t>DALARNAS LÄN</t>
        </is>
      </c>
      <c r="E79" t="inlineStr">
        <is>
          <t>ÄLVDALEN</t>
        </is>
      </c>
      <c r="F79" t="inlineStr">
        <is>
          <t>Allmännings- och besparingsskogar</t>
        </is>
      </c>
      <c r="G79" t="n">
        <v>8.800000000000001</v>
      </c>
      <c r="H79" t="n">
        <v>0</v>
      </c>
      <c r="I79" t="n">
        <v>1</v>
      </c>
      <c r="J79" t="n">
        <v>3</v>
      </c>
      <c r="K79" t="n">
        <v>1</v>
      </c>
      <c r="L79" t="n">
        <v>1</v>
      </c>
      <c r="M79" t="n">
        <v>0</v>
      </c>
      <c r="N79" t="n">
        <v>0</v>
      </c>
      <c r="O79" t="n">
        <v>5</v>
      </c>
      <c r="P79" t="n">
        <v>2</v>
      </c>
      <c r="Q79" t="n">
        <v>6</v>
      </c>
      <c r="R79" s="2" t="inlineStr">
        <is>
          <t>Broktagel
Gräddporing
Dvärgbägarlav
Garnlav
Nordtagging
Skuggblåslav</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39278-2022</t>
        </is>
      </c>
      <c r="B80" s="1" t="n">
        <v>44817</v>
      </c>
      <c r="C80" s="1" t="n">
        <v>45983</v>
      </c>
      <c r="D80" t="inlineStr">
        <is>
          <t>DALARNAS LÄN</t>
        </is>
      </c>
      <c r="E80" t="inlineStr">
        <is>
          <t>ÄLVDALEN</t>
        </is>
      </c>
      <c r="G80" t="n">
        <v>20.3</v>
      </c>
      <c r="H80" t="n">
        <v>1</v>
      </c>
      <c r="I80" t="n">
        <v>0</v>
      </c>
      <c r="J80" t="n">
        <v>4</v>
      </c>
      <c r="K80" t="n">
        <v>2</v>
      </c>
      <c r="L80" t="n">
        <v>0</v>
      </c>
      <c r="M80" t="n">
        <v>0</v>
      </c>
      <c r="N80" t="n">
        <v>0</v>
      </c>
      <c r="O80" t="n">
        <v>6</v>
      </c>
      <c r="P80" t="n">
        <v>2</v>
      </c>
      <c r="Q80" t="n">
        <v>6</v>
      </c>
      <c r="R80" s="2" t="inlineStr">
        <is>
          <t>Rynkskinn
Sprickporing
Granticka
Gränsticka
Tretåig hackspett
Violettgrå tagellav</t>
        </is>
      </c>
      <c r="S80">
        <f>HYPERLINK("https://klasma.github.io/Logging_2039/artfynd/A 39278-2022 artfynd.xlsx", "A 39278-2022")</f>
        <v/>
      </c>
      <c r="T80">
        <f>HYPERLINK("https://klasma.github.io/Logging_2039/kartor/A 39278-2022 karta.png", "A 39278-2022")</f>
        <v/>
      </c>
      <c r="V80">
        <f>HYPERLINK("https://klasma.github.io/Logging_2039/klagomål/A 39278-2022 FSC-klagomål.docx", "A 39278-2022")</f>
        <v/>
      </c>
      <c r="W80">
        <f>HYPERLINK("https://klasma.github.io/Logging_2039/klagomålsmail/A 39278-2022 FSC-klagomål mail.docx", "A 39278-2022")</f>
        <v/>
      </c>
      <c r="X80">
        <f>HYPERLINK("https://klasma.github.io/Logging_2039/tillsyn/A 39278-2022 tillsynsbegäran.docx", "A 39278-2022")</f>
        <v/>
      </c>
      <c r="Y80">
        <f>HYPERLINK("https://klasma.github.io/Logging_2039/tillsynsmail/A 39278-2022 tillsynsbegäran mail.docx", "A 39278-2022")</f>
        <v/>
      </c>
      <c r="Z80">
        <f>HYPERLINK("https://klasma.github.io/Logging_2039/fåglar/A 39278-2022 prioriterade fågelarter.docx", "A 39278-2022")</f>
        <v/>
      </c>
    </row>
    <row r="81" ht="15" customHeight="1">
      <c r="A81" t="inlineStr">
        <is>
          <t>A 10282-2024</t>
        </is>
      </c>
      <c r="B81" s="1" t="n">
        <v>45365</v>
      </c>
      <c r="C81" s="1" t="n">
        <v>45983</v>
      </c>
      <c r="D81" t="inlineStr">
        <is>
          <t>DALARNAS LÄN</t>
        </is>
      </c>
      <c r="E81" t="inlineStr">
        <is>
          <t>ÄLVDALEN</t>
        </is>
      </c>
      <c r="G81" t="n">
        <v>1.2</v>
      </c>
      <c r="H81" t="n">
        <v>1</v>
      </c>
      <c r="I81" t="n">
        <v>1</v>
      </c>
      <c r="J81" t="n">
        <v>3</v>
      </c>
      <c r="K81" t="n">
        <v>1</v>
      </c>
      <c r="L81" t="n">
        <v>0</v>
      </c>
      <c r="M81" t="n">
        <v>0</v>
      </c>
      <c r="N81" t="n">
        <v>0</v>
      </c>
      <c r="O81" t="n">
        <v>4</v>
      </c>
      <c r="P81" t="n">
        <v>1</v>
      </c>
      <c r="Q81" t="n">
        <v>5</v>
      </c>
      <c r="R81" s="2" t="inlineStr">
        <is>
          <t>Knärot
Garnlav
Ullticka
Violettgrå tagellav
Vedticka</t>
        </is>
      </c>
      <c r="S81">
        <f>HYPERLINK("https://klasma.github.io/Logging_2039/artfynd/A 10282-2024 artfynd.xlsx", "A 10282-2024")</f>
        <v/>
      </c>
      <c r="T81">
        <f>HYPERLINK("https://klasma.github.io/Logging_2039/kartor/A 10282-2024 karta.png", "A 10282-2024")</f>
        <v/>
      </c>
      <c r="U81">
        <f>HYPERLINK("https://klasma.github.io/Logging_2039/knärot/A 10282-2024 karta knärot.png", "A 10282-2024")</f>
        <v/>
      </c>
      <c r="V81">
        <f>HYPERLINK("https://klasma.github.io/Logging_2039/klagomål/A 10282-2024 FSC-klagomål.docx", "A 10282-2024")</f>
        <v/>
      </c>
      <c r="W81">
        <f>HYPERLINK("https://klasma.github.io/Logging_2039/klagomålsmail/A 10282-2024 FSC-klagomål mail.docx", "A 10282-2024")</f>
        <v/>
      </c>
      <c r="X81">
        <f>HYPERLINK("https://klasma.github.io/Logging_2039/tillsyn/A 10282-2024 tillsynsbegäran.docx", "A 10282-2024")</f>
        <v/>
      </c>
      <c r="Y81">
        <f>HYPERLINK("https://klasma.github.io/Logging_2039/tillsynsmail/A 10282-2024 tillsynsbegäran mail.docx", "A 10282-2024")</f>
        <v/>
      </c>
    </row>
    <row r="82" ht="15" customHeight="1">
      <c r="A82" t="inlineStr">
        <is>
          <t>A 41782-2025</t>
        </is>
      </c>
      <c r="B82" s="1" t="n">
        <v>45902.58693287037</v>
      </c>
      <c r="C82" s="1" t="n">
        <v>45983</v>
      </c>
      <c r="D82" t="inlineStr">
        <is>
          <t>DALARNAS LÄN</t>
        </is>
      </c>
      <c r="E82" t="inlineStr">
        <is>
          <t>ÄLVDALEN</t>
        </is>
      </c>
      <c r="F82" t="inlineStr">
        <is>
          <t>Sveaskog</t>
        </is>
      </c>
      <c r="G82" t="n">
        <v>22.8</v>
      </c>
      <c r="H82" t="n">
        <v>2</v>
      </c>
      <c r="I82" t="n">
        <v>3</v>
      </c>
      <c r="J82" t="n">
        <v>2</v>
      </c>
      <c r="K82" t="n">
        <v>0</v>
      </c>
      <c r="L82" t="n">
        <v>0</v>
      </c>
      <c r="M82" t="n">
        <v>0</v>
      </c>
      <c r="N82" t="n">
        <v>0</v>
      </c>
      <c r="O82" t="n">
        <v>2</v>
      </c>
      <c r="P82" t="n">
        <v>0</v>
      </c>
      <c r="Q82" t="n">
        <v>5</v>
      </c>
      <c r="R82" s="2" t="inlineStr">
        <is>
          <t>Blå taggsvamp
Talltita
Dropptaggsvamp
Plattlummer
Skarp dropptaggsvamp</t>
        </is>
      </c>
      <c r="S82">
        <f>HYPERLINK("https://klasma.github.io/Logging_2039/artfynd/A 41782-2025 artfynd.xlsx", "A 41782-2025")</f>
        <v/>
      </c>
      <c r="T82">
        <f>HYPERLINK("https://klasma.github.io/Logging_2039/kartor/A 41782-2025 karta.png", "A 41782-2025")</f>
        <v/>
      </c>
      <c r="V82">
        <f>HYPERLINK("https://klasma.github.io/Logging_2039/klagomål/A 41782-2025 FSC-klagomål.docx", "A 41782-2025")</f>
        <v/>
      </c>
      <c r="W82">
        <f>HYPERLINK("https://klasma.github.io/Logging_2039/klagomålsmail/A 41782-2025 FSC-klagomål mail.docx", "A 41782-2025")</f>
        <v/>
      </c>
      <c r="X82">
        <f>HYPERLINK("https://klasma.github.io/Logging_2039/tillsyn/A 41782-2025 tillsynsbegäran.docx", "A 41782-2025")</f>
        <v/>
      </c>
      <c r="Y82">
        <f>HYPERLINK("https://klasma.github.io/Logging_2039/tillsynsmail/A 41782-2025 tillsynsbegäran mail.docx", "A 41782-2025")</f>
        <v/>
      </c>
      <c r="Z82">
        <f>HYPERLINK("https://klasma.github.io/Logging_2039/fåglar/A 41782-2025 prioriterade fågelarter.docx", "A 41782-2025")</f>
        <v/>
      </c>
    </row>
    <row r="83" ht="15" customHeight="1">
      <c r="A83" t="inlineStr">
        <is>
          <t>A 16894-2025</t>
        </is>
      </c>
      <c r="B83" s="1" t="n">
        <v>45755.33045138889</v>
      </c>
      <c r="C83" s="1" t="n">
        <v>45983</v>
      </c>
      <c r="D83" t="inlineStr">
        <is>
          <t>DALARNAS LÄN</t>
        </is>
      </c>
      <c r="E83" t="inlineStr">
        <is>
          <t>ÄLVDALEN</t>
        </is>
      </c>
      <c r="F83" t="inlineStr">
        <is>
          <t>Sveaskog</t>
        </is>
      </c>
      <c r="G83" t="n">
        <v>17.3</v>
      </c>
      <c r="H83" t="n">
        <v>0</v>
      </c>
      <c r="I83" t="n">
        <v>1</v>
      </c>
      <c r="J83" t="n">
        <v>4</v>
      </c>
      <c r="K83" t="n">
        <v>0</v>
      </c>
      <c r="L83" t="n">
        <v>0</v>
      </c>
      <c r="M83" t="n">
        <v>0</v>
      </c>
      <c r="N83" t="n">
        <v>0</v>
      </c>
      <c r="O83" t="n">
        <v>4</v>
      </c>
      <c r="P83" t="n">
        <v>0</v>
      </c>
      <c r="Q83" t="n">
        <v>5</v>
      </c>
      <c r="R83" s="2" t="inlineStr">
        <is>
          <t>Dvärgbägarlav
Kolflarnlav
Mörk kolflarnlav
Vedflamlav
Dropptaggsvamp</t>
        </is>
      </c>
      <c r="S83">
        <f>HYPERLINK("https://klasma.github.io/Logging_2039/artfynd/A 16894-2025 artfynd.xlsx", "A 16894-2025")</f>
        <v/>
      </c>
      <c r="T83">
        <f>HYPERLINK("https://klasma.github.io/Logging_2039/kartor/A 16894-2025 karta.png", "A 16894-2025")</f>
        <v/>
      </c>
      <c r="V83">
        <f>HYPERLINK("https://klasma.github.io/Logging_2039/klagomål/A 16894-2025 FSC-klagomål.docx", "A 16894-2025")</f>
        <v/>
      </c>
      <c r="W83">
        <f>HYPERLINK("https://klasma.github.io/Logging_2039/klagomålsmail/A 16894-2025 FSC-klagomål mail.docx", "A 16894-2025")</f>
        <v/>
      </c>
      <c r="X83">
        <f>HYPERLINK("https://klasma.github.io/Logging_2039/tillsyn/A 16894-2025 tillsynsbegäran.docx", "A 16894-2025")</f>
        <v/>
      </c>
      <c r="Y83">
        <f>HYPERLINK("https://klasma.github.io/Logging_2039/tillsynsmail/A 16894-2025 tillsynsbegäran mail.docx", "A 16894-2025")</f>
        <v/>
      </c>
    </row>
    <row r="84" ht="15" customHeight="1">
      <c r="A84" t="inlineStr">
        <is>
          <t>A 38585-2023</t>
        </is>
      </c>
      <c r="B84" s="1" t="n">
        <v>45162</v>
      </c>
      <c r="C84" s="1" t="n">
        <v>45983</v>
      </c>
      <c r="D84" t="inlineStr">
        <is>
          <t>DALARNAS LÄN</t>
        </is>
      </c>
      <c r="E84" t="inlineStr">
        <is>
          <t>ÄLVDALEN</t>
        </is>
      </c>
      <c r="F84" t="inlineStr">
        <is>
          <t>Sveaskog</t>
        </is>
      </c>
      <c r="G84" t="n">
        <v>7.8</v>
      </c>
      <c r="H84" t="n">
        <v>0</v>
      </c>
      <c r="I84" t="n">
        <v>1</v>
      </c>
      <c r="J84" t="n">
        <v>4</v>
      </c>
      <c r="K84" t="n">
        <v>0</v>
      </c>
      <c r="L84" t="n">
        <v>0</v>
      </c>
      <c r="M84" t="n">
        <v>0</v>
      </c>
      <c r="N84" t="n">
        <v>0</v>
      </c>
      <c r="O84" t="n">
        <v>4</v>
      </c>
      <c r="P84" t="n">
        <v>0</v>
      </c>
      <c r="Q84" t="n">
        <v>5</v>
      </c>
      <c r="R84" s="2" t="inlineStr">
        <is>
          <t>Blanksvart spiklav
Blå taggsvamp
Dvärgbägarlav
Kolflarnlav
Dropptaggsvamp</t>
        </is>
      </c>
      <c r="S84">
        <f>HYPERLINK("https://klasma.github.io/Logging_2039/artfynd/A 38585-2023 artfynd.xlsx", "A 38585-2023")</f>
        <v/>
      </c>
      <c r="T84">
        <f>HYPERLINK("https://klasma.github.io/Logging_2039/kartor/A 38585-2023 karta.png", "A 38585-2023")</f>
        <v/>
      </c>
      <c r="V84">
        <f>HYPERLINK("https://klasma.github.io/Logging_2039/klagomål/A 38585-2023 FSC-klagomål.docx", "A 38585-2023")</f>
        <v/>
      </c>
      <c r="W84">
        <f>HYPERLINK("https://klasma.github.io/Logging_2039/klagomålsmail/A 38585-2023 FSC-klagomål mail.docx", "A 38585-2023")</f>
        <v/>
      </c>
      <c r="X84">
        <f>HYPERLINK("https://klasma.github.io/Logging_2039/tillsyn/A 38585-2023 tillsynsbegäran.docx", "A 38585-2023")</f>
        <v/>
      </c>
      <c r="Y84">
        <f>HYPERLINK("https://klasma.github.io/Logging_2039/tillsynsmail/A 38585-2023 tillsynsbegäran mail.docx", "A 38585-2023")</f>
        <v/>
      </c>
    </row>
    <row r="85" ht="15" customHeight="1">
      <c r="A85" t="inlineStr">
        <is>
          <t>A 49053-2023</t>
        </is>
      </c>
      <c r="B85" s="1" t="n">
        <v>45210</v>
      </c>
      <c r="C85" s="1" t="n">
        <v>45983</v>
      </c>
      <c r="D85" t="inlineStr">
        <is>
          <t>DALARNAS LÄN</t>
        </is>
      </c>
      <c r="E85" t="inlineStr">
        <is>
          <t>ÄLVDALEN</t>
        </is>
      </c>
      <c r="F85" t="inlineStr">
        <is>
          <t>Sveaskog</t>
        </is>
      </c>
      <c r="G85" t="n">
        <v>3.6</v>
      </c>
      <c r="H85" t="n">
        <v>0</v>
      </c>
      <c r="I85" t="n">
        <v>2</v>
      </c>
      <c r="J85" t="n">
        <v>3</v>
      </c>
      <c r="K85" t="n">
        <v>0</v>
      </c>
      <c r="L85" t="n">
        <v>0</v>
      </c>
      <c r="M85" t="n">
        <v>0</v>
      </c>
      <c r="N85" t="n">
        <v>0</v>
      </c>
      <c r="O85" t="n">
        <v>3</v>
      </c>
      <c r="P85" t="n">
        <v>0</v>
      </c>
      <c r="Q85" t="n">
        <v>5</v>
      </c>
      <c r="R85" s="2" t="inlineStr">
        <is>
          <t>Kolflarnlav
Nordtagging
Vedflamlav
Dropptaggsvamp
Skarp dropptaggsvamp</t>
        </is>
      </c>
      <c r="S85">
        <f>HYPERLINK("https://klasma.github.io/Logging_2039/artfynd/A 49053-2023 artfynd.xlsx", "A 49053-2023")</f>
        <v/>
      </c>
      <c r="T85">
        <f>HYPERLINK("https://klasma.github.io/Logging_2039/kartor/A 49053-2023 karta.png", "A 49053-2023")</f>
        <v/>
      </c>
      <c r="V85">
        <f>HYPERLINK("https://klasma.github.io/Logging_2039/klagomål/A 49053-2023 FSC-klagomål.docx", "A 49053-2023")</f>
        <v/>
      </c>
      <c r="W85">
        <f>HYPERLINK("https://klasma.github.io/Logging_2039/klagomålsmail/A 49053-2023 FSC-klagomål mail.docx", "A 49053-2023")</f>
        <v/>
      </c>
      <c r="X85">
        <f>HYPERLINK("https://klasma.github.io/Logging_2039/tillsyn/A 49053-2023 tillsynsbegäran.docx", "A 49053-2023")</f>
        <v/>
      </c>
      <c r="Y85">
        <f>HYPERLINK("https://klasma.github.io/Logging_2039/tillsynsmail/A 49053-2023 tillsynsbegäran mail.docx", "A 49053-2023")</f>
        <v/>
      </c>
    </row>
    <row r="86" ht="15" customHeight="1">
      <c r="A86" t="inlineStr">
        <is>
          <t>A 19616-2024</t>
        </is>
      </c>
      <c r="B86" s="1" t="n">
        <v>45432.31541666666</v>
      </c>
      <c r="C86" s="1" t="n">
        <v>45983</v>
      </c>
      <c r="D86" t="inlineStr">
        <is>
          <t>DALARNAS LÄN</t>
        </is>
      </c>
      <c r="E86" t="inlineStr">
        <is>
          <t>ÄLVDALEN</t>
        </is>
      </c>
      <c r="F86" t="inlineStr">
        <is>
          <t>Sveaskog</t>
        </is>
      </c>
      <c r="G86" t="n">
        <v>6.5</v>
      </c>
      <c r="H86" t="n">
        <v>1</v>
      </c>
      <c r="I86" t="n">
        <v>0</v>
      </c>
      <c r="J86" t="n">
        <v>5</v>
      </c>
      <c r="K86" t="n">
        <v>0</v>
      </c>
      <c r="L86" t="n">
        <v>0</v>
      </c>
      <c r="M86" t="n">
        <v>0</v>
      </c>
      <c r="N86" t="n">
        <v>0</v>
      </c>
      <c r="O86" t="n">
        <v>5</v>
      </c>
      <c r="P86" t="n">
        <v>0</v>
      </c>
      <c r="Q86" t="n">
        <v>5</v>
      </c>
      <c r="R86" s="2" t="inlineStr">
        <is>
          <t>Blanksvart spiklav
Kolflarnlav
Mörk kolflarnlav
Varglav
Vedflamlav</t>
        </is>
      </c>
      <c r="S86">
        <f>HYPERLINK("https://klasma.github.io/Logging_2039/artfynd/A 19616-2024 artfynd.xlsx", "A 19616-2024")</f>
        <v/>
      </c>
      <c r="T86">
        <f>HYPERLINK("https://klasma.github.io/Logging_2039/kartor/A 19616-2024 karta.png", "A 19616-2024")</f>
        <v/>
      </c>
      <c r="V86">
        <f>HYPERLINK("https://klasma.github.io/Logging_2039/klagomål/A 19616-2024 FSC-klagomål.docx", "A 19616-2024")</f>
        <v/>
      </c>
      <c r="W86">
        <f>HYPERLINK("https://klasma.github.io/Logging_2039/klagomålsmail/A 19616-2024 FSC-klagomål mail.docx", "A 19616-2024")</f>
        <v/>
      </c>
      <c r="X86">
        <f>HYPERLINK("https://klasma.github.io/Logging_2039/tillsyn/A 19616-2024 tillsynsbegäran.docx", "A 19616-2024")</f>
        <v/>
      </c>
      <c r="Y86">
        <f>HYPERLINK("https://klasma.github.io/Logging_2039/tillsynsmail/A 19616-2024 tillsynsbegäran mail.docx", "A 19616-2024")</f>
        <v/>
      </c>
    </row>
    <row r="87" ht="15" customHeight="1">
      <c r="A87" t="inlineStr">
        <is>
          <t>A 25089-2024</t>
        </is>
      </c>
      <c r="B87" s="1" t="n">
        <v>45462.39879629629</v>
      </c>
      <c r="C87" s="1" t="n">
        <v>45983</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22291-2025</t>
        </is>
      </c>
      <c r="B88" s="1" t="n">
        <v>45786.34568287037</v>
      </c>
      <c r="C88" s="1" t="n">
        <v>45983</v>
      </c>
      <c r="D88" t="inlineStr">
        <is>
          <t>DALARNAS LÄN</t>
        </is>
      </c>
      <c r="E88" t="inlineStr">
        <is>
          <t>ÄLVDALEN</t>
        </is>
      </c>
      <c r="F88" t="inlineStr">
        <is>
          <t>Sveaskog</t>
        </is>
      </c>
      <c r="G88" t="n">
        <v>3.7</v>
      </c>
      <c r="H88" t="n">
        <v>0</v>
      </c>
      <c r="I88" t="n">
        <v>1</v>
      </c>
      <c r="J88" t="n">
        <v>3</v>
      </c>
      <c r="K88" t="n">
        <v>0</v>
      </c>
      <c r="L88" t="n">
        <v>0</v>
      </c>
      <c r="M88" t="n">
        <v>0</v>
      </c>
      <c r="N88" t="n">
        <v>0</v>
      </c>
      <c r="O88" t="n">
        <v>3</v>
      </c>
      <c r="P88" t="n">
        <v>0</v>
      </c>
      <c r="Q88" t="n">
        <v>4</v>
      </c>
      <c r="R88" s="2" t="inlineStr">
        <is>
          <t>Kolflarnlav
Mörk kolflarnlav
Vedflamlav
Dropptaggsvamp</t>
        </is>
      </c>
      <c r="S88">
        <f>HYPERLINK("https://klasma.github.io/Logging_2039/artfynd/A 22291-2025 artfynd.xlsx", "A 22291-2025")</f>
        <v/>
      </c>
      <c r="T88">
        <f>HYPERLINK("https://klasma.github.io/Logging_2039/kartor/A 22291-2025 karta.png", "A 22291-2025")</f>
        <v/>
      </c>
      <c r="V88">
        <f>HYPERLINK("https://klasma.github.io/Logging_2039/klagomål/A 22291-2025 FSC-klagomål.docx", "A 22291-2025")</f>
        <v/>
      </c>
      <c r="W88">
        <f>HYPERLINK("https://klasma.github.io/Logging_2039/klagomålsmail/A 22291-2025 FSC-klagomål mail.docx", "A 22291-2025")</f>
        <v/>
      </c>
      <c r="X88">
        <f>HYPERLINK("https://klasma.github.io/Logging_2039/tillsyn/A 22291-2025 tillsynsbegäran.docx", "A 22291-2025")</f>
        <v/>
      </c>
      <c r="Y88">
        <f>HYPERLINK("https://klasma.github.io/Logging_2039/tillsynsmail/A 22291-2025 tillsynsbegäran mail.docx", "A 22291-2025")</f>
        <v/>
      </c>
    </row>
    <row r="89" ht="15" customHeight="1">
      <c r="A89" t="inlineStr">
        <is>
          <t>A 25090-2025</t>
        </is>
      </c>
      <c r="B89" s="1" t="n">
        <v>45800.31733796297</v>
      </c>
      <c r="C89" s="1" t="n">
        <v>45983</v>
      </c>
      <c r="D89" t="inlineStr">
        <is>
          <t>DALARNAS LÄN</t>
        </is>
      </c>
      <c r="E89" t="inlineStr">
        <is>
          <t>ÄLVDALEN</t>
        </is>
      </c>
      <c r="F89" t="inlineStr">
        <is>
          <t>Sveaskog</t>
        </is>
      </c>
      <c r="G89" t="n">
        <v>12.5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HYPERLINK("https://klasma.github.io/Logging_2039/artfynd/A 25090-2025 artfynd.xlsx", "A 25090-2025")</f>
        <v/>
      </c>
      <c r="T89">
        <f>HYPERLINK("https://klasma.github.io/Logging_2039/kartor/A 25090-2025 karta.png", "A 25090-2025")</f>
        <v/>
      </c>
      <c r="V89">
        <f>HYPERLINK("https://klasma.github.io/Logging_2039/klagomål/A 25090-2025 FSC-klagomål.docx", "A 25090-2025")</f>
        <v/>
      </c>
      <c r="W89">
        <f>HYPERLINK("https://klasma.github.io/Logging_2039/klagomålsmail/A 25090-2025 FSC-klagomål mail.docx", "A 25090-2025")</f>
        <v/>
      </c>
      <c r="X89">
        <f>HYPERLINK("https://klasma.github.io/Logging_2039/tillsyn/A 25090-2025 tillsynsbegäran.docx", "A 25090-2025")</f>
        <v/>
      </c>
      <c r="Y89">
        <f>HYPERLINK("https://klasma.github.io/Logging_2039/tillsynsmail/A 25090-2025 tillsynsbegäran mail.docx", "A 25090-2025")</f>
        <v/>
      </c>
    </row>
    <row r="90" ht="15" customHeight="1">
      <c r="A90" t="inlineStr">
        <is>
          <t>A 36580-2024</t>
        </is>
      </c>
      <c r="B90" s="1" t="n">
        <v>45537.50400462963</v>
      </c>
      <c r="C90" s="1" t="n">
        <v>45983</v>
      </c>
      <c r="D90" t="inlineStr">
        <is>
          <t>DALARNAS LÄN</t>
        </is>
      </c>
      <c r="E90" t="inlineStr">
        <is>
          <t>ÄLVDALEN</t>
        </is>
      </c>
      <c r="F90" t="inlineStr">
        <is>
          <t>Sveaskog</t>
        </is>
      </c>
      <c r="G90" t="n">
        <v>4.2</v>
      </c>
      <c r="H90" t="n">
        <v>0</v>
      </c>
      <c r="I90" t="n">
        <v>0</v>
      </c>
      <c r="J90" t="n">
        <v>4</v>
      </c>
      <c r="K90" t="n">
        <v>0</v>
      </c>
      <c r="L90" t="n">
        <v>0</v>
      </c>
      <c r="M90" t="n">
        <v>0</v>
      </c>
      <c r="N90" t="n">
        <v>0</v>
      </c>
      <c r="O90" t="n">
        <v>4</v>
      </c>
      <c r="P90" t="n">
        <v>0</v>
      </c>
      <c r="Q90" t="n">
        <v>4</v>
      </c>
      <c r="R90" s="2" t="inlineStr">
        <is>
          <t>Garnlav
Kolflarnlav
Mörk kolflarnlav
Vedflamlav</t>
        </is>
      </c>
      <c r="S90">
        <f>HYPERLINK("https://klasma.github.io/Logging_2039/artfynd/A 36580-2024 artfynd.xlsx", "A 36580-2024")</f>
        <v/>
      </c>
      <c r="T90">
        <f>HYPERLINK("https://klasma.github.io/Logging_2039/kartor/A 36580-2024 karta.png", "A 36580-2024")</f>
        <v/>
      </c>
      <c r="V90">
        <f>HYPERLINK("https://klasma.github.io/Logging_2039/klagomål/A 36580-2024 FSC-klagomål.docx", "A 36580-2024")</f>
        <v/>
      </c>
      <c r="W90">
        <f>HYPERLINK("https://klasma.github.io/Logging_2039/klagomålsmail/A 36580-2024 FSC-klagomål mail.docx", "A 36580-2024")</f>
        <v/>
      </c>
      <c r="X90">
        <f>HYPERLINK("https://klasma.github.io/Logging_2039/tillsyn/A 36580-2024 tillsynsbegäran.docx", "A 36580-2024")</f>
        <v/>
      </c>
      <c r="Y90">
        <f>HYPERLINK("https://klasma.github.io/Logging_2039/tillsynsmail/A 36580-2024 tillsynsbegäran mail.docx", "A 36580-2024")</f>
        <v/>
      </c>
    </row>
    <row r="91" ht="15" customHeight="1">
      <c r="A91" t="inlineStr">
        <is>
          <t>A 51896-2025</t>
        </is>
      </c>
      <c r="B91" s="1" t="n">
        <v>45952.43372685185</v>
      </c>
      <c r="C91" s="1" t="n">
        <v>45983</v>
      </c>
      <c r="D91" t="inlineStr">
        <is>
          <t>DALARNAS LÄN</t>
        </is>
      </c>
      <c r="E91" t="inlineStr">
        <is>
          <t>ÄLVDALEN</t>
        </is>
      </c>
      <c r="G91" t="n">
        <v>8</v>
      </c>
      <c r="H91" t="n">
        <v>2</v>
      </c>
      <c r="I91" t="n">
        <v>1</v>
      </c>
      <c r="J91" t="n">
        <v>2</v>
      </c>
      <c r="K91" t="n">
        <v>0</v>
      </c>
      <c r="L91" t="n">
        <v>0</v>
      </c>
      <c r="M91" t="n">
        <v>0</v>
      </c>
      <c r="N91" t="n">
        <v>0</v>
      </c>
      <c r="O91" t="n">
        <v>2</v>
      </c>
      <c r="P91" t="n">
        <v>0</v>
      </c>
      <c r="Q91" t="n">
        <v>4</v>
      </c>
      <c r="R91" s="2" t="inlineStr">
        <is>
          <t>Garnlav
Spillkråka
Mindre märgborre
Tjäder</t>
        </is>
      </c>
      <c r="S91">
        <f>HYPERLINK("https://klasma.github.io/Logging_2039/artfynd/A 51896-2025 artfynd.xlsx", "A 51896-2025")</f>
        <v/>
      </c>
      <c r="T91">
        <f>HYPERLINK("https://klasma.github.io/Logging_2039/kartor/A 51896-2025 karta.png", "A 51896-2025")</f>
        <v/>
      </c>
      <c r="V91">
        <f>HYPERLINK("https://klasma.github.io/Logging_2039/klagomål/A 51896-2025 FSC-klagomål.docx", "A 51896-2025")</f>
        <v/>
      </c>
      <c r="W91">
        <f>HYPERLINK("https://klasma.github.io/Logging_2039/klagomålsmail/A 51896-2025 FSC-klagomål mail.docx", "A 51896-2025")</f>
        <v/>
      </c>
      <c r="X91">
        <f>HYPERLINK("https://klasma.github.io/Logging_2039/tillsyn/A 51896-2025 tillsynsbegäran.docx", "A 51896-2025")</f>
        <v/>
      </c>
      <c r="Y91">
        <f>HYPERLINK("https://klasma.github.io/Logging_2039/tillsynsmail/A 51896-2025 tillsynsbegäran mail.docx", "A 51896-2025")</f>
        <v/>
      </c>
      <c r="Z91">
        <f>HYPERLINK("https://klasma.github.io/Logging_2039/fåglar/A 51896-2025 prioriterade fågelarter.docx", "A 51896-2025")</f>
        <v/>
      </c>
    </row>
    <row r="92" ht="15" customHeight="1">
      <c r="A92" t="inlineStr">
        <is>
          <t>A 43344-2025</t>
        </is>
      </c>
      <c r="B92" s="1" t="n">
        <v>45910.76924768519</v>
      </c>
      <c r="C92" s="1" t="n">
        <v>45983</v>
      </c>
      <c r="D92" t="inlineStr">
        <is>
          <t>DALARNAS LÄN</t>
        </is>
      </c>
      <c r="E92" t="inlineStr">
        <is>
          <t>ÄLVDALEN</t>
        </is>
      </c>
      <c r="G92" t="n">
        <v>11.6</v>
      </c>
      <c r="H92" t="n">
        <v>1</v>
      </c>
      <c r="I92" t="n">
        <v>1</v>
      </c>
      <c r="J92" t="n">
        <v>3</v>
      </c>
      <c r="K92" t="n">
        <v>0</v>
      </c>
      <c r="L92" t="n">
        <v>0</v>
      </c>
      <c r="M92" t="n">
        <v>0</v>
      </c>
      <c r="N92" t="n">
        <v>0</v>
      </c>
      <c r="O92" t="n">
        <v>3</v>
      </c>
      <c r="P92" t="n">
        <v>0</v>
      </c>
      <c r="Q92" t="n">
        <v>4</v>
      </c>
      <c r="R92" s="2" t="inlineStr">
        <is>
          <t>Garnlav
Motaggsvamp
Talltita
Nästlav</t>
        </is>
      </c>
      <c r="S92">
        <f>HYPERLINK("https://klasma.github.io/Logging_2039/artfynd/A 43344-2025 artfynd.xlsx", "A 43344-2025")</f>
        <v/>
      </c>
      <c r="T92">
        <f>HYPERLINK("https://klasma.github.io/Logging_2039/kartor/A 43344-2025 karta.png", "A 43344-2025")</f>
        <v/>
      </c>
      <c r="V92">
        <f>HYPERLINK("https://klasma.github.io/Logging_2039/klagomål/A 43344-2025 FSC-klagomål.docx", "A 43344-2025")</f>
        <v/>
      </c>
      <c r="W92">
        <f>HYPERLINK("https://klasma.github.io/Logging_2039/klagomålsmail/A 43344-2025 FSC-klagomål mail.docx", "A 43344-2025")</f>
        <v/>
      </c>
      <c r="X92">
        <f>HYPERLINK("https://klasma.github.io/Logging_2039/tillsyn/A 43344-2025 tillsynsbegäran.docx", "A 43344-2025")</f>
        <v/>
      </c>
      <c r="Y92">
        <f>HYPERLINK("https://klasma.github.io/Logging_2039/tillsynsmail/A 43344-2025 tillsynsbegäran mail.docx", "A 43344-2025")</f>
        <v/>
      </c>
      <c r="Z92">
        <f>HYPERLINK("https://klasma.github.io/Logging_2039/fåglar/A 43344-2025 prioriterade fågelarter.docx", "A 43344-2025")</f>
        <v/>
      </c>
    </row>
    <row r="93" ht="15" customHeight="1">
      <c r="A93" t="inlineStr">
        <is>
          <t>A 55222-2025</t>
        </is>
      </c>
      <c r="B93" s="1" t="n">
        <v>45968.59255787037</v>
      </c>
      <c r="C93" s="1" t="n">
        <v>45983</v>
      </c>
      <c r="D93" t="inlineStr">
        <is>
          <t>DALARNAS LÄN</t>
        </is>
      </c>
      <c r="E93" t="inlineStr">
        <is>
          <t>ÄLVDALEN</t>
        </is>
      </c>
      <c r="F93" t="inlineStr">
        <is>
          <t>Sveaskog</t>
        </is>
      </c>
      <c r="G93" t="n">
        <v>2.8</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55222-2025 artfynd.xlsx", "A 55222-2025")</f>
        <v/>
      </c>
      <c r="T93">
        <f>HYPERLINK("https://klasma.github.io/Logging_2039/kartor/A 55222-2025 karta.png", "A 55222-2025")</f>
        <v/>
      </c>
      <c r="V93">
        <f>HYPERLINK("https://klasma.github.io/Logging_2039/klagomål/A 55222-2025 FSC-klagomål.docx", "A 55222-2025")</f>
        <v/>
      </c>
      <c r="W93">
        <f>HYPERLINK("https://klasma.github.io/Logging_2039/klagomålsmail/A 55222-2025 FSC-klagomål mail.docx", "A 55222-2025")</f>
        <v/>
      </c>
      <c r="X93">
        <f>HYPERLINK("https://klasma.github.io/Logging_2039/tillsyn/A 55222-2025 tillsynsbegäran.docx", "A 55222-2025")</f>
        <v/>
      </c>
      <c r="Y93">
        <f>HYPERLINK("https://klasma.github.io/Logging_2039/tillsynsmail/A 55222-2025 tillsynsbegäran mail.docx", "A 55222-2025")</f>
        <v/>
      </c>
    </row>
    <row r="94" ht="15" customHeight="1">
      <c r="A94" t="inlineStr">
        <is>
          <t>A 32207-2024</t>
        </is>
      </c>
      <c r="B94" s="1" t="n">
        <v>45511.67440972223</v>
      </c>
      <c r="C94" s="1" t="n">
        <v>45983</v>
      </c>
      <c r="D94" t="inlineStr">
        <is>
          <t>DALARNAS LÄN</t>
        </is>
      </c>
      <c r="E94" t="inlineStr">
        <is>
          <t>ÄLVDALEN</t>
        </is>
      </c>
      <c r="F94" t="inlineStr">
        <is>
          <t>Sveaskog</t>
        </is>
      </c>
      <c r="G94" t="n">
        <v>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32207-2024 artfynd.xlsx", "A 32207-2024")</f>
        <v/>
      </c>
      <c r="T94">
        <f>HYPERLINK("https://klasma.github.io/Logging_2039/kartor/A 32207-2024 karta.png", "A 32207-2024")</f>
        <v/>
      </c>
      <c r="V94">
        <f>HYPERLINK("https://klasma.github.io/Logging_2039/klagomål/A 32207-2024 FSC-klagomål.docx", "A 32207-2024")</f>
        <v/>
      </c>
      <c r="W94">
        <f>HYPERLINK("https://klasma.github.io/Logging_2039/klagomålsmail/A 32207-2024 FSC-klagomål mail.docx", "A 32207-2024")</f>
        <v/>
      </c>
      <c r="X94">
        <f>HYPERLINK("https://klasma.github.io/Logging_2039/tillsyn/A 32207-2024 tillsynsbegäran.docx", "A 32207-2024")</f>
        <v/>
      </c>
      <c r="Y94">
        <f>HYPERLINK("https://klasma.github.io/Logging_2039/tillsynsmail/A 32207-2024 tillsynsbegäran mail.docx", "A 32207-2024")</f>
        <v/>
      </c>
    </row>
    <row r="95" ht="15" customHeight="1">
      <c r="A95" t="inlineStr">
        <is>
          <t>A 29252-2023</t>
        </is>
      </c>
      <c r="B95" s="1" t="n">
        <v>45105</v>
      </c>
      <c r="C95" s="1" t="n">
        <v>45983</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32204-2024</t>
        </is>
      </c>
      <c r="B96" s="1" t="n">
        <v>45511.67277777778</v>
      </c>
      <c r="C96" s="1" t="n">
        <v>45983</v>
      </c>
      <c r="D96" t="inlineStr">
        <is>
          <t>DALARNAS LÄN</t>
        </is>
      </c>
      <c r="E96" t="inlineStr">
        <is>
          <t>ÄLVDALEN</t>
        </is>
      </c>
      <c r="F96" t="inlineStr">
        <is>
          <t>Sveaskog</t>
        </is>
      </c>
      <c r="G96" t="n">
        <v>2.9</v>
      </c>
      <c r="H96" t="n">
        <v>0</v>
      </c>
      <c r="I96" t="n">
        <v>0</v>
      </c>
      <c r="J96" t="n">
        <v>4</v>
      </c>
      <c r="K96" t="n">
        <v>0</v>
      </c>
      <c r="L96" t="n">
        <v>0</v>
      </c>
      <c r="M96" t="n">
        <v>0</v>
      </c>
      <c r="N96" t="n">
        <v>0</v>
      </c>
      <c r="O96" t="n">
        <v>4</v>
      </c>
      <c r="P96" t="n">
        <v>0</v>
      </c>
      <c r="Q96" t="n">
        <v>4</v>
      </c>
      <c r="R96" s="2" t="inlineStr">
        <is>
          <t>Blanksvart spiklav
Kolflarnlav
Mörk kolflarnlav
Vedflamlav</t>
        </is>
      </c>
      <c r="S96">
        <f>HYPERLINK("https://klasma.github.io/Logging_2039/artfynd/A 32204-2024 artfynd.xlsx", "A 32204-2024")</f>
        <v/>
      </c>
      <c r="T96">
        <f>HYPERLINK("https://klasma.github.io/Logging_2039/kartor/A 32204-2024 karta.png", "A 32204-2024")</f>
        <v/>
      </c>
      <c r="V96">
        <f>HYPERLINK("https://klasma.github.io/Logging_2039/klagomål/A 32204-2024 FSC-klagomål.docx", "A 32204-2024")</f>
        <v/>
      </c>
      <c r="W96">
        <f>HYPERLINK("https://klasma.github.io/Logging_2039/klagomålsmail/A 32204-2024 FSC-klagomål mail.docx", "A 32204-2024")</f>
        <v/>
      </c>
      <c r="X96">
        <f>HYPERLINK("https://klasma.github.io/Logging_2039/tillsyn/A 32204-2024 tillsynsbegäran.docx", "A 32204-2024")</f>
        <v/>
      </c>
      <c r="Y96">
        <f>HYPERLINK("https://klasma.github.io/Logging_2039/tillsynsmail/A 32204-2024 tillsynsbegäran mail.docx", "A 32204-2024")</f>
        <v/>
      </c>
    </row>
    <row r="97" ht="15" customHeight="1">
      <c r="A97" t="inlineStr">
        <is>
          <t>A 38819-2024</t>
        </is>
      </c>
      <c r="B97" s="1" t="n">
        <v>45547.5541087963</v>
      </c>
      <c r="C97" s="1" t="n">
        <v>45983</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57505-2024</t>
        </is>
      </c>
      <c r="B98" s="1" t="n">
        <v>45630</v>
      </c>
      <c r="C98" s="1" t="n">
        <v>45983</v>
      </c>
      <c r="D98" t="inlineStr">
        <is>
          <t>DALARNAS LÄN</t>
        </is>
      </c>
      <c r="E98" t="inlineStr">
        <is>
          <t>ÄLVDALEN</t>
        </is>
      </c>
      <c r="F98" t="inlineStr">
        <is>
          <t>Allmännings- och besparingsskogar</t>
        </is>
      </c>
      <c r="G98" t="n">
        <v>2.3</v>
      </c>
      <c r="H98" t="n">
        <v>0</v>
      </c>
      <c r="I98" t="n">
        <v>2</v>
      </c>
      <c r="J98" t="n">
        <v>2</v>
      </c>
      <c r="K98" t="n">
        <v>0</v>
      </c>
      <c r="L98" t="n">
        <v>0</v>
      </c>
      <c r="M98" t="n">
        <v>0</v>
      </c>
      <c r="N98" t="n">
        <v>0</v>
      </c>
      <c r="O98" t="n">
        <v>2</v>
      </c>
      <c r="P98" t="n">
        <v>0</v>
      </c>
      <c r="Q98" t="n">
        <v>4</v>
      </c>
      <c r="R98" s="2" t="inlineStr">
        <is>
          <t>Skrovellav
Vedskivlav
Bronshjon
Vågbandad barkbock</t>
        </is>
      </c>
      <c r="S98">
        <f>HYPERLINK("https://klasma.github.io/Logging_2039/artfynd/A 57505-2024 artfynd.xlsx", "A 57505-2024")</f>
        <v/>
      </c>
      <c r="T98">
        <f>HYPERLINK("https://klasma.github.io/Logging_2039/kartor/A 57505-2024 karta.png", "A 57505-2024")</f>
        <v/>
      </c>
      <c r="V98">
        <f>HYPERLINK("https://klasma.github.io/Logging_2039/klagomål/A 57505-2024 FSC-klagomål.docx", "A 57505-2024")</f>
        <v/>
      </c>
      <c r="W98">
        <f>HYPERLINK("https://klasma.github.io/Logging_2039/klagomålsmail/A 57505-2024 FSC-klagomål mail.docx", "A 57505-2024")</f>
        <v/>
      </c>
      <c r="X98">
        <f>HYPERLINK("https://klasma.github.io/Logging_2039/tillsyn/A 57505-2024 tillsynsbegäran.docx", "A 57505-2024")</f>
        <v/>
      </c>
      <c r="Y98">
        <f>HYPERLINK("https://klasma.github.io/Logging_2039/tillsynsmail/A 57505-2024 tillsynsbegäran mail.docx", "A 57505-2024")</f>
        <v/>
      </c>
    </row>
    <row r="99" ht="15" customHeight="1">
      <c r="A99" t="inlineStr">
        <is>
          <t>A 41921-2022</t>
        </is>
      </c>
      <c r="B99" s="1" t="n">
        <v>44830</v>
      </c>
      <c r="C99" s="1" t="n">
        <v>45983</v>
      </c>
      <c r="D99" t="inlineStr">
        <is>
          <t>DALARNAS LÄN</t>
        </is>
      </c>
      <c r="E99" t="inlineStr">
        <is>
          <t>ÄLVDALEN</t>
        </is>
      </c>
      <c r="F99" t="inlineStr">
        <is>
          <t>Sveaskog</t>
        </is>
      </c>
      <c r="G99" t="n">
        <v>5.4</v>
      </c>
      <c r="H99" t="n">
        <v>1</v>
      </c>
      <c r="I99" t="n">
        <v>0</v>
      </c>
      <c r="J99" t="n">
        <v>3</v>
      </c>
      <c r="K99" t="n">
        <v>0</v>
      </c>
      <c r="L99" t="n">
        <v>0</v>
      </c>
      <c r="M99" t="n">
        <v>0</v>
      </c>
      <c r="N99" t="n">
        <v>0</v>
      </c>
      <c r="O99" t="n">
        <v>3</v>
      </c>
      <c r="P99" t="n">
        <v>0</v>
      </c>
      <c r="Q99" t="n">
        <v>3</v>
      </c>
      <c r="R99" s="2" t="inlineStr">
        <is>
          <t>Blågrå svartspik
Tretåig hackspett
Vedskivlav</t>
        </is>
      </c>
      <c r="S99">
        <f>HYPERLINK("https://klasma.github.io/Logging_2039/artfynd/A 41921-2022 artfynd.xlsx", "A 41921-2022")</f>
        <v/>
      </c>
      <c r="T99">
        <f>HYPERLINK("https://klasma.github.io/Logging_2039/kartor/A 41921-2022 karta.png", "A 41921-2022")</f>
        <v/>
      </c>
      <c r="V99">
        <f>HYPERLINK("https://klasma.github.io/Logging_2039/klagomål/A 41921-2022 FSC-klagomål.docx", "A 41921-2022")</f>
        <v/>
      </c>
      <c r="W99">
        <f>HYPERLINK("https://klasma.github.io/Logging_2039/klagomålsmail/A 41921-2022 FSC-klagomål mail.docx", "A 41921-2022")</f>
        <v/>
      </c>
      <c r="X99">
        <f>HYPERLINK("https://klasma.github.io/Logging_2039/tillsyn/A 41921-2022 tillsynsbegäran.docx", "A 41921-2022")</f>
        <v/>
      </c>
      <c r="Y99">
        <f>HYPERLINK("https://klasma.github.io/Logging_2039/tillsynsmail/A 41921-2022 tillsynsbegäran mail.docx", "A 41921-2022")</f>
        <v/>
      </c>
      <c r="Z99">
        <f>HYPERLINK("https://klasma.github.io/Logging_2039/fåglar/A 41921-2022 prioriterade fågelarter.docx", "A 41921-2022")</f>
        <v/>
      </c>
    </row>
    <row r="100" ht="15" customHeight="1">
      <c r="A100" t="inlineStr">
        <is>
          <t>A 35141-2023</t>
        </is>
      </c>
      <c r="B100" s="1" t="n">
        <v>45145</v>
      </c>
      <c r="C100" s="1" t="n">
        <v>45983</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7024-2024</t>
        </is>
      </c>
      <c r="B101" s="1" t="n">
        <v>45343.57924768519</v>
      </c>
      <c r="C101" s="1" t="n">
        <v>45983</v>
      </c>
      <c r="D101" t="inlineStr">
        <is>
          <t>DALARNAS LÄN</t>
        </is>
      </c>
      <c r="E101" t="inlineStr">
        <is>
          <t>ÄLVDALEN</t>
        </is>
      </c>
      <c r="F101" t="inlineStr">
        <is>
          <t>Sveaskog</t>
        </is>
      </c>
      <c r="G101" t="n">
        <v>30.1</v>
      </c>
      <c r="H101" t="n">
        <v>0</v>
      </c>
      <c r="I101" t="n">
        <v>0</v>
      </c>
      <c r="J101" t="n">
        <v>2</v>
      </c>
      <c r="K101" t="n">
        <v>1</v>
      </c>
      <c r="L101" t="n">
        <v>0</v>
      </c>
      <c r="M101" t="n">
        <v>0</v>
      </c>
      <c r="N101" t="n">
        <v>0</v>
      </c>
      <c r="O101" t="n">
        <v>3</v>
      </c>
      <c r="P101" t="n">
        <v>1</v>
      </c>
      <c r="Q101" t="n">
        <v>3</v>
      </c>
      <c r="R101" s="2" t="inlineStr">
        <is>
          <t>Gräddporing
Nordtagging
Vaddporing</t>
        </is>
      </c>
      <c r="S101">
        <f>HYPERLINK("https://klasma.github.io/Logging_2039/artfynd/A 7024-2024 artfynd.xlsx", "A 7024-2024")</f>
        <v/>
      </c>
      <c r="T101">
        <f>HYPERLINK("https://klasma.github.io/Logging_2039/kartor/A 7024-2024 karta.png", "A 7024-2024")</f>
        <v/>
      </c>
      <c r="V101">
        <f>HYPERLINK("https://klasma.github.io/Logging_2039/klagomål/A 7024-2024 FSC-klagomål.docx", "A 7024-2024")</f>
        <v/>
      </c>
      <c r="W101">
        <f>HYPERLINK("https://klasma.github.io/Logging_2039/klagomålsmail/A 7024-2024 FSC-klagomål mail.docx", "A 7024-2024")</f>
        <v/>
      </c>
      <c r="X101">
        <f>HYPERLINK("https://klasma.github.io/Logging_2039/tillsyn/A 7024-2024 tillsynsbegäran.docx", "A 7024-2024")</f>
        <v/>
      </c>
      <c r="Y101">
        <f>HYPERLINK("https://klasma.github.io/Logging_2039/tillsynsmail/A 7024-2024 tillsynsbegäran mail.docx", "A 7024-2024")</f>
        <v/>
      </c>
    </row>
    <row r="102" ht="15" customHeight="1">
      <c r="A102" t="inlineStr">
        <is>
          <t>A 25758-2025</t>
        </is>
      </c>
      <c r="B102" s="1" t="n">
        <v>45804.33314814815</v>
      </c>
      <c r="C102" s="1" t="n">
        <v>45983</v>
      </c>
      <c r="D102" t="inlineStr">
        <is>
          <t>DALARNAS LÄN</t>
        </is>
      </c>
      <c r="E102" t="inlineStr">
        <is>
          <t>ÄLVDALEN</t>
        </is>
      </c>
      <c r="F102" t="inlineStr">
        <is>
          <t>Kommuner</t>
        </is>
      </c>
      <c r="G102" t="n">
        <v>2.2</v>
      </c>
      <c r="H102" t="n">
        <v>1</v>
      </c>
      <c r="I102" t="n">
        <v>1</v>
      </c>
      <c r="J102" t="n">
        <v>2</v>
      </c>
      <c r="K102" t="n">
        <v>0</v>
      </c>
      <c r="L102" t="n">
        <v>0</v>
      </c>
      <c r="M102" t="n">
        <v>0</v>
      </c>
      <c r="N102" t="n">
        <v>0</v>
      </c>
      <c r="O102" t="n">
        <v>2</v>
      </c>
      <c r="P102" t="n">
        <v>0</v>
      </c>
      <c r="Q102" t="n">
        <v>3</v>
      </c>
      <c r="R102" s="2" t="inlineStr">
        <is>
          <t>Garnlav
Spillkråka
Dropptaggsvamp</t>
        </is>
      </c>
      <c r="S102">
        <f>HYPERLINK("https://klasma.github.io/Logging_2039/artfynd/A 25758-2025 artfynd.xlsx", "A 25758-2025")</f>
        <v/>
      </c>
      <c r="T102">
        <f>HYPERLINK("https://klasma.github.io/Logging_2039/kartor/A 25758-2025 karta.png", "A 25758-2025")</f>
        <v/>
      </c>
      <c r="V102">
        <f>HYPERLINK("https://klasma.github.io/Logging_2039/klagomål/A 25758-2025 FSC-klagomål.docx", "A 25758-2025")</f>
        <v/>
      </c>
      <c r="W102">
        <f>HYPERLINK("https://klasma.github.io/Logging_2039/klagomålsmail/A 25758-2025 FSC-klagomål mail.docx", "A 25758-2025")</f>
        <v/>
      </c>
      <c r="X102">
        <f>HYPERLINK("https://klasma.github.io/Logging_2039/tillsyn/A 25758-2025 tillsynsbegäran.docx", "A 25758-2025")</f>
        <v/>
      </c>
      <c r="Y102">
        <f>HYPERLINK("https://klasma.github.io/Logging_2039/tillsynsmail/A 25758-2025 tillsynsbegäran mail.docx", "A 25758-2025")</f>
        <v/>
      </c>
      <c r="Z102">
        <f>HYPERLINK("https://klasma.github.io/Logging_2039/fåglar/A 25758-2025 prioriterade fågelarter.docx", "A 25758-2025")</f>
        <v/>
      </c>
    </row>
    <row r="103" ht="15" customHeight="1">
      <c r="A103" t="inlineStr">
        <is>
          <t>A 26751-2025</t>
        </is>
      </c>
      <c r="B103" s="1" t="n">
        <v>45810.55134259259</v>
      </c>
      <c r="C103" s="1" t="n">
        <v>45983</v>
      </c>
      <c r="D103" t="inlineStr">
        <is>
          <t>DALARNAS LÄN</t>
        </is>
      </c>
      <c r="E103" t="inlineStr">
        <is>
          <t>ÄLVDALEN</t>
        </is>
      </c>
      <c r="F103" t="inlineStr">
        <is>
          <t>Allmännings- och besparingsskogar</t>
        </is>
      </c>
      <c r="G103" t="n">
        <v>3.6</v>
      </c>
      <c r="H103" t="n">
        <v>1</v>
      </c>
      <c r="I103" t="n">
        <v>1</v>
      </c>
      <c r="J103" t="n">
        <v>2</v>
      </c>
      <c r="K103" t="n">
        <v>0</v>
      </c>
      <c r="L103" t="n">
        <v>0</v>
      </c>
      <c r="M103" t="n">
        <v>0</v>
      </c>
      <c r="N103" t="n">
        <v>0</v>
      </c>
      <c r="O103" t="n">
        <v>2</v>
      </c>
      <c r="P103" t="n">
        <v>0</v>
      </c>
      <c r="Q103" t="n">
        <v>3</v>
      </c>
      <c r="R103" s="2" t="inlineStr">
        <is>
          <t>Garnlav
Skrovellav
Spindelblomster</t>
        </is>
      </c>
      <c r="S103">
        <f>HYPERLINK("https://klasma.github.io/Logging_2039/artfynd/A 26751-2025 artfynd.xlsx", "A 26751-2025")</f>
        <v/>
      </c>
      <c r="T103">
        <f>HYPERLINK("https://klasma.github.io/Logging_2039/kartor/A 26751-2025 karta.png", "A 26751-2025")</f>
        <v/>
      </c>
      <c r="V103">
        <f>HYPERLINK("https://klasma.github.io/Logging_2039/klagomål/A 26751-2025 FSC-klagomål.docx", "A 26751-2025")</f>
        <v/>
      </c>
      <c r="W103">
        <f>HYPERLINK("https://klasma.github.io/Logging_2039/klagomålsmail/A 26751-2025 FSC-klagomål mail.docx", "A 26751-2025")</f>
        <v/>
      </c>
      <c r="X103">
        <f>HYPERLINK("https://klasma.github.io/Logging_2039/tillsyn/A 26751-2025 tillsynsbegäran.docx", "A 26751-2025")</f>
        <v/>
      </c>
      <c r="Y103">
        <f>HYPERLINK("https://klasma.github.io/Logging_2039/tillsynsmail/A 26751-2025 tillsynsbegäran mail.docx", "A 26751-2025")</f>
        <v/>
      </c>
    </row>
    <row r="104" ht="15" customHeight="1">
      <c r="A104" t="inlineStr">
        <is>
          <t>A 44128-2023</t>
        </is>
      </c>
      <c r="B104" s="1" t="n">
        <v>45188.45712962963</v>
      </c>
      <c r="C104" s="1" t="n">
        <v>45983</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27933-2025</t>
        </is>
      </c>
      <c r="B105" s="1" t="n">
        <v>45817.49630787037</v>
      </c>
      <c r="C105" s="1" t="n">
        <v>45983</v>
      </c>
      <c r="D105" t="inlineStr">
        <is>
          <t>DALARNAS LÄN</t>
        </is>
      </c>
      <c r="E105" t="inlineStr">
        <is>
          <t>ÄLVDALEN</t>
        </is>
      </c>
      <c r="F105" t="inlineStr">
        <is>
          <t>Sveaskog</t>
        </is>
      </c>
      <c r="G105" t="n">
        <v>2.5</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27933-2025 artfynd.xlsx", "A 27933-2025")</f>
        <v/>
      </c>
      <c r="T105">
        <f>HYPERLINK("https://klasma.github.io/Logging_2039/kartor/A 27933-2025 karta.png", "A 27933-2025")</f>
        <v/>
      </c>
      <c r="V105">
        <f>HYPERLINK("https://klasma.github.io/Logging_2039/klagomål/A 27933-2025 FSC-klagomål.docx", "A 27933-2025")</f>
        <v/>
      </c>
      <c r="W105">
        <f>HYPERLINK("https://klasma.github.io/Logging_2039/klagomålsmail/A 27933-2025 FSC-klagomål mail.docx", "A 27933-2025")</f>
        <v/>
      </c>
      <c r="X105">
        <f>HYPERLINK("https://klasma.github.io/Logging_2039/tillsyn/A 27933-2025 tillsynsbegäran.docx", "A 27933-2025")</f>
        <v/>
      </c>
      <c r="Y105">
        <f>HYPERLINK("https://klasma.github.io/Logging_2039/tillsynsmail/A 27933-2025 tillsynsbegäran mail.docx", "A 27933-2025")</f>
        <v/>
      </c>
    </row>
    <row r="106" ht="15" customHeight="1">
      <c r="A106" t="inlineStr">
        <is>
          <t>A 33645-2025</t>
        </is>
      </c>
      <c r="B106" s="1" t="n">
        <v>45841.65282407407</v>
      </c>
      <c r="C106" s="1" t="n">
        <v>45983</v>
      </c>
      <c r="D106" t="inlineStr">
        <is>
          <t>DALARNAS LÄN</t>
        </is>
      </c>
      <c r="E106" t="inlineStr">
        <is>
          <t>ÄLVDALEN</t>
        </is>
      </c>
      <c r="F106" t="inlineStr">
        <is>
          <t>Sveaskog</t>
        </is>
      </c>
      <c r="G106" t="n">
        <v>1.6</v>
      </c>
      <c r="H106" t="n">
        <v>0</v>
      </c>
      <c r="I106" t="n">
        <v>0</v>
      </c>
      <c r="J106" t="n">
        <v>3</v>
      </c>
      <c r="K106" t="n">
        <v>0</v>
      </c>
      <c r="L106" t="n">
        <v>0</v>
      </c>
      <c r="M106" t="n">
        <v>0</v>
      </c>
      <c r="N106" t="n">
        <v>0</v>
      </c>
      <c r="O106" t="n">
        <v>3</v>
      </c>
      <c r="P106" t="n">
        <v>0</v>
      </c>
      <c r="Q106" t="n">
        <v>3</v>
      </c>
      <c r="R106" s="2" t="inlineStr">
        <is>
          <t>Dvärgbägarlav
Kolflarnlav
Vedflamlav</t>
        </is>
      </c>
      <c r="S106">
        <f>HYPERLINK("https://klasma.github.io/Logging_2039/artfynd/A 33645-2025 artfynd.xlsx", "A 33645-2025")</f>
        <v/>
      </c>
      <c r="T106">
        <f>HYPERLINK("https://klasma.github.io/Logging_2039/kartor/A 33645-2025 karta.png", "A 33645-2025")</f>
        <v/>
      </c>
      <c r="V106">
        <f>HYPERLINK("https://klasma.github.io/Logging_2039/klagomål/A 33645-2025 FSC-klagomål.docx", "A 33645-2025")</f>
        <v/>
      </c>
      <c r="W106">
        <f>HYPERLINK("https://klasma.github.io/Logging_2039/klagomålsmail/A 33645-2025 FSC-klagomål mail.docx", "A 33645-2025")</f>
        <v/>
      </c>
      <c r="X106">
        <f>HYPERLINK("https://klasma.github.io/Logging_2039/tillsyn/A 33645-2025 tillsynsbegäran.docx", "A 33645-2025")</f>
        <v/>
      </c>
      <c r="Y106">
        <f>HYPERLINK("https://klasma.github.io/Logging_2039/tillsynsmail/A 33645-2025 tillsynsbegäran mail.docx", "A 33645-2025")</f>
        <v/>
      </c>
    </row>
    <row r="107" ht="15" customHeight="1">
      <c r="A107" t="inlineStr">
        <is>
          <t>A 51732-2021</t>
        </is>
      </c>
      <c r="B107" s="1" t="n">
        <v>44461</v>
      </c>
      <c r="C107" s="1" t="n">
        <v>45983</v>
      </c>
      <c r="D107" t="inlineStr">
        <is>
          <t>DALARNAS LÄN</t>
        </is>
      </c>
      <c r="E107" t="inlineStr">
        <is>
          <t>ÄLVDALEN</t>
        </is>
      </c>
      <c r="F107" t="inlineStr">
        <is>
          <t>Övriga statliga verk och myndigheter</t>
        </is>
      </c>
      <c r="G107" t="n">
        <v>5</v>
      </c>
      <c r="H107" t="n">
        <v>0</v>
      </c>
      <c r="I107" t="n">
        <v>2</v>
      </c>
      <c r="J107" t="n">
        <v>1</v>
      </c>
      <c r="K107" t="n">
        <v>0</v>
      </c>
      <c r="L107" t="n">
        <v>0</v>
      </c>
      <c r="M107" t="n">
        <v>0</v>
      </c>
      <c r="N107" t="n">
        <v>0</v>
      </c>
      <c r="O107" t="n">
        <v>1</v>
      </c>
      <c r="P107" t="n">
        <v>0</v>
      </c>
      <c r="Q107" t="n">
        <v>3</v>
      </c>
      <c r="R107" s="2" t="inlineStr">
        <is>
          <t>Garnlav
Svavelriska
Vedticka</t>
        </is>
      </c>
      <c r="S107">
        <f>HYPERLINK("https://klasma.github.io/Logging_2039/artfynd/A 51732-2021 artfynd.xlsx", "A 51732-2021")</f>
        <v/>
      </c>
      <c r="T107">
        <f>HYPERLINK("https://klasma.github.io/Logging_2039/kartor/A 51732-2021 karta.png", "A 51732-2021")</f>
        <v/>
      </c>
      <c r="V107">
        <f>HYPERLINK("https://klasma.github.io/Logging_2039/klagomål/A 51732-2021 FSC-klagomål.docx", "A 51732-2021")</f>
        <v/>
      </c>
      <c r="W107">
        <f>HYPERLINK("https://klasma.github.io/Logging_2039/klagomålsmail/A 51732-2021 FSC-klagomål mail.docx", "A 51732-2021")</f>
        <v/>
      </c>
      <c r="X107">
        <f>HYPERLINK("https://klasma.github.io/Logging_2039/tillsyn/A 51732-2021 tillsynsbegäran.docx", "A 51732-2021")</f>
        <v/>
      </c>
      <c r="Y107">
        <f>HYPERLINK("https://klasma.github.io/Logging_2039/tillsynsmail/A 51732-2021 tillsynsbegäran mail.docx", "A 51732-2021")</f>
        <v/>
      </c>
    </row>
    <row r="108" ht="15" customHeight="1">
      <c r="A108" t="inlineStr">
        <is>
          <t>A 55218-2025</t>
        </is>
      </c>
      <c r="B108" s="1" t="n">
        <v>45968.58936342593</v>
      </c>
      <c r="C108" s="1" t="n">
        <v>45983</v>
      </c>
      <c r="D108" t="inlineStr">
        <is>
          <t>DALARNAS LÄN</t>
        </is>
      </c>
      <c r="E108" t="inlineStr">
        <is>
          <t>ÄLVDALEN</t>
        </is>
      </c>
      <c r="F108" t="inlineStr">
        <is>
          <t>Sveaskog</t>
        </is>
      </c>
      <c r="G108" t="n">
        <v>3.5</v>
      </c>
      <c r="H108" t="n">
        <v>1</v>
      </c>
      <c r="I108" t="n">
        <v>1</v>
      </c>
      <c r="J108" t="n">
        <v>1</v>
      </c>
      <c r="K108" t="n">
        <v>1</v>
      </c>
      <c r="L108" t="n">
        <v>0</v>
      </c>
      <c r="M108" t="n">
        <v>0</v>
      </c>
      <c r="N108" t="n">
        <v>0</v>
      </c>
      <c r="O108" t="n">
        <v>2</v>
      </c>
      <c r="P108" t="n">
        <v>1</v>
      </c>
      <c r="Q108" t="n">
        <v>3</v>
      </c>
      <c r="R108" s="2" t="inlineStr">
        <is>
          <t>Gräddporing
Varglav
Dropptaggsvamp</t>
        </is>
      </c>
      <c r="S108">
        <f>HYPERLINK("https://klasma.github.io/Logging_2039/artfynd/A 55218-2025 artfynd.xlsx", "A 55218-2025")</f>
        <v/>
      </c>
      <c r="T108">
        <f>HYPERLINK("https://klasma.github.io/Logging_2039/kartor/A 55218-2025 karta.png", "A 55218-2025")</f>
        <v/>
      </c>
      <c r="V108">
        <f>HYPERLINK("https://klasma.github.io/Logging_2039/klagomål/A 55218-2025 FSC-klagomål.docx", "A 55218-2025")</f>
        <v/>
      </c>
      <c r="W108">
        <f>HYPERLINK("https://klasma.github.io/Logging_2039/klagomålsmail/A 55218-2025 FSC-klagomål mail.docx", "A 55218-2025")</f>
        <v/>
      </c>
      <c r="X108">
        <f>HYPERLINK("https://klasma.github.io/Logging_2039/tillsyn/A 55218-2025 tillsynsbegäran.docx", "A 55218-2025")</f>
        <v/>
      </c>
      <c r="Y108">
        <f>HYPERLINK("https://klasma.github.io/Logging_2039/tillsynsmail/A 55218-2025 tillsynsbegäran mail.docx", "A 55218-2025")</f>
        <v/>
      </c>
    </row>
    <row r="109" ht="15" customHeight="1">
      <c r="A109" t="inlineStr">
        <is>
          <t>A 43740-2024</t>
        </is>
      </c>
      <c r="B109" s="1" t="n">
        <v>45569.65748842592</v>
      </c>
      <c r="C109" s="1" t="n">
        <v>45983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49125-2025</t>
        </is>
      </c>
      <c r="B110" s="1" t="n">
        <v>45937.86962962963</v>
      </c>
      <c r="C110" s="1" t="n">
        <v>45983</v>
      </c>
      <c r="D110" t="inlineStr">
        <is>
          <t>DALARNAS LÄN</t>
        </is>
      </c>
      <c r="E110" t="inlineStr">
        <is>
          <t>ÄLVDALEN</t>
        </is>
      </c>
      <c r="F110" t="inlineStr">
        <is>
          <t>Sveaskog</t>
        </is>
      </c>
      <c r="G110" t="n">
        <v>1.8</v>
      </c>
      <c r="H110" t="n">
        <v>0</v>
      </c>
      <c r="I110" t="n">
        <v>0</v>
      </c>
      <c r="J110" t="n">
        <v>3</v>
      </c>
      <c r="K110" t="n">
        <v>0</v>
      </c>
      <c r="L110" t="n">
        <v>0</v>
      </c>
      <c r="M110" t="n">
        <v>0</v>
      </c>
      <c r="N110" t="n">
        <v>0</v>
      </c>
      <c r="O110" t="n">
        <v>3</v>
      </c>
      <c r="P110" t="n">
        <v>0</v>
      </c>
      <c r="Q110" t="n">
        <v>3</v>
      </c>
      <c r="R110" s="2" t="inlineStr">
        <is>
          <t>Blanksvart spiklav
Kolflarnlav
Mörk kolflarnlav</t>
        </is>
      </c>
      <c r="S110">
        <f>HYPERLINK("https://klasma.github.io/Logging_2039/artfynd/A 49125-2025 artfynd.xlsx", "A 49125-2025")</f>
        <v/>
      </c>
      <c r="T110">
        <f>HYPERLINK("https://klasma.github.io/Logging_2039/kartor/A 49125-2025 karta.png", "A 49125-2025")</f>
        <v/>
      </c>
      <c r="V110">
        <f>HYPERLINK("https://klasma.github.io/Logging_2039/klagomål/A 49125-2025 FSC-klagomål.docx", "A 49125-2025")</f>
        <v/>
      </c>
      <c r="W110">
        <f>HYPERLINK("https://klasma.github.io/Logging_2039/klagomålsmail/A 49125-2025 FSC-klagomål mail.docx", "A 49125-2025")</f>
        <v/>
      </c>
      <c r="X110">
        <f>HYPERLINK("https://klasma.github.io/Logging_2039/tillsyn/A 49125-2025 tillsynsbegäran.docx", "A 49125-2025")</f>
        <v/>
      </c>
      <c r="Y110">
        <f>HYPERLINK("https://klasma.github.io/Logging_2039/tillsynsmail/A 49125-2025 tillsynsbegäran mail.docx", "A 49125-2025")</f>
        <v/>
      </c>
    </row>
    <row r="111" ht="15" customHeight="1">
      <c r="A111" t="inlineStr">
        <is>
          <t>A 41909-2022</t>
        </is>
      </c>
      <c r="B111" s="1" t="n">
        <v>44830</v>
      </c>
      <c r="C111" s="1" t="n">
        <v>45983</v>
      </c>
      <c r="D111" t="inlineStr">
        <is>
          <t>DALARNAS LÄN</t>
        </is>
      </c>
      <c r="E111" t="inlineStr">
        <is>
          <t>ÄLVDALEN</t>
        </is>
      </c>
      <c r="F111" t="inlineStr">
        <is>
          <t>Sveaskog</t>
        </is>
      </c>
      <c r="G111" t="n">
        <v>3.5</v>
      </c>
      <c r="H111" t="n">
        <v>1</v>
      </c>
      <c r="I111" t="n">
        <v>0</v>
      </c>
      <c r="J111" t="n">
        <v>2</v>
      </c>
      <c r="K111" t="n">
        <v>1</v>
      </c>
      <c r="L111" t="n">
        <v>0</v>
      </c>
      <c r="M111" t="n">
        <v>0</v>
      </c>
      <c r="N111" t="n">
        <v>0</v>
      </c>
      <c r="O111" t="n">
        <v>3</v>
      </c>
      <c r="P111" t="n">
        <v>1</v>
      </c>
      <c r="Q111" t="n">
        <v>3</v>
      </c>
      <c r="R111" s="2" t="inlineStr">
        <is>
          <t>Tajgataggsvamp
Blanksvart spiklav
Talltita</t>
        </is>
      </c>
      <c r="S111">
        <f>HYPERLINK("https://klasma.github.io/Logging_2039/artfynd/A 41909-2022 artfynd.xlsx", "A 41909-2022")</f>
        <v/>
      </c>
      <c r="T111">
        <f>HYPERLINK("https://klasma.github.io/Logging_2039/kartor/A 41909-2022 karta.png", "A 41909-2022")</f>
        <v/>
      </c>
      <c r="V111">
        <f>HYPERLINK("https://klasma.github.io/Logging_2039/klagomål/A 41909-2022 FSC-klagomål.docx", "A 41909-2022")</f>
        <v/>
      </c>
      <c r="W111">
        <f>HYPERLINK("https://klasma.github.io/Logging_2039/klagomålsmail/A 41909-2022 FSC-klagomål mail.docx", "A 41909-2022")</f>
        <v/>
      </c>
      <c r="X111">
        <f>HYPERLINK("https://klasma.github.io/Logging_2039/tillsyn/A 41909-2022 tillsynsbegäran.docx", "A 41909-2022")</f>
        <v/>
      </c>
      <c r="Y111">
        <f>HYPERLINK("https://klasma.github.io/Logging_2039/tillsynsmail/A 41909-2022 tillsynsbegäran mail.docx", "A 41909-2022")</f>
        <v/>
      </c>
      <c r="Z111">
        <f>HYPERLINK("https://klasma.github.io/Logging_2039/fåglar/A 41909-2022 prioriterade fågelarter.docx", "A 41909-2022")</f>
        <v/>
      </c>
    </row>
    <row r="112" ht="15" customHeight="1">
      <c r="A112" t="inlineStr">
        <is>
          <t>A 31057-2024</t>
        </is>
      </c>
      <c r="B112" s="1" t="n">
        <v>45502.37813657407</v>
      </c>
      <c r="C112" s="1" t="n">
        <v>45983</v>
      </c>
      <c r="D112" t="inlineStr">
        <is>
          <t>DALARNAS LÄN</t>
        </is>
      </c>
      <c r="E112" t="inlineStr">
        <is>
          <t>ÄLVDALEN</t>
        </is>
      </c>
      <c r="F112" t="inlineStr">
        <is>
          <t>Sveaskog</t>
        </is>
      </c>
      <c r="G112" t="n">
        <v>2.4</v>
      </c>
      <c r="H112" t="n">
        <v>0</v>
      </c>
      <c r="I112" t="n">
        <v>1</v>
      </c>
      <c r="J112" t="n">
        <v>2</v>
      </c>
      <c r="K112" t="n">
        <v>0</v>
      </c>
      <c r="L112" t="n">
        <v>0</v>
      </c>
      <c r="M112" t="n">
        <v>0</v>
      </c>
      <c r="N112" t="n">
        <v>0</v>
      </c>
      <c r="O112" t="n">
        <v>2</v>
      </c>
      <c r="P112" t="n">
        <v>0</v>
      </c>
      <c r="Q112" t="n">
        <v>3</v>
      </c>
      <c r="R112" s="2" t="inlineStr">
        <is>
          <t>Blå taggsvamp
Kolflarnlav
Skarp dropptaggsvamp</t>
        </is>
      </c>
      <c r="S112">
        <f>HYPERLINK("https://klasma.github.io/Logging_2039/artfynd/A 31057-2024 artfynd.xlsx", "A 31057-2024")</f>
        <v/>
      </c>
      <c r="T112">
        <f>HYPERLINK("https://klasma.github.io/Logging_2039/kartor/A 31057-2024 karta.png", "A 31057-2024")</f>
        <v/>
      </c>
      <c r="V112">
        <f>HYPERLINK("https://klasma.github.io/Logging_2039/klagomål/A 31057-2024 FSC-klagomål.docx", "A 31057-2024")</f>
        <v/>
      </c>
      <c r="W112">
        <f>HYPERLINK("https://klasma.github.io/Logging_2039/klagomålsmail/A 31057-2024 FSC-klagomål mail.docx", "A 31057-2024")</f>
        <v/>
      </c>
      <c r="X112">
        <f>HYPERLINK("https://klasma.github.io/Logging_2039/tillsyn/A 31057-2024 tillsynsbegäran.docx", "A 31057-2024")</f>
        <v/>
      </c>
      <c r="Y112">
        <f>HYPERLINK("https://klasma.github.io/Logging_2039/tillsynsmail/A 31057-2024 tillsynsbegäran mail.docx", "A 31057-2024")</f>
        <v/>
      </c>
    </row>
    <row r="113" ht="15" customHeight="1">
      <c r="A113" t="inlineStr">
        <is>
          <t>A 32403-2023</t>
        </is>
      </c>
      <c r="B113" s="1" t="n">
        <v>45120</v>
      </c>
      <c r="C113" s="1" t="n">
        <v>45983</v>
      </c>
      <c r="D113" t="inlineStr">
        <is>
          <t>DALARNAS LÄN</t>
        </is>
      </c>
      <c r="E113" t="inlineStr">
        <is>
          <t>ÄLVDALEN</t>
        </is>
      </c>
      <c r="F113" t="inlineStr">
        <is>
          <t>Sveaskog</t>
        </is>
      </c>
      <c r="G113" t="n">
        <v>3</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HYPERLINK("https://klasma.github.io/Logging_2039/artfynd/A 32403-2023 artfynd.xlsx", "A 32403-2023")</f>
        <v/>
      </c>
      <c r="T113">
        <f>HYPERLINK("https://klasma.github.io/Logging_2039/kartor/A 32403-2023 karta.png", "A 32403-2023")</f>
        <v/>
      </c>
      <c r="V113">
        <f>HYPERLINK("https://klasma.github.io/Logging_2039/klagomål/A 32403-2023 FSC-klagomål.docx", "A 32403-2023")</f>
        <v/>
      </c>
      <c r="W113">
        <f>HYPERLINK("https://klasma.github.io/Logging_2039/klagomålsmail/A 32403-2023 FSC-klagomål mail.docx", "A 32403-2023")</f>
        <v/>
      </c>
      <c r="X113">
        <f>HYPERLINK("https://klasma.github.io/Logging_2039/tillsyn/A 32403-2023 tillsynsbegäran.docx", "A 32403-2023")</f>
        <v/>
      </c>
      <c r="Y113">
        <f>HYPERLINK("https://klasma.github.io/Logging_2039/tillsynsmail/A 32403-2023 tillsynsbegäran mail.docx", "A 32403-2023")</f>
        <v/>
      </c>
    </row>
    <row r="114" ht="15" customHeight="1">
      <c r="A114" t="inlineStr">
        <is>
          <t>A 18839-2024</t>
        </is>
      </c>
      <c r="B114" s="1" t="n">
        <v>45426</v>
      </c>
      <c r="C114" s="1" t="n">
        <v>45983</v>
      </c>
      <c r="D114" t="inlineStr">
        <is>
          <t>DALARNAS LÄN</t>
        </is>
      </c>
      <c r="E114" t="inlineStr">
        <is>
          <t>ÄLVDALEN</t>
        </is>
      </c>
      <c r="F114" t="inlineStr">
        <is>
          <t>Sveaskog</t>
        </is>
      </c>
      <c r="G114" t="n">
        <v>1.3</v>
      </c>
      <c r="H114" t="n">
        <v>0</v>
      </c>
      <c r="I114" t="n">
        <v>1</v>
      </c>
      <c r="J114" t="n">
        <v>2</v>
      </c>
      <c r="K114" t="n">
        <v>0</v>
      </c>
      <c r="L114" t="n">
        <v>0</v>
      </c>
      <c r="M114" t="n">
        <v>0</v>
      </c>
      <c r="N114" t="n">
        <v>0</v>
      </c>
      <c r="O114" t="n">
        <v>2</v>
      </c>
      <c r="P114" t="n">
        <v>0</v>
      </c>
      <c r="Q114" t="n">
        <v>3</v>
      </c>
      <c r="R114" s="2" t="inlineStr">
        <is>
          <t>Kolflarnlav
Vedflamlav
Dropptaggsvamp</t>
        </is>
      </c>
      <c r="S114">
        <f>HYPERLINK("https://klasma.github.io/Logging_2039/artfynd/A 18839-2024 artfynd.xlsx", "A 18839-2024")</f>
        <v/>
      </c>
      <c r="T114">
        <f>HYPERLINK("https://klasma.github.io/Logging_2039/kartor/A 18839-2024 karta.png", "A 18839-2024")</f>
        <v/>
      </c>
      <c r="V114">
        <f>HYPERLINK("https://klasma.github.io/Logging_2039/klagomål/A 18839-2024 FSC-klagomål.docx", "A 18839-2024")</f>
        <v/>
      </c>
      <c r="W114">
        <f>HYPERLINK("https://klasma.github.io/Logging_2039/klagomålsmail/A 18839-2024 FSC-klagomål mail.docx", "A 18839-2024")</f>
        <v/>
      </c>
      <c r="X114">
        <f>HYPERLINK("https://klasma.github.io/Logging_2039/tillsyn/A 18839-2024 tillsynsbegäran.docx", "A 18839-2024")</f>
        <v/>
      </c>
      <c r="Y114">
        <f>HYPERLINK("https://klasma.github.io/Logging_2039/tillsynsmail/A 18839-2024 tillsynsbegäran mail.docx", "A 18839-2024")</f>
        <v/>
      </c>
    </row>
    <row r="115" ht="15" customHeight="1">
      <c r="A115" t="inlineStr">
        <is>
          <t>A 67709-2021</t>
        </is>
      </c>
      <c r="B115" s="1" t="n">
        <v>44525</v>
      </c>
      <c r="C115" s="1" t="n">
        <v>45983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44407-2021</t>
        </is>
      </c>
      <c r="B116" s="1" t="n">
        <v>44435</v>
      </c>
      <c r="C116" s="1" t="n">
        <v>45983</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69726-2021</t>
        </is>
      </c>
      <c r="B117" s="1" t="n">
        <v>44532</v>
      </c>
      <c r="C117" s="1" t="n">
        <v>45983</v>
      </c>
      <c r="D117" t="inlineStr">
        <is>
          <t>DALARNAS LÄN</t>
        </is>
      </c>
      <c r="E117" t="inlineStr">
        <is>
          <t>ÄLVDALEN</t>
        </is>
      </c>
      <c r="F117" t="inlineStr">
        <is>
          <t>Sveaskog</t>
        </is>
      </c>
      <c r="G117" t="n">
        <v>7.2</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69726-2021 artfynd.xlsx", "A 69726-2021")</f>
        <v/>
      </c>
      <c r="T117">
        <f>HYPERLINK("https://klasma.github.io/Logging_2039/kartor/A 69726-2021 karta.png", "A 69726-2021")</f>
        <v/>
      </c>
      <c r="V117">
        <f>HYPERLINK("https://klasma.github.io/Logging_2039/klagomål/A 69726-2021 FSC-klagomål.docx", "A 69726-2021")</f>
        <v/>
      </c>
      <c r="W117">
        <f>HYPERLINK("https://klasma.github.io/Logging_2039/klagomålsmail/A 69726-2021 FSC-klagomål mail.docx", "A 69726-2021")</f>
        <v/>
      </c>
      <c r="X117">
        <f>HYPERLINK("https://klasma.github.io/Logging_2039/tillsyn/A 69726-2021 tillsynsbegäran.docx", "A 69726-2021")</f>
        <v/>
      </c>
      <c r="Y117">
        <f>HYPERLINK("https://klasma.github.io/Logging_2039/tillsynsmail/A 69726-2021 tillsynsbegäran mail.docx", "A 69726-2021")</f>
        <v/>
      </c>
    </row>
    <row r="118" ht="15" customHeight="1">
      <c r="A118" t="inlineStr">
        <is>
          <t>A 30615-2021</t>
        </is>
      </c>
      <c r="B118" s="1" t="n">
        <v>44365</v>
      </c>
      <c r="C118" s="1" t="n">
        <v>45983</v>
      </c>
      <c r="D118" t="inlineStr">
        <is>
          <t>DALARNAS LÄN</t>
        </is>
      </c>
      <c r="E118" t="inlineStr">
        <is>
          <t>ÄLVDALEN</t>
        </is>
      </c>
      <c r="F118" t="inlineStr">
        <is>
          <t>Sveaskog</t>
        </is>
      </c>
      <c r="G118" t="n">
        <v>22.8</v>
      </c>
      <c r="H118" t="n">
        <v>0</v>
      </c>
      <c r="I118" t="n">
        <v>1</v>
      </c>
      <c r="J118" t="n">
        <v>0</v>
      </c>
      <c r="K118" t="n">
        <v>1</v>
      </c>
      <c r="L118" t="n">
        <v>0</v>
      </c>
      <c r="M118" t="n">
        <v>0</v>
      </c>
      <c r="N118" t="n">
        <v>0</v>
      </c>
      <c r="O118" t="n">
        <v>1</v>
      </c>
      <c r="P118" t="n">
        <v>1</v>
      </c>
      <c r="Q118" t="n">
        <v>2</v>
      </c>
      <c r="R118" s="2" t="inlineStr">
        <is>
          <t>Smalfotad taggsvamp
Dropptaggsvamp</t>
        </is>
      </c>
      <c r="S118">
        <f>HYPERLINK("https://klasma.github.io/Logging_2039/artfynd/A 30615-2021 artfynd.xlsx", "A 30615-2021")</f>
        <v/>
      </c>
      <c r="T118">
        <f>HYPERLINK("https://klasma.github.io/Logging_2039/kartor/A 30615-2021 karta.png", "A 30615-2021")</f>
        <v/>
      </c>
      <c r="V118">
        <f>HYPERLINK("https://klasma.github.io/Logging_2039/klagomål/A 30615-2021 FSC-klagomål.docx", "A 30615-2021")</f>
        <v/>
      </c>
      <c r="W118">
        <f>HYPERLINK("https://klasma.github.io/Logging_2039/klagomålsmail/A 30615-2021 FSC-klagomål mail.docx", "A 30615-2021")</f>
        <v/>
      </c>
      <c r="X118">
        <f>HYPERLINK("https://klasma.github.io/Logging_2039/tillsyn/A 30615-2021 tillsynsbegäran.docx", "A 30615-2021")</f>
        <v/>
      </c>
      <c r="Y118">
        <f>HYPERLINK("https://klasma.github.io/Logging_2039/tillsynsmail/A 30615-2021 tillsynsbegäran mail.docx", "A 30615-2021")</f>
        <v/>
      </c>
    </row>
    <row r="119" ht="15" customHeight="1">
      <c r="A119" t="inlineStr">
        <is>
          <t>A 16638-2021</t>
        </is>
      </c>
      <c r="B119" s="1" t="n">
        <v>44284</v>
      </c>
      <c r="C119" s="1" t="n">
        <v>45983</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30727-2024</t>
        </is>
      </c>
      <c r="B120" s="1" t="n">
        <v>45496.55789351852</v>
      </c>
      <c r="C120" s="1" t="n">
        <v>45983</v>
      </c>
      <c r="D120" t="inlineStr">
        <is>
          <t>DALARNAS LÄN</t>
        </is>
      </c>
      <c r="E120" t="inlineStr">
        <is>
          <t>ÄLVDALEN</t>
        </is>
      </c>
      <c r="F120" t="inlineStr">
        <is>
          <t>Allmännings- och besparingsskogar</t>
        </is>
      </c>
      <c r="G120" t="n">
        <v>35.7</v>
      </c>
      <c r="H120" t="n">
        <v>1</v>
      </c>
      <c r="I120" t="n">
        <v>0</v>
      </c>
      <c r="J120" t="n">
        <v>2</v>
      </c>
      <c r="K120" t="n">
        <v>0</v>
      </c>
      <c r="L120" t="n">
        <v>0</v>
      </c>
      <c r="M120" t="n">
        <v>0</v>
      </c>
      <c r="N120" t="n">
        <v>0</v>
      </c>
      <c r="O120" t="n">
        <v>2</v>
      </c>
      <c r="P120" t="n">
        <v>0</v>
      </c>
      <c r="Q120" t="n">
        <v>2</v>
      </c>
      <c r="R120" s="2" t="inlineStr">
        <is>
          <t>Garnlav
Spillkråka</t>
        </is>
      </c>
      <c r="S120">
        <f>HYPERLINK("https://klasma.github.io/Logging_2039/artfynd/A 30727-2024 artfynd.xlsx", "A 30727-2024")</f>
        <v/>
      </c>
      <c r="T120">
        <f>HYPERLINK("https://klasma.github.io/Logging_2039/kartor/A 30727-2024 karta.png", "A 30727-2024")</f>
        <v/>
      </c>
      <c r="V120">
        <f>HYPERLINK("https://klasma.github.io/Logging_2039/klagomål/A 30727-2024 FSC-klagomål.docx", "A 30727-2024")</f>
        <v/>
      </c>
      <c r="W120">
        <f>HYPERLINK("https://klasma.github.io/Logging_2039/klagomålsmail/A 30727-2024 FSC-klagomål mail.docx", "A 30727-2024")</f>
        <v/>
      </c>
      <c r="X120">
        <f>HYPERLINK("https://klasma.github.io/Logging_2039/tillsyn/A 30727-2024 tillsynsbegäran.docx", "A 30727-2024")</f>
        <v/>
      </c>
      <c r="Y120">
        <f>HYPERLINK("https://klasma.github.io/Logging_2039/tillsynsmail/A 30727-2024 tillsynsbegäran mail.docx", "A 30727-2024")</f>
        <v/>
      </c>
      <c r="Z120">
        <f>HYPERLINK("https://klasma.github.io/Logging_2039/fåglar/A 30727-2024 prioriterade fågelarter.docx", "A 30727-2024")</f>
        <v/>
      </c>
    </row>
    <row r="121" ht="15" customHeight="1">
      <c r="A121" t="inlineStr">
        <is>
          <t>A 32206-2024</t>
        </is>
      </c>
      <c r="B121" s="1" t="n">
        <v>45511.67366898148</v>
      </c>
      <c r="C121" s="1" t="n">
        <v>45983</v>
      </c>
      <c r="D121" t="inlineStr">
        <is>
          <t>DALARNAS LÄN</t>
        </is>
      </c>
      <c r="E121" t="inlineStr">
        <is>
          <t>ÄLVDALEN</t>
        </is>
      </c>
      <c r="F121" t="inlineStr">
        <is>
          <t>Sveaskog</t>
        </is>
      </c>
      <c r="G121" t="n">
        <v>8.1</v>
      </c>
      <c r="H121" t="n">
        <v>0</v>
      </c>
      <c r="I121" t="n">
        <v>0</v>
      </c>
      <c r="J121" t="n">
        <v>2</v>
      </c>
      <c r="K121" t="n">
        <v>0</v>
      </c>
      <c r="L121" t="n">
        <v>0</v>
      </c>
      <c r="M121" t="n">
        <v>0</v>
      </c>
      <c r="N121" t="n">
        <v>0</v>
      </c>
      <c r="O121" t="n">
        <v>2</v>
      </c>
      <c r="P121" t="n">
        <v>0</v>
      </c>
      <c r="Q121" t="n">
        <v>2</v>
      </c>
      <c r="R121" s="2" t="inlineStr">
        <is>
          <t>Blanksvart spiklav
Dvärgbägarlav</t>
        </is>
      </c>
      <c r="S121">
        <f>HYPERLINK("https://klasma.github.io/Logging_2039/artfynd/A 32206-2024 artfynd.xlsx", "A 32206-2024")</f>
        <v/>
      </c>
      <c r="T121">
        <f>HYPERLINK("https://klasma.github.io/Logging_2039/kartor/A 32206-2024 karta.png", "A 32206-2024")</f>
        <v/>
      </c>
      <c r="V121">
        <f>HYPERLINK("https://klasma.github.io/Logging_2039/klagomål/A 32206-2024 FSC-klagomål.docx", "A 32206-2024")</f>
        <v/>
      </c>
      <c r="W121">
        <f>HYPERLINK("https://klasma.github.io/Logging_2039/klagomålsmail/A 32206-2024 FSC-klagomål mail.docx", "A 32206-2024")</f>
        <v/>
      </c>
      <c r="X121">
        <f>HYPERLINK("https://klasma.github.io/Logging_2039/tillsyn/A 32206-2024 tillsynsbegäran.docx", "A 32206-2024")</f>
        <v/>
      </c>
      <c r="Y121">
        <f>HYPERLINK("https://klasma.github.io/Logging_2039/tillsynsmail/A 32206-2024 tillsynsbegäran mail.docx", "A 32206-2024")</f>
        <v/>
      </c>
    </row>
    <row r="122" ht="15" customHeight="1">
      <c r="A122" t="inlineStr">
        <is>
          <t>A 52490-2022</t>
        </is>
      </c>
      <c r="B122" s="1" t="n">
        <v>44874</v>
      </c>
      <c r="C122" s="1" t="n">
        <v>45983</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27937-2025</t>
        </is>
      </c>
      <c r="B123" s="1" t="n">
        <v>45817.50025462963</v>
      </c>
      <c r="C123" s="1" t="n">
        <v>45983</v>
      </c>
      <c r="D123" t="inlineStr">
        <is>
          <t>DALARNAS LÄN</t>
        </is>
      </c>
      <c r="E123" t="inlineStr">
        <is>
          <t>ÄLVDALEN</t>
        </is>
      </c>
      <c r="F123" t="inlineStr">
        <is>
          <t>Sveaskog</t>
        </is>
      </c>
      <c r="G123" t="n">
        <v>0.9</v>
      </c>
      <c r="H123" t="n">
        <v>0</v>
      </c>
      <c r="I123" t="n">
        <v>1</v>
      </c>
      <c r="J123" t="n">
        <v>1</v>
      </c>
      <c r="K123" t="n">
        <v>0</v>
      </c>
      <c r="L123" t="n">
        <v>0</v>
      </c>
      <c r="M123" t="n">
        <v>0</v>
      </c>
      <c r="N123" t="n">
        <v>0</v>
      </c>
      <c r="O123" t="n">
        <v>1</v>
      </c>
      <c r="P123" t="n">
        <v>0</v>
      </c>
      <c r="Q123" t="n">
        <v>2</v>
      </c>
      <c r="R123" s="2" t="inlineStr">
        <is>
          <t>Kolflarnlav
Dropptaggsvamp</t>
        </is>
      </c>
      <c r="S123">
        <f>HYPERLINK("https://klasma.github.io/Logging_2039/artfynd/A 27937-2025 artfynd.xlsx", "A 27937-2025")</f>
        <v/>
      </c>
      <c r="T123">
        <f>HYPERLINK("https://klasma.github.io/Logging_2039/kartor/A 27937-2025 karta.png", "A 27937-2025")</f>
        <v/>
      </c>
      <c r="V123">
        <f>HYPERLINK("https://klasma.github.io/Logging_2039/klagomål/A 27937-2025 FSC-klagomål.docx", "A 27937-2025")</f>
        <v/>
      </c>
      <c r="W123">
        <f>HYPERLINK("https://klasma.github.io/Logging_2039/klagomålsmail/A 27937-2025 FSC-klagomål mail.docx", "A 27937-2025")</f>
        <v/>
      </c>
      <c r="X123">
        <f>HYPERLINK("https://klasma.github.io/Logging_2039/tillsyn/A 27937-2025 tillsynsbegäran.docx", "A 27937-2025")</f>
        <v/>
      </c>
      <c r="Y123">
        <f>HYPERLINK("https://klasma.github.io/Logging_2039/tillsynsmail/A 27937-2025 tillsynsbegäran mail.docx", "A 27937-2025")</f>
        <v/>
      </c>
    </row>
    <row r="124" ht="15" customHeight="1">
      <c r="A124" t="inlineStr">
        <is>
          <t>A 31264-2025</t>
        </is>
      </c>
      <c r="B124" s="1" t="n">
        <v>45833.3283912037</v>
      </c>
      <c r="C124" s="1" t="n">
        <v>45983</v>
      </c>
      <c r="D124" t="inlineStr">
        <is>
          <t>DALARNAS LÄN</t>
        </is>
      </c>
      <c r="E124" t="inlineStr">
        <is>
          <t>ÄLVDALEN</t>
        </is>
      </c>
      <c r="F124" t="inlineStr">
        <is>
          <t>Sveaskog</t>
        </is>
      </c>
      <c r="G124" t="n">
        <v>1.3</v>
      </c>
      <c r="H124" t="n">
        <v>2</v>
      </c>
      <c r="I124" t="n">
        <v>0</v>
      </c>
      <c r="J124" t="n">
        <v>1</v>
      </c>
      <c r="K124" t="n">
        <v>0</v>
      </c>
      <c r="L124" t="n">
        <v>1</v>
      </c>
      <c r="M124" t="n">
        <v>0</v>
      </c>
      <c r="N124" t="n">
        <v>0</v>
      </c>
      <c r="O124" t="n">
        <v>2</v>
      </c>
      <c r="P124" t="n">
        <v>1</v>
      </c>
      <c r="Q124" t="n">
        <v>2</v>
      </c>
      <c r="R124" s="2" t="inlineStr">
        <is>
          <t>Mosippa
Drillsnäppa</t>
        </is>
      </c>
      <c r="S124">
        <f>HYPERLINK("https://klasma.github.io/Logging_2039/artfynd/A 31264-2025 artfynd.xlsx", "A 31264-2025")</f>
        <v/>
      </c>
      <c r="T124">
        <f>HYPERLINK("https://klasma.github.io/Logging_2039/kartor/A 31264-2025 karta.png", "A 31264-2025")</f>
        <v/>
      </c>
      <c r="V124">
        <f>HYPERLINK("https://klasma.github.io/Logging_2039/klagomål/A 31264-2025 FSC-klagomål.docx", "A 31264-2025")</f>
        <v/>
      </c>
      <c r="W124">
        <f>HYPERLINK("https://klasma.github.io/Logging_2039/klagomålsmail/A 31264-2025 FSC-klagomål mail.docx", "A 31264-2025")</f>
        <v/>
      </c>
      <c r="X124">
        <f>HYPERLINK("https://klasma.github.io/Logging_2039/tillsyn/A 31264-2025 tillsynsbegäran.docx", "A 31264-2025")</f>
        <v/>
      </c>
      <c r="Y124">
        <f>HYPERLINK("https://klasma.github.io/Logging_2039/tillsynsmail/A 31264-2025 tillsynsbegäran mail.docx", "A 31264-2025")</f>
        <v/>
      </c>
    </row>
    <row r="125" ht="15" customHeight="1">
      <c r="A125" t="inlineStr">
        <is>
          <t>A 55225-2025</t>
        </is>
      </c>
      <c r="B125" s="1" t="n">
        <v>45968.59571759259</v>
      </c>
      <c r="C125" s="1" t="n">
        <v>45983</v>
      </c>
      <c r="D125" t="inlineStr">
        <is>
          <t>DALARNAS LÄN</t>
        </is>
      </c>
      <c r="E125" t="inlineStr">
        <is>
          <t>ÄLVDALEN</t>
        </is>
      </c>
      <c r="F125" t="inlineStr">
        <is>
          <t>Sveaskog</t>
        </is>
      </c>
      <c r="G125" t="n">
        <v>2.2</v>
      </c>
      <c r="H125" t="n">
        <v>0</v>
      </c>
      <c r="I125" t="n">
        <v>0</v>
      </c>
      <c r="J125" t="n">
        <v>2</v>
      </c>
      <c r="K125" t="n">
        <v>0</v>
      </c>
      <c r="L125" t="n">
        <v>0</v>
      </c>
      <c r="M125" t="n">
        <v>0</v>
      </c>
      <c r="N125" t="n">
        <v>0</v>
      </c>
      <c r="O125" t="n">
        <v>2</v>
      </c>
      <c r="P125" t="n">
        <v>0</v>
      </c>
      <c r="Q125" t="n">
        <v>2</v>
      </c>
      <c r="R125" s="2" t="inlineStr">
        <is>
          <t>Dvärgbägarlav
Kolflarnlav</t>
        </is>
      </c>
      <c r="S125">
        <f>HYPERLINK("https://klasma.github.io/Logging_2039/artfynd/A 55225-2025 artfynd.xlsx", "A 55225-2025")</f>
        <v/>
      </c>
      <c r="T125">
        <f>HYPERLINK("https://klasma.github.io/Logging_2039/kartor/A 55225-2025 karta.png", "A 55225-2025")</f>
        <v/>
      </c>
      <c r="V125">
        <f>HYPERLINK("https://klasma.github.io/Logging_2039/klagomål/A 55225-2025 FSC-klagomål.docx", "A 55225-2025")</f>
        <v/>
      </c>
      <c r="W125">
        <f>HYPERLINK("https://klasma.github.io/Logging_2039/klagomålsmail/A 55225-2025 FSC-klagomål mail.docx", "A 55225-2025")</f>
        <v/>
      </c>
      <c r="X125">
        <f>HYPERLINK("https://klasma.github.io/Logging_2039/tillsyn/A 55225-2025 tillsynsbegäran.docx", "A 55225-2025")</f>
        <v/>
      </c>
      <c r="Y125">
        <f>HYPERLINK("https://klasma.github.io/Logging_2039/tillsynsmail/A 55225-2025 tillsynsbegäran mail.docx", "A 55225-2025")</f>
        <v/>
      </c>
    </row>
    <row r="126" ht="15" customHeight="1">
      <c r="A126" t="inlineStr">
        <is>
          <t>A 55227-2025</t>
        </is>
      </c>
      <c r="B126" s="1" t="n">
        <v>45968.59744212963</v>
      </c>
      <c r="C126" s="1" t="n">
        <v>45983</v>
      </c>
      <c r="D126" t="inlineStr">
        <is>
          <t>DALARNAS LÄN</t>
        </is>
      </c>
      <c r="E126" t="inlineStr">
        <is>
          <t>ÄLVDALEN</t>
        </is>
      </c>
      <c r="F126" t="inlineStr">
        <is>
          <t>Sveaskog</t>
        </is>
      </c>
      <c r="G126" t="n">
        <v>0.9</v>
      </c>
      <c r="H126" t="n">
        <v>0</v>
      </c>
      <c r="I126" t="n">
        <v>0</v>
      </c>
      <c r="J126" t="n">
        <v>2</v>
      </c>
      <c r="K126" t="n">
        <v>0</v>
      </c>
      <c r="L126" t="n">
        <v>0</v>
      </c>
      <c r="M126" t="n">
        <v>0</v>
      </c>
      <c r="N126" t="n">
        <v>0</v>
      </c>
      <c r="O126" t="n">
        <v>2</v>
      </c>
      <c r="P126" t="n">
        <v>0</v>
      </c>
      <c r="Q126" t="n">
        <v>2</v>
      </c>
      <c r="R126" s="2" t="inlineStr">
        <is>
          <t>Kolflarnlav
Vedflamlav</t>
        </is>
      </c>
      <c r="S126">
        <f>HYPERLINK("https://klasma.github.io/Logging_2039/artfynd/A 55227-2025 artfynd.xlsx", "A 55227-2025")</f>
        <v/>
      </c>
      <c r="T126">
        <f>HYPERLINK("https://klasma.github.io/Logging_2039/kartor/A 55227-2025 karta.png", "A 55227-2025")</f>
        <v/>
      </c>
      <c r="V126">
        <f>HYPERLINK("https://klasma.github.io/Logging_2039/klagomål/A 55227-2025 FSC-klagomål.docx", "A 55227-2025")</f>
        <v/>
      </c>
      <c r="W126">
        <f>HYPERLINK("https://klasma.github.io/Logging_2039/klagomålsmail/A 55227-2025 FSC-klagomål mail.docx", "A 55227-2025")</f>
        <v/>
      </c>
      <c r="X126">
        <f>HYPERLINK("https://klasma.github.io/Logging_2039/tillsyn/A 55227-2025 tillsynsbegäran.docx", "A 55227-2025")</f>
        <v/>
      </c>
      <c r="Y126">
        <f>HYPERLINK("https://klasma.github.io/Logging_2039/tillsynsmail/A 55227-2025 tillsynsbegäran mail.docx", "A 55227-2025")</f>
        <v/>
      </c>
    </row>
    <row r="127" ht="15" customHeight="1">
      <c r="A127" t="inlineStr">
        <is>
          <t>A 59429-2024</t>
        </is>
      </c>
      <c r="B127" s="1" t="n">
        <v>45638.42091435185</v>
      </c>
      <c r="C127" s="1" t="n">
        <v>45983</v>
      </c>
      <c r="D127" t="inlineStr">
        <is>
          <t>DALARNAS LÄN</t>
        </is>
      </c>
      <c r="E127" t="inlineStr">
        <is>
          <t>ÄLVDALEN</t>
        </is>
      </c>
      <c r="F127" t="inlineStr">
        <is>
          <t>Allmännings- och besparingsskogar</t>
        </is>
      </c>
      <c r="G127" t="n">
        <v>4.9</v>
      </c>
      <c r="H127" t="n">
        <v>0</v>
      </c>
      <c r="I127" t="n">
        <v>0</v>
      </c>
      <c r="J127" t="n">
        <v>2</v>
      </c>
      <c r="K127" t="n">
        <v>0</v>
      </c>
      <c r="L127" t="n">
        <v>0</v>
      </c>
      <c r="M127" t="n">
        <v>0</v>
      </c>
      <c r="N127" t="n">
        <v>0</v>
      </c>
      <c r="O127" t="n">
        <v>2</v>
      </c>
      <c r="P127" t="n">
        <v>0</v>
      </c>
      <c r="Q127" t="n">
        <v>2</v>
      </c>
      <c r="R127" s="2" t="inlineStr">
        <is>
          <t>Garnlav
Skrovellav</t>
        </is>
      </c>
      <c r="S127">
        <f>HYPERLINK("https://klasma.github.io/Logging_2039/artfynd/A 59429-2024 artfynd.xlsx", "A 59429-2024")</f>
        <v/>
      </c>
      <c r="T127">
        <f>HYPERLINK("https://klasma.github.io/Logging_2039/kartor/A 59429-2024 karta.png", "A 59429-2024")</f>
        <v/>
      </c>
      <c r="V127">
        <f>HYPERLINK("https://klasma.github.io/Logging_2039/klagomål/A 59429-2024 FSC-klagomål.docx", "A 59429-2024")</f>
        <v/>
      </c>
      <c r="W127">
        <f>HYPERLINK("https://klasma.github.io/Logging_2039/klagomålsmail/A 59429-2024 FSC-klagomål mail.docx", "A 59429-2024")</f>
        <v/>
      </c>
      <c r="X127">
        <f>HYPERLINK("https://klasma.github.io/Logging_2039/tillsyn/A 59429-2024 tillsynsbegäran.docx", "A 59429-2024")</f>
        <v/>
      </c>
      <c r="Y127">
        <f>HYPERLINK("https://klasma.github.io/Logging_2039/tillsynsmail/A 59429-2024 tillsynsbegäran mail.docx", "A 59429-2024")</f>
        <v/>
      </c>
    </row>
    <row r="128" ht="15" customHeight="1">
      <c r="A128" t="inlineStr">
        <is>
          <t>A 40461-2025</t>
        </is>
      </c>
      <c r="B128" s="1" t="n">
        <v>45895</v>
      </c>
      <c r="C128" s="1" t="n">
        <v>45983</v>
      </c>
      <c r="D128" t="inlineStr">
        <is>
          <t>DALARNAS LÄN</t>
        </is>
      </c>
      <c r="E128" t="inlineStr">
        <is>
          <t>ÄLVDALEN</t>
        </is>
      </c>
      <c r="G128" t="n">
        <v>3.1</v>
      </c>
      <c r="H128" t="n">
        <v>2</v>
      </c>
      <c r="I128" t="n">
        <v>0</v>
      </c>
      <c r="J128" t="n">
        <v>1</v>
      </c>
      <c r="K128" t="n">
        <v>0</v>
      </c>
      <c r="L128" t="n">
        <v>0</v>
      </c>
      <c r="M128" t="n">
        <v>0</v>
      </c>
      <c r="N128" t="n">
        <v>0</v>
      </c>
      <c r="O128" t="n">
        <v>1</v>
      </c>
      <c r="P128" t="n">
        <v>0</v>
      </c>
      <c r="Q128" t="n">
        <v>2</v>
      </c>
      <c r="R128" s="2" t="inlineStr">
        <is>
          <t>Talltita
Kungsfågel</t>
        </is>
      </c>
      <c r="S128">
        <f>HYPERLINK("https://klasma.github.io/Logging_2039/artfynd/A 40461-2025 artfynd.xlsx", "A 40461-2025")</f>
        <v/>
      </c>
      <c r="T128">
        <f>HYPERLINK("https://klasma.github.io/Logging_2039/kartor/A 40461-2025 karta.png", "A 40461-2025")</f>
        <v/>
      </c>
      <c r="V128">
        <f>HYPERLINK("https://klasma.github.io/Logging_2039/klagomål/A 40461-2025 FSC-klagomål.docx", "A 40461-2025")</f>
        <v/>
      </c>
      <c r="W128">
        <f>HYPERLINK("https://klasma.github.io/Logging_2039/klagomålsmail/A 40461-2025 FSC-klagomål mail.docx", "A 40461-2025")</f>
        <v/>
      </c>
      <c r="X128">
        <f>HYPERLINK("https://klasma.github.io/Logging_2039/tillsyn/A 40461-2025 tillsynsbegäran.docx", "A 40461-2025")</f>
        <v/>
      </c>
      <c r="Y128">
        <f>HYPERLINK("https://klasma.github.io/Logging_2039/tillsynsmail/A 40461-2025 tillsynsbegäran mail.docx", "A 40461-2025")</f>
        <v/>
      </c>
      <c r="Z128">
        <f>HYPERLINK("https://klasma.github.io/Logging_2039/fåglar/A 40461-2025 prioriterade fågelarter.docx", "A 40461-2025")</f>
        <v/>
      </c>
    </row>
    <row r="129" ht="15" customHeight="1">
      <c r="A129" t="inlineStr">
        <is>
          <t>A 54632-2021</t>
        </is>
      </c>
      <c r="B129" s="1" t="n">
        <v>44473</v>
      </c>
      <c r="C129" s="1" t="n">
        <v>45983</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27967-2023</t>
        </is>
      </c>
      <c r="B130" s="1" t="n">
        <v>45098.70354166667</v>
      </c>
      <c r="C130" s="1" t="n">
        <v>45983</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21629-2022</t>
        </is>
      </c>
      <c r="B131" s="1" t="n">
        <v>44706</v>
      </c>
      <c r="C131" s="1" t="n">
        <v>45983</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40231-2021</t>
        </is>
      </c>
      <c r="B132" s="1" t="n">
        <v>44419.31553240741</v>
      </c>
      <c r="C132" s="1" t="n">
        <v>45983</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42848-2023</t>
        </is>
      </c>
      <c r="B133" s="1" t="n">
        <v>45182</v>
      </c>
      <c r="C133" s="1" t="n">
        <v>45983</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31761-2021</t>
        </is>
      </c>
      <c r="B134" s="1" t="n">
        <v>44370</v>
      </c>
      <c r="C134" s="1" t="n">
        <v>45983</v>
      </c>
      <c r="D134" t="inlineStr">
        <is>
          <t>DALARNAS LÄN</t>
        </is>
      </c>
      <c r="E134" t="inlineStr">
        <is>
          <t>ÄLVDALEN</t>
        </is>
      </c>
      <c r="F134" t="inlineStr">
        <is>
          <t>Sveaskog</t>
        </is>
      </c>
      <c r="G134" t="n">
        <v>29.4</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31761-2021 artfynd.xlsx", "A 31761-2021")</f>
        <v/>
      </c>
      <c r="T134">
        <f>HYPERLINK("https://klasma.github.io/Logging_2039/kartor/A 31761-2021 karta.png", "A 31761-2021")</f>
        <v/>
      </c>
      <c r="V134">
        <f>HYPERLINK("https://klasma.github.io/Logging_2039/klagomål/A 31761-2021 FSC-klagomål.docx", "A 31761-2021")</f>
        <v/>
      </c>
      <c r="W134">
        <f>HYPERLINK("https://klasma.github.io/Logging_2039/klagomålsmail/A 31761-2021 FSC-klagomål mail.docx", "A 31761-2021")</f>
        <v/>
      </c>
      <c r="X134">
        <f>HYPERLINK("https://klasma.github.io/Logging_2039/tillsyn/A 31761-2021 tillsynsbegäran.docx", "A 31761-2021")</f>
        <v/>
      </c>
      <c r="Y134">
        <f>HYPERLINK("https://klasma.github.io/Logging_2039/tillsynsmail/A 31761-2021 tillsynsbegäran mail.docx", "A 31761-2021")</f>
        <v/>
      </c>
    </row>
    <row r="135" ht="15" customHeight="1">
      <c r="A135" t="inlineStr">
        <is>
          <t>A 50251-2022</t>
        </is>
      </c>
      <c r="B135" s="1" t="n">
        <v>44865</v>
      </c>
      <c r="C135" s="1" t="n">
        <v>45983</v>
      </c>
      <c r="D135" t="inlineStr">
        <is>
          <t>DALARNAS LÄN</t>
        </is>
      </c>
      <c r="E135" t="inlineStr">
        <is>
          <t>ÄLVDALEN</t>
        </is>
      </c>
      <c r="F135" t="inlineStr">
        <is>
          <t>Sveaskog</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50251-2022 artfynd.xlsx", "A 50251-2022")</f>
        <v/>
      </c>
      <c r="T135">
        <f>HYPERLINK("https://klasma.github.io/Logging_2039/kartor/A 50251-2022 karta.png", "A 50251-2022")</f>
        <v/>
      </c>
      <c r="V135">
        <f>HYPERLINK("https://klasma.github.io/Logging_2039/klagomål/A 50251-2022 FSC-klagomål.docx", "A 50251-2022")</f>
        <v/>
      </c>
      <c r="W135">
        <f>HYPERLINK("https://klasma.github.io/Logging_2039/klagomålsmail/A 50251-2022 FSC-klagomål mail.docx", "A 50251-2022")</f>
        <v/>
      </c>
      <c r="X135">
        <f>HYPERLINK("https://klasma.github.io/Logging_2039/tillsyn/A 50251-2022 tillsynsbegäran.docx", "A 50251-2022")</f>
        <v/>
      </c>
      <c r="Y135">
        <f>HYPERLINK("https://klasma.github.io/Logging_2039/tillsynsmail/A 50251-2022 tillsynsbegäran mail.docx", "A 50251-2022")</f>
        <v/>
      </c>
    </row>
    <row r="136" ht="15" customHeight="1">
      <c r="A136" t="inlineStr">
        <is>
          <t>A 30971-2021</t>
        </is>
      </c>
      <c r="B136" s="1" t="n">
        <v>44365.90097222223</v>
      </c>
      <c r="C136" s="1" t="n">
        <v>45983</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65500-2021</t>
        </is>
      </c>
      <c r="B137" s="1" t="n">
        <v>44516</v>
      </c>
      <c r="C137" s="1" t="n">
        <v>45983</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22759-2021</t>
        </is>
      </c>
      <c r="B138" s="1" t="n">
        <v>44327.86341435185</v>
      </c>
      <c r="C138" s="1" t="n">
        <v>45983</v>
      </c>
      <c r="D138" t="inlineStr">
        <is>
          <t>DALARNAS LÄN</t>
        </is>
      </c>
      <c r="E138" t="inlineStr">
        <is>
          <t>ÄLVDALEN</t>
        </is>
      </c>
      <c r="F138" t="inlineStr">
        <is>
          <t>Sveaskog</t>
        </is>
      </c>
      <c r="G138" t="n">
        <v>1.8</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22759-2021 artfynd.xlsx", "A 22759-2021")</f>
        <v/>
      </c>
      <c r="T138">
        <f>HYPERLINK("https://klasma.github.io/Logging_2039/kartor/A 22759-2021 karta.png", "A 22759-2021")</f>
        <v/>
      </c>
      <c r="V138">
        <f>HYPERLINK("https://klasma.github.io/Logging_2039/klagomål/A 22759-2021 FSC-klagomål.docx", "A 22759-2021")</f>
        <v/>
      </c>
      <c r="W138">
        <f>HYPERLINK("https://klasma.github.io/Logging_2039/klagomålsmail/A 22759-2021 FSC-klagomål mail.docx", "A 22759-2021")</f>
        <v/>
      </c>
      <c r="X138">
        <f>HYPERLINK("https://klasma.github.io/Logging_2039/tillsyn/A 22759-2021 tillsynsbegäran.docx", "A 22759-2021")</f>
        <v/>
      </c>
      <c r="Y138">
        <f>HYPERLINK("https://klasma.github.io/Logging_2039/tillsynsmail/A 22759-2021 tillsynsbegäran mail.docx", "A 22759-2021")</f>
        <v/>
      </c>
    </row>
    <row r="139" ht="15" customHeight="1">
      <c r="A139" t="inlineStr">
        <is>
          <t>A 34099-2021</t>
        </is>
      </c>
      <c r="B139" s="1" t="n">
        <v>44379</v>
      </c>
      <c r="C139" s="1" t="n">
        <v>45983</v>
      </c>
      <c r="D139" t="inlineStr">
        <is>
          <t>DALARNAS LÄN</t>
        </is>
      </c>
      <c r="E139" t="inlineStr">
        <is>
          <t>ÄLVDALEN</t>
        </is>
      </c>
      <c r="F139" t="inlineStr">
        <is>
          <t>Sveaskog</t>
        </is>
      </c>
      <c r="G139" t="n">
        <v>9.4</v>
      </c>
      <c r="H139" t="n">
        <v>1</v>
      </c>
      <c r="I139" t="n">
        <v>0</v>
      </c>
      <c r="J139" t="n">
        <v>1</v>
      </c>
      <c r="K139" t="n">
        <v>0</v>
      </c>
      <c r="L139" t="n">
        <v>0</v>
      </c>
      <c r="M139" t="n">
        <v>0</v>
      </c>
      <c r="N139" t="n">
        <v>0</v>
      </c>
      <c r="O139" t="n">
        <v>1</v>
      </c>
      <c r="P139" t="n">
        <v>0</v>
      </c>
      <c r="Q139" t="n">
        <v>1</v>
      </c>
      <c r="R139" s="2" t="inlineStr">
        <is>
          <t>Varglav</t>
        </is>
      </c>
      <c r="S139">
        <f>HYPERLINK("https://klasma.github.io/Logging_2039/artfynd/A 34099-2021 artfynd.xlsx", "A 34099-2021")</f>
        <v/>
      </c>
      <c r="T139">
        <f>HYPERLINK("https://klasma.github.io/Logging_2039/kartor/A 34099-2021 karta.png", "A 34099-2021")</f>
        <v/>
      </c>
      <c r="V139">
        <f>HYPERLINK("https://klasma.github.io/Logging_2039/klagomål/A 34099-2021 FSC-klagomål.docx", "A 34099-2021")</f>
        <v/>
      </c>
      <c r="W139">
        <f>HYPERLINK("https://klasma.github.io/Logging_2039/klagomålsmail/A 34099-2021 FSC-klagomål mail.docx", "A 34099-2021")</f>
        <v/>
      </c>
      <c r="X139">
        <f>HYPERLINK("https://klasma.github.io/Logging_2039/tillsyn/A 34099-2021 tillsynsbegäran.docx", "A 34099-2021")</f>
        <v/>
      </c>
      <c r="Y139">
        <f>HYPERLINK("https://klasma.github.io/Logging_2039/tillsynsmail/A 34099-2021 tillsynsbegäran mail.docx", "A 34099-2021")</f>
        <v/>
      </c>
    </row>
    <row r="140" ht="15" customHeight="1">
      <c r="A140" t="inlineStr">
        <is>
          <t>A 50252-2022</t>
        </is>
      </c>
      <c r="B140" s="1" t="n">
        <v>44865</v>
      </c>
      <c r="C140" s="1" t="n">
        <v>45983</v>
      </c>
      <c r="D140" t="inlineStr">
        <is>
          <t>DALARNAS LÄN</t>
        </is>
      </c>
      <c r="E140" t="inlineStr">
        <is>
          <t>ÄLVDALEN</t>
        </is>
      </c>
      <c r="F140" t="inlineStr">
        <is>
          <t>Sveaskog</t>
        </is>
      </c>
      <c r="G140" t="n">
        <v>3</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50252-2022 artfynd.xlsx", "A 50252-2022")</f>
        <v/>
      </c>
      <c r="T140">
        <f>HYPERLINK("https://klasma.github.io/Logging_2039/kartor/A 50252-2022 karta.png", "A 50252-2022")</f>
        <v/>
      </c>
      <c r="V140">
        <f>HYPERLINK("https://klasma.github.io/Logging_2039/klagomål/A 50252-2022 FSC-klagomål.docx", "A 50252-2022")</f>
        <v/>
      </c>
      <c r="W140">
        <f>HYPERLINK("https://klasma.github.io/Logging_2039/klagomålsmail/A 50252-2022 FSC-klagomål mail.docx", "A 50252-2022")</f>
        <v/>
      </c>
      <c r="X140">
        <f>HYPERLINK("https://klasma.github.io/Logging_2039/tillsyn/A 50252-2022 tillsynsbegäran.docx", "A 50252-2022")</f>
        <v/>
      </c>
      <c r="Y140">
        <f>HYPERLINK("https://klasma.github.io/Logging_2039/tillsynsmail/A 50252-2022 tillsynsbegäran mail.docx", "A 50252-2022")</f>
        <v/>
      </c>
    </row>
    <row r="141" ht="15" customHeight="1">
      <c r="A141" t="inlineStr">
        <is>
          <t>A 22407-2021</t>
        </is>
      </c>
      <c r="B141" s="1" t="n">
        <v>44326.61526620371</v>
      </c>
      <c r="C141" s="1" t="n">
        <v>45983</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24847-2021</t>
        </is>
      </c>
      <c r="B142" s="1" t="n">
        <v>44340</v>
      </c>
      <c r="C142" s="1" t="n">
        <v>45983</v>
      </c>
      <c r="D142" t="inlineStr">
        <is>
          <t>DALARNAS LÄN</t>
        </is>
      </c>
      <c r="E142" t="inlineStr">
        <is>
          <t>ÄLVDALEN</t>
        </is>
      </c>
      <c r="F142" t="inlineStr">
        <is>
          <t>Sveaskog</t>
        </is>
      </c>
      <c r="G142" t="n">
        <v>7.1</v>
      </c>
      <c r="H142" t="n">
        <v>1</v>
      </c>
      <c r="I142" t="n">
        <v>0</v>
      </c>
      <c r="J142" t="n">
        <v>1</v>
      </c>
      <c r="K142" t="n">
        <v>0</v>
      </c>
      <c r="L142" t="n">
        <v>0</v>
      </c>
      <c r="M142" t="n">
        <v>0</v>
      </c>
      <c r="N142" t="n">
        <v>0</v>
      </c>
      <c r="O142" t="n">
        <v>1</v>
      </c>
      <c r="P142" t="n">
        <v>0</v>
      </c>
      <c r="Q142" t="n">
        <v>1</v>
      </c>
      <c r="R142" s="2" t="inlineStr">
        <is>
          <t>Varglav</t>
        </is>
      </c>
      <c r="S142">
        <f>HYPERLINK("https://klasma.github.io/Logging_2039/artfynd/A 24847-2021 artfynd.xlsx", "A 24847-2021")</f>
        <v/>
      </c>
      <c r="T142">
        <f>HYPERLINK("https://klasma.github.io/Logging_2039/kartor/A 24847-2021 karta.png", "A 24847-2021")</f>
        <v/>
      </c>
      <c r="V142">
        <f>HYPERLINK("https://klasma.github.io/Logging_2039/klagomål/A 24847-2021 FSC-klagomål.docx", "A 24847-2021")</f>
        <v/>
      </c>
      <c r="W142">
        <f>HYPERLINK("https://klasma.github.io/Logging_2039/klagomålsmail/A 24847-2021 FSC-klagomål mail.docx", "A 24847-2021")</f>
        <v/>
      </c>
      <c r="X142">
        <f>HYPERLINK("https://klasma.github.io/Logging_2039/tillsyn/A 24847-2021 tillsynsbegäran.docx", "A 24847-2021")</f>
        <v/>
      </c>
      <c r="Y142">
        <f>HYPERLINK("https://klasma.github.io/Logging_2039/tillsynsmail/A 24847-2021 tillsynsbegäran mail.docx", "A 24847-2021")</f>
        <v/>
      </c>
    </row>
    <row r="143" ht="15" customHeight="1">
      <c r="A143" t="inlineStr">
        <is>
          <t>A 51477-2022</t>
        </is>
      </c>
      <c r="B143" s="1" t="n">
        <v>44869</v>
      </c>
      <c r="C143" s="1" t="n">
        <v>45983</v>
      </c>
      <c r="D143" t="inlineStr">
        <is>
          <t>DALARNAS LÄN</t>
        </is>
      </c>
      <c r="E143" t="inlineStr">
        <is>
          <t>ÄLVDALEN</t>
        </is>
      </c>
      <c r="F143" t="inlineStr">
        <is>
          <t>Sveaskog</t>
        </is>
      </c>
      <c r="G143" t="n">
        <v>3.8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51477-2022 artfynd.xlsx", "A 51477-2022")</f>
        <v/>
      </c>
      <c r="T143">
        <f>HYPERLINK("https://klasma.github.io/Logging_2039/kartor/A 51477-2022 karta.png", "A 51477-2022")</f>
        <v/>
      </c>
      <c r="V143">
        <f>HYPERLINK("https://klasma.github.io/Logging_2039/klagomål/A 51477-2022 FSC-klagomål.docx", "A 51477-2022")</f>
        <v/>
      </c>
      <c r="W143">
        <f>HYPERLINK("https://klasma.github.io/Logging_2039/klagomålsmail/A 51477-2022 FSC-klagomål mail.docx", "A 51477-2022")</f>
        <v/>
      </c>
      <c r="X143">
        <f>HYPERLINK("https://klasma.github.io/Logging_2039/tillsyn/A 51477-2022 tillsynsbegäran.docx", "A 51477-2022")</f>
        <v/>
      </c>
      <c r="Y143">
        <f>HYPERLINK("https://klasma.github.io/Logging_2039/tillsynsmail/A 51477-2022 tillsynsbegäran mail.docx", "A 51477-2022")</f>
        <v/>
      </c>
    </row>
    <row r="144" ht="15" customHeight="1">
      <c r="A144" t="inlineStr">
        <is>
          <t>A 60419-2021</t>
        </is>
      </c>
      <c r="B144" s="1" t="n">
        <v>44496.40606481482</v>
      </c>
      <c r="C144" s="1" t="n">
        <v>45983</v>
      </c>
      <c r="D144" t="inlineStr">
        <is>
          <t>DALARNAS LÄN</t>
        </is>
      </c>
      <c r="E144" t="inlineStr">
        <is>
          <t>ÄLVDALEN</t>
        </is>
      </c>
      <c r="F144" t="inlineStr">
        <is>
          <t>Sveaskog</t>
        </is>
      </c>
      <c r="G144" t="n">
        <v>9.1</v>
      </c>
      <c r="H144" t="n">
        <v>0</v>
      </c>
      <c r="I144" t="n">
        <v>1</v>
      </c>
      <c r="J144" t="n">
        <v>0</v>
      </c>
      <c r="K144" t="n">
        <v>0</v>
      </c>
      <c r="L144" t="n">
        <v>0</v>
      </c>
      <c r="M144" t="n">
        <v>0</v>
      </c>
      <c r="N144" t="n">
        <v>0</v>
      </c>
      <c r="O144" t="n">
        <v>0</v>
      </c>
      <c r="P144" t="n">
        <v>0</v>
      </c>
      <c r="Q144" t="n">
        <v>1</v>
      </c>
      <c r="R144" s="2" t="inlineStr">
        <is>
          <t>Dropptaggsvamp</t>
        </is>
      </c>
      <c r="S144">
        <f>HYPERLINK("https://klasma.github.io/Logging_2039/artfynd/A 60419-2021 artfynd.xlsx", "A 60419-2021")</f>
        <v/>
      </c>
      <c r="T144">
        <f>HYPERLINK("https://klasma.github.io/Logging_2039/kartor/A 60419-2021 karta.png", "A 60419-2021")</f>
        <v/>
      </c>
      <c r="V144">
        <f>HYPERLINK("https://klasma.github.io/Logging_2039/klagomål/A 60419-2021 FSC-klagomål.docx", "A 60419-2021")</f>
        <v/>
      </c>
      <c r="W144">
        <f>HYPERLINK("https://klasma.github.io/Logging_2039/klagomålsmail/A 60419-2021 FSC-klagomål mail.docx", "A 60419-2021")</f>
        <v/>
      </c>
      <c r="X144">
        <f>HYPERLINK("https://klasma.github.io/Logging_2039/tillsyn/A 60419-2021 tillsynsbegäran.docx", "A 60419-2021")</f>
        <v/>
      </c>
      <c r="Y144">
        <f>HYPERLINK("https://klasma.github.io/Logging_2039/tillsynsmail/A 60419-2021 tillsynsbegäran mail.docx", "A 60419-2021")</f>
        <v/>
      </c>
    </row>
    <row r="145" ht="15" customHeight="1">
      <c r="A145" t="inlineStr">
        <is>
          <t>A 26736-2021</t>
        </is>
      </c>
      <c r="B145" s="1" t="n">
        <v>44349</v>
      </c>
      <c r="C145" s="1" t="n">
        <v>45983</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26736-2021 artfynd.xlsx", "A 26736-2021")</f>
        <v/>
      </c>
      <c r="T145">
        <f>HYPERLINK("https://klasma.github.io/Logging_2039/kartor/A 26736-2021 karta.png", "A 26736-2021")</f>
        <v/>
      </c>
      <c r="V145">
        <f>HYPERLINK("https://klasma.github.io/Logging_2039/klagomål/A 26736-2021 FSC-klagomål.docx", "A 26736-2021")</f>
        <v/>
      </c>
      <c r="W145">
        <f>HYPERLINK("https://klasma.github.io/Logging_2039/klagomålsmail/A 26736-2021 FSC-klagomål mail.docx", "A 26736-2021")</f>
        <v/>
      </c>
      <c r="X145">
        <f>HYPERLINK("https://klasma.github.io/Logging_2039/tillsyn/A 26736-2021 tillsynsbegäran.docx", "A 26736-2021")</f>
        <v/>
      </c>
      <c r="Y145">
        <f>HYPERLINK("https://klasma.github.io/Logging_2039/tillsynsmail/A 26736-2021 tillsynsbegäran mail.docx", "A 26736-2021")</f>
        <v/>
      </c>
    </row>
    <row r="146" ht="15" customHeight="1">
      <c r="A146" t="inlineStr">
        <is>
          <t>A 22286-2025</t>
        </is>
      </c>
      <c r="B146" s="1" t="n">
        <v>45786.34402777778</v>
      </c>
      <c r="C146" s="1" t="n">
        <v>45983</v>
      </c>
      <c r="D146" t="inlineStr">
        <is>
          <t>DALARNAS LÄN</t>
        </is>
      </c>
      <c r="E146" t="inlineStr">
        <is>
          <t>ÄLVDALEN</t>
        </is>
      </c>
      <c r="F146" t="inlineStr">
        <is>
          <t>Sveaskog</t>
        </is>
      </c>
      <c r="G146" t="n">
        <v>1.3</v>
      </c>
      <c r="H146" t="n">
        <v>0</v>
      </c>
      <c r="I146" t="n">
        <v>0</v>
      </c>
      <c r="J146" t="n">
        <v>1</v>
      </c>
      <c r="K146" t="n">
        <v>0</v>
      </c>
      <c r="L146" t="n">
        <v>0</v>
      </c>
      <c r="M146" t="n">
        <v>0</v>
      </c>
      <c r="N146" t="n">
        <v>0</v>
      </c>
      <c r="O146" t="n">
        <v>1</v>
      </c>
      <c r="P146" t="n">
        <v>0</v>
      </c>
      <c r="Q146" t="n">
        <v>1</v>
      </c>
      <c r="R146" s="2" t="inlineStr">
        <is>
          <t>Kolflarnlav</t>
        </is>
      </c>
      <c r="S146">
        <f>HYPERLINK("https://klasma.github.io/Logging_2039/artfynd/A 22286-2025 artfynd.xlsx", "A 22286-2025")</f>
        <v/>
      </c>
      <c r="T146">
        <f>HYPERLINK("https://klasma.github.io/Logging_2039/kartor/A 22286-2025 karta.png", "A 22286-2025")</f>
        <v/>
      </c>
      <c r="V146">
        <f>HYPERLINK("https://klasma.github.io/Logging_2039/klagomål/A 22286-2025 FSC-klagomål.docx", "A 22286-2025")</f>
        <v/>
      </c>
      <c r="W146">
        <f>HYPERLINK("https://klasma.github.io/Logging_2039/klagomålsmail/A 22286-2025 FSC-klagomål mail.docx", "A 22286-2025")</f>
        <v/>
      </c>
      <c r="X146">
        <f>HYPERLINK("https://klasma.github.io/Logging_2039/tillsyn/A 22286-2025 tillsynsbegäran.docx", "A 22286-2025")</f>
        <v/>
      </c>
      <c r="Y146">
        <f>HYPERLINK("https://klasma.github.io/Logging_2039/tillsynsmail/A 22286-2025 tillsynsbegäran mail.docx", "A 22286-2025")</f>
        <v/>
      </c>
    </row>
    <row r="147" ht="15" customHeight="1">
      <c r="A147" t="inlineStr">
        <is>
          <t>A 55062-2022</t>
        </is>
      </c>
      <c r="B147" s="1" t="n">
        <v>44881</v>
      </c>
      <c r="C147" s="1" t="n">
        <v>45983</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31145-2024</t>
        </is>
      </c>
      <c r="B148" s="1" t="n">
        <v>45502.85956018518</v>
      </c>
      <c r="C148" s="1" t="n">
        <v>45983</v>
      </c>
      <c r="D148" t="inlineStr">
        <is>
          <t>DALARNAS LÄN</t>
        </is>
      </c>
      <c r="E148" t="inlineStr">
        <is>
          <t>ÄLVDALEN</t>
        </is>
      </c>
      <c r="G148" t="n">
        <v>1.2</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31145-2024 artfynd.xlsx", "A 31145-2024")</f>
        <v/>
      </c>
      <c r="T148">
        <f>HYPERLINK("https://klasma.github.io/Logging_2039/kartor/A 31145-2024 karta.png", "A 31145-2024")</f>
        <v/>
      </c>
      <c r="V148">
        <f>HYPERLINK("https://klasma.github.io/Logging_2039/klagomål/A 31145-2024 FSC-klagomål.docx", "A 31145-2024")</f>
        <v/>
      </c>
      <c r="W148">
        <f>HYPERLINK("https://klasma.github.io/Logging_2039/klagomålsmail/A 31145-2024 FSC-klagomål mail.docx", "A 31145-2024")</f>
        <v/>
      </c>
      <c r="X148">
        <f>HYPERLINK("https://klasma.github.io/Logging_2039/tillsyn/A 31145-2024 tillsynsbegäran.docx", "A 31145-2024")</f>
        <v/>
      </c>
      <c r="Y148">
        <f>HYPERLINK("https://klasma.github.io/Logging_2039/tillsynsmail/A 31145-2024 tillsynsbegäran mail.docx", "A 31145-2024")</f>
        <v/>
      </c>
      <c r="Z148">
        <f>HYPERLINK("https://klasma.github.io/Logging_2039/fåglar/A 31145-2024 prioriterade fågelarter.docx", "A 31145-2024")</f>
        <v/>
      </c>
    </row>
    <row r="149" ht="15" customHeight="1">
      <c r="A149" t="inlineStr">
        <is>
          <t>A 45201-2024</t>
        </is>
      </c>
      <c r="B149" s="1" t="n">
        <v>45575</v>
      </c>
      <c r="C149" s="1" t="n">
        <v>45983</v>
      </c>
      <c r="D149" t="inlineStr">
        <is>
          <t>DALARNAS LÄN</t>
        </is>
      </c>
      <c r="E149" t="inlineStr">
        <is>
          <t>ÄLVDALEN</t>
        </is>
      </c>
      <c r="G149" t="n">
        <v>24.6</v>
      </c>
      <c r="H149" t="n">
        <v>1</v>
      </c>
      <c r="I149" t="n">
        <v>0</v>
      </c>
      <c r="J149" t="n">
        <v>1</v>
      </c>
      <c r="K149" t="n">
        <v>0</v>
      </c>
      <c r="L149" t="n">
        <v>0</v>
      </c>
      <c r="M149" t="n">
        <v>0</v>
      </c>
      <c r="N149" t="n">
        <v>0</v>
      </c>
      <c r="O149" t="n">
        <v>1</v>
      </c>
      <c r="P149" t="n">
        <v>0</v>
      </c>
      <c r="Q149" t="n">
        <v>1</v>
      </c>
      <c r="R149" s="2" t="inlineStr">
        <is>
          <t>Varglav</t>
        </is>
      </c>
      <c r="S149">
        <f>HYPERLINK("https://klasma.github.io/Logging_2039/artfynd/A 45201-2024 artfynd.xlsx", "A 45201-2024")</f>
        <v/>
      </c>
      <c r="T149">
        <f>HYPERLINK("https://klasma.github.io/Logging_2039/kartor/A 45201-2024 karta.png", "A 45201-2024")</f>
        <v/>
      </c>
      <c r="V149">
        <f>HYPERLINK("https://klasma.github.io/Logging_2039/klagomål/A 45201-2024 FSC-klagomål.docx", "A 45201-2024")</f>
        <v/>
      </c>
      <c r="W149">
        <f>HYPERLINK("https://klasma.github.io/Logging_2039/klagomålsmail/A 45201-2024 FSC-klagomål mail.docx", "A 45201-2024")</f>
        <v/>
      </c>
      <c r="X149">
        <f>HYPERLINK("https://klasma.github.io/Logging_2039/tillsyn/A 45201-2024 tillsynsbegäran.docx", "A 45201-2024")</f>
        <v/>
      </c>
      <c r="Y149">
        <f>HYPERLINK("https://klasma.github.io/Logging_2039/tillsynsmail/A 45201-2024 tillsynsbegäran mail.docx", "A 45201-2024")</f>
        <v/>
      </c>
    </row>
    <row r="150" ht="15" customHeight="1">
      <c r="A150" t="inlineStr">
        <is>
          <t>A 41728-2025</t>
        </is>
      </c>
      <c r="B150" s="1" t="n">
        <v>45902.45748842593</v>
      </c>
      <c r="C150" s="1" t="n">
        <v>45983</v>
      </c>
      <c r="D150" t="inlineStr">
        <is>
          <t>DALARNAS LÄN</t>
        </is>
      </c>
      <c r="E150" t="inlineStr">
        <is>
          <t>ÄLVDALEN</t>
        </is>
      </c>
      <c r="F150" t="inlineStr">
        <is>
          <t>Sveaskog</t>
        </is>
      </c>
      <c r="G150" t="n">
        <v>0.9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41728-2025 artfynd.xlsx", "A 41728-2025")</f>
        <v/>
      </c>
      <c r="T150">
        <f>HYPERLINK("https://klasma.github.io/Logging_2039/kartor/A 41728-2025 karta.png", "A 41728-2025")</f>
        <v/>
      </c>
      <c r="V150">
        <f>HYPERLINK("https://klasma.github.io/Logging_2039/klagomål/A 41728-2025 FSC-klagomål.docx", "A 41728-2025")</f>
        <v/>
      </c>
      <c r="W150">
        <f>HYPERLINK("https://klasma.github.io/Logging_2039/klagomålsmail/A 41728-2025 FSC-klagomål mail.docx", "A 41728-2025")</f>
        <v/>
      </c>
      <c r="X150">
        <f>HYPERLINK("https://klasma.github.io/Logging_2039/tillsyn/A 41728-2025 tillsynsbegäran.docx", "A 41728-2025")</f>
        <v/>
      </c>
      <c r="Y150">
        <f>HYPERLINK("https://klasma.github.io/Logging_2039/tillsynsmail/A 41728-2025 tillsynsbegäran mail.docx", "A 41728-2025")</f>
        <v/>
      </c>
    </row>
    <row r="151" ht="15" customHeight="1">
      <c r="A151" t="inlineStr">
        <is>
          <t>A 41932-2025</t>
        </is>
      </c>
      <c r="B151" s="1" t="n">
        <v>45903.43458333334</v>
      </c>
      <c r="C151" s="1" t="n">
        <v>45983</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41932-2025 artfynd.xlsx", "A 41932-2025")</f>
        <v/>
      </c>
      <c r="T151">
        <f>HYPERLINK("https://klasma.github.io/Logging_2039/kartor/A 41932-2025 karta.png", "A 41932-2025")</f>
        <v/>
      </c>
      <c r="V151">
        <f>HYPERLINK("https://klasma.github.io/Logging_2039/klagomål/A 41932-2025 FSC-klagomål.docx", "A 41932-2025")</f>
        <v/>
      </c>
      <c r="W151">
        <f>HYPERLINK("https://klasma.github.io/Logging_2039/klagomålsmail/A 41932-2025 FSC-klagomål mail.docx", "A 41932-2025")</f>
        <v/>
      </c>
      <c r="X151">
        <f>HYPERLINK("https://klasma.github.io/Logging_2039/tillsyn/A 41932-2025 tillsynsbegäran.docx", "A 41932-2025")</f>
        <v/>
      </c>
      <c r="Y151">
        <f>HYPERLINK("https://klasma.github.io/Logging_2039/tillsynsmail/A 41932-2025 tillsynsbegäran mail.docx", "A 41932-2025")</f>
        <v/>
      </c>
    </row>
    <row r="152" ht="15" customHeight="1">
      <c r="A152" t="inlineStr">
        <is>
          <t>A 27923-2025</t>
        </is>
      </c>
      <c r="B152" s="1" t="n">
        <v>45817.48814814815</v>
      </c>
      <c r="C152" s="1" t="n">
        <v>45983</v>
      </c>
      <c r="D152" t="inlineStr">
        <is>
          <t>DALARNAS LÄN</t>
        </is>
      </c>
      <c r="E152" t="inlineStr">
        <is>
          <t>ÄLVDALEN</t>
        </is>
      </c>
      <c r="G152" t="n">
        <v>2.9</v>
      </c>
      <c r="H152" t="n">
        <v>1</v>
      </c>
      <c r="I152" t="n">
        <v>0</v>
      </c>
      <c r="J152" t="n">
        <v>0</v>
      </c>
      <c r="K152" t="n">
        <v>0</v>
      </c>
      <c r="L152" t="n">
        <v>0</v>
      </c>
      <c r="M152" t="n">
        <v>0</v>
      </c>
      <c r="N152" t="n">
        <v>0</v>
      </c>
      <c r="O152" t="n">
        <v>0</v>
      </c>
      <c r="P152" t="n">
        <v>0</v>
      </c>
      <c r="Q152" t="n">
        <v>1</v>
      </c>
      <c r="R152" s="2" t="inlineStr">
        <is>
          <t>Lavskrika</t>
        </is>
      </c>
      <c r="S152">
        <f>HYPERLINK("https://klasma.github.io/Logging_2039/artfynd/A 27923-2025 artfynd.xlsx", "A 27923-2025")</f>
        <v/>
      </c>
      <c r="T152">
        <f>HYPERLINK("https://klasma.github.io/Logging_2039/kartor/A 27923-2025 karta.png", "A 27923-2025")</f>
        <v/>
      </c>
      <c r="V152">
        <f>HYPERLINK("https://klasma.github.io/Logging_2039/klagomål/A 27923-2025 FSC-klagomål.docx", "A 27923-2025")</f>
        <v/>
      </c>
      <c r="W152">
        <f>HYPERLINK("https://klasma.github.io/Logging_2039/klagomålsmail/A 27923-2025 FSC-klagomål mail.docx", "A 27923-2025")</f>
        <v/>
      </c>
      <c r="X152">
        <f>HYPERLINK("https://klasma.github.io/Logging_2039/tillsyn/A 27923-2025 tillsynsbegäran.docx", "A 27923-2025")</f>
        <v/>
      </c>
      <c r="Y152">
        <f>HYPERLINK("https://klasma.github.io/Logging_2039/tillsynsmail/A 27923-2025 tillsynsbegäran mail.docx", "A 27923-2025")</f>
        <v/>
      </c>
      <c r="Z152">
        <f>HYPERLINK("https://klasma.github.io/Logging_2039/fåglar/A 27923-2025 prioriterade fågelarter.docx", "A 27923-2025")</f>
        <v/>
      </c>
    </row>
    <row r="153" ht="15" customHeight="1">
      <c r="A153" t="inlineStr">
        <is>
          <t>A 27929-2025</t>
        </is>
      </c>
      <c r="B153" s="1" t="n">
        <v>45817.49222222222</v>
      </c>
      <c r="C153" s="1" t="n">
        <v>45983</v>
      </c>
      <c r="D153" t="inlineStr">
        <is>
          <t>DALARNAS LÄN</t>
        </is>
      </c>
      <c r="E153" t="inlineStr">
        <is>
          <t>ÄLVDALEN</t>
        </is>
      </c>
      <c r="F153" t="inlineStr">
        <is>
          <t>Sveaskog</t>
        </is>
      </c>
      <c r="G153" t="n">
        <v>2.7</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27929-2025 artfynd.xlsx", "A 27929-2025")</f>
        <v/>
      </c>
      <c r="T153">
        <f>HYPERLINK("https://klasma.github.io/Logging_2039/kartor/A 27929-2025 karta.png", "A 27929-2025")</f>
        <v/>
      </c>
      <c r="V153">
        <f>HYPERLINK("https://klasma.github.io/Logging_2039/klagomål/A 27929-2025 FSC-klagomål.docx", "A 27929-2025")</f>
        <v/>
      </c>
      <c r="W153">
        <f>HYPERLINK("https://klasma.github.io/Logging_2039/klagomålsmail/A 27929-2025 FSC-klagomål mail.docx", "A 27929-2025")</f>
        <v/>
      </c>
      <c r="X153">
        <f>HYPERLINK("https://klasma.github.io/Logging_2039/tillsyn/A 27929-2025 tillsynsbegäran.docx", "A 27929-2025")</f>
        <v/>
      </c>
      <c r="Y153">
        <f>HYPERLINK("https://klasma.github.io/Logging_2039/tillsynsmail/A 27929-2025 tillsynsbegäran mail.docx", "A 27929-2025")</f>
        <v/>
      </c>
    </row>
    <row r="154" ht="15" customHeight="1">
      <c r="A154" t="inlineStr">
        <is>
          <t>A 50385-2024</t>
        </is>
      </c>
      <c r="B154" s="1" t="n">
        <v>45600</v>
      </c>
      <c r="C154" s="1" t="n">
        <v>45983</v>
      </c>
      <c r="D154" t="inlineStr">
        <is>
          <t>DALARNAS LÄN</t>
        </is>
      </c>
      <c r="E154" t="inlineStr">
        <is>
          <t>ÄLVDALEN</t>
        </is>
      </c>
      <c r="F154" t="inlineStr">
        <is>
          <t>Övriga statliga verk och myndigheter</t>
        </is>
      </c>
      <c r="G154" t="n">
        <v>13.9</v>
      </c>
      <c r="H154" t="n">
        <v>0</v>
      </c>
      <c r="I154" t="n">
        <v>0</v>
      </c>
      <c r="J154" t="n">
        <v>1</v>
      </c>
      <c r="K154" t="n">
        <v>0</v>
      </c>
      <c r="L154" t="n">
        <v>0</v>
      </c>
      <c r="M154" t="n">
        <v>0</v>
      </c>
      <c r="N154" t="n">
        <v>0</v>
      </c>
      <c r="O154" t="n">
        <v>1</v>
      </c>
      <c r="P154" t="n">
        <v>0</v>
      </c>
      <c r="Q154" t="n">
        <v>1</v>
      </c>
      <c r="R154" s="2" t="inlineStr">
        <is>
          <t>Gammelgransskål</t>
        </is>
      </c>
      <c r="S154">
        <f>HYPERLINK("https://klasma.github.io/Logging_2039/artfynd/A 50385-2024 artfynd.xlsx", "A 50385-2024")</f>
        <v/>
      </c>
      <c r="T154">
        <f>HYPERLINK("https://klasma.github.io/Logging_2039/kartor/A 50385-2024 karta.png", "A 50385-2024")</f>
        <v/>
      </c>
      <c r="V154">
        <f>HYPERLINK("https://klasma.github.io/Logging_2039/klagomål/A 50385-2024 FSC-klagomål.docx", "A 50385-2024")</f>
        <v/>
      </c>
      <c r="W154">
        <f>HYPERLINK("https://klasma.github.io/Logging_2039/klagomålsmail/A 50385-2024 FSC-klagomål mail.docx", "A 50385-2024")</f>
        <v/>
      </c>
      <c r="X154">
        <f>HYPERLINK("https://klasma.github.io/Logging_2039/tillsyn/A 50385-2024 tillsynsbegäran.docx", "A 50385-2024")</f>
        <v/>
      </c>
      <c r="Y154">
        <f>HYPERLINK("https://klasma.github.io/Logging_2039/tillsynsmail/A 50385-2024 tillsynsbegäran mail.docx", "A 50385-2024")</f>
        <v/>
      </c>
    </row>
    <row r="155" ht="15" customHeight="1">
      <c r="A155" t="inlineStr">
        <is>
          <t>A 32199-2024</t>
        </is>
      </c>
      <c r="B155" s="1" t="n">
        <v>45511.66325231481</v>
      </c>
      <c r="C155" s="1" t="n">
        <v>45983</v>
      </c>
      <c r="D155" t="inlineStr">
        <is>
          <t>DALARNAS LÄN</t>
        </is>
      </c>
      <c r="E155" t="inlineStr">
        <is>
          <t>ÄLVDALEN</t>
        </is>
      </c>
      <c r="F155" t="inlineStr">
        <is>
          <t>Sveaskog</t>
        </is>
      </c>
      <c r="G155" t="n">
        <v>4.6</v>
      </c>
      <c r="H155" t="n">
        <v>1</v>
      </c>
      <c r="I155" t="n">
        <v>0</v>
      </c>
      <c r="J155" t="n">
        <v>1</v>
      </c>
      <c r="K155" t="n">
        <v>0</v>
      </c>
      <c r="L155" t="n">
        <v>0</v>
      </c>
      <c r="M155" t="n">
        <v>0</v>
      </c>
      <c r="N155" t="n">
        <v>0</v>
      </c>
      <c r="O155" t="n">
        <v>1</v>
      </c>
      <c r="P155" t="n">
        <v>0</v>
      </c>
      <c r="Q155" t="n">
        <v>1</v>
      </c>
      <c r="R155" s="2" t="inlineStr">
        <is>
          <t>Varglav</t>
        </is>
      </c>
      <c r="S155">
        <f>HYPERLINK("https://klasma.github.io/Logging_2039/artfynd/A 32199-2024 artfynd.xlsx", "A 32199-2024")</f>
        <v/>
      </c>
      <c r="T155">
        <f>HYPERLINK("https://klasma.github.io/Logging_2039/kartor/A 32199-2024 karta.png", "A 32199-2024")</f>
        <v/>
      </c>
      <c r="V155">
        <f>HYPERLINK("https://klasma.github.io/Logging_2039/klagomål/A 32199-2024 FSC-klagomål.docx", "A 32199-2024")</f>
        <v/>
      </c>
      <c r="W155">
        <f>HYPERLINK("https://klasma.github.io/Logging_2039/klagomålsmail/A 32199-2024 FSC-klagomål mail.docx", "A 32199-2024")</f>
        <v/>
      </c>
      <c r="X155">
        <f>HYPERLINK("https://klasma.github.io/Logging_2039/tillsyn/A 32199-2024 tillsynsbegäran.docx", "A 32199-2024")</f>
        <v/>
      </c>
      <c r="Y155">
        <f>HYPERLINK("https://klasma.github.io/Logging_2039/tillsynsmail/A 32199-2024 tillsynsbegäran mail.docx", "A 32199-2024")</f>
        <v/>
      </c>
    </row>
    <row r="156" ht="15" customHeight="1">
      <c r="A156" t="inlineStr">
        <is>
          <t>A 45202-2024</t>
        </is>
      </c>
      <c r="B156" s="1" t="n">
        <v>45575</v>
      </c>
      <c r="C156" s="1" t="n">
        <v>45983</v>
      </c>
      <c r="D156" t="inlineStr">
        <is>
          <t>DALARNAS LÄN</t>
        </is>
      </c>
      <c r="E156" t="inlineStr">
        <is>
          <t>ÄLVDALEN</t>
        </is>
      </c>
      <c r="G156" t="n">
        <v>182.2</v>
      </c>
      <c r="H156" t="n">
        <v>1</v>
      </c>
      <c r="I156" t="n">
        <v>0</v>
      </c>
      <c r="J156" t="n">
        <v>0</v>
      </c>
      <c r="K156" t="n">
        <v>0</v>
      </c>
      <c r="L156" t="n">
        <v>0</v>
      </c>
      <c r="M156" t="n">
        <v>0</v>
      </c>
      <c r="N156" t="n">
        <v>0</v>
      </c>
      <c r="O156" t="n">
        <v>0</v>
      </c>
      <c r="P156" t="n">
        <v>0</v>
      </c>
      <c r="Q156" t="n">
        <v>1</v>
      </c>
      <c r="R156" s="2" t="inlineStr">
        <is>
          <t>Lavskrika</t>
        </is>
      </c>
      <c r="S156">
        <f>HYPERLINK("https://klasma.github.io/Logging_2039/artfynd/A 45202-2024 artfynd.xlsx", "A 45202-2024")</f>
        <v/>
      </c>
      <c r="T156">
        <f>HYPERLINK("https://klasma.github.io/Logging_2039/kartor/A 45202-2024 karta.png", "A 45202-2024")</f>
        <v/>
      </c>
      <c r="V156">
        <f>HYPERLINK("https://klasma.github.io/Logging_2039/klagomål/A 45202-2024 FSC-klagomål.docx", "A 45202-2024")</f>
        <v/>
      </c>
      <c r="W156">
        <f>HYPERLINK("https://klasma.github.io/Logging_2039/klagomålsmail/A 45202-2024 FSC-klagomål mail.docx", "A 45202-2024")</f>
        <v/>
      </c>
      <c r="X156">
        <f>HYPERLINK("https://klasma.github.io/Logging_2039/tillsyn/A 45202-2024 tillsynsbegäran.docx", "A 45202-2024")</f>
        <v/>
      </c>
      <c r="Y156">
        <f>HYPERLINK("https://klasma.github.io/Logging_2039/tillsynsmail/A 45202-2024 tillsynsbegäran mail.docx", "A 45202-2024")</f>
        <v/>
      </c>
      <c r="Z156">
        <f>HYPERLINK("https://klasma.github.io/Logging_2039/fåglar/A 45202-2024 prioriterade fågelarter.docx", "A 45202-2024")</f>
        <v/>
      </c>
    </row>
    <row r="157" ht="15" customHeight="1">
      <c r="A157" t="inlineStr">
        <is>
          <t>A 35352-2025</t>
        </is>
      </c>
      <c r="B157" s="1" t="n">
        <v>45853</v>
      </c>
      <c r="C157" s="1" t="n">
        <v>45983</v>
      </c>
      <c r="D157" t="inlineStr">
        <is>
          <t>DALARNAS LÄN</t>
        </is>
      </c>
      <c r="E157" t="inlineStr">
        <is>
          <t>ÄLVDALEN</t>
        </is>
      </c>
      <c r="F157" t="inlineStr">
        <is>
          <t>Sveaskog</t>
        </is>
      </c>
      <c r="G157" t="n">
        <v>0.7</v>
      </c>
      <c r="H157" t="n">
        <v>0</v>
      </c>
      <c r="I157" t="n">
        <v>0</v>
      </c>
      <c r="J157" t="n">
        <v>0</v>
      </c>
      <c r="K157" t="n">
        <v>1</v>
      </c>
      <c r="L157" t="n">
        <v>0</v>
      </c>
      <c r="M157" t="n">
        <v>0</v>
      </c>
      <c r="N157" t="n">
        <v>0</v>
      </c>
      <c r="O157" t="n">
        <v>1</v>
      </c>
      <c r="P157" t="n">
        <v>1</v>
      </c>
      <c r="Q157" t="n">
        <v>1</v>
      </c>
      <c r="R157" s="2" t="inlineStr">
        <is>
          <t>Gräddporing</t>
        </is>
      </c>
      <c r="S157">
        <f>HYPERLINK("https://klasma.github.io/Logging_2039/artfynd/A 35352-2025 artfynd.xlsx", "A 35352-2025")</f>
        <v/>
      </c>
      <c r="T157">
        <f>HYPERLINK("https://klasma.github.io/Logging_2039/kartor/A 35352-2025 karta.png", "A 35352-2025")</f>
        <v/>
      </c>
      <c r="V157">
        <f>HYPERLINK("https://klasma.github.io/Logging_2039/klagomål/A 35352-2025 FSC-klagomål.docx", "A 35352-2025")</f>
        <v/>
      </c>
      <c r="W157">
        <f>HYPERLINK("https://klasma.github.io/Logging_2039/klagomålsmail/A 35352-2025 FSC-klagomål mail.docx", "A 35352-2025")</f>
        <v/>
      </c>
      <c r="X157">
        <f>HYPERLINK("https://klasma.github.io/Logging_2039/tillsyn/A 35352-2025 tillsynsbegäran.docx", "A 35352-2025")</f>
        <v/>
      </c>
      <c r="Y157">
        <f>HYPERLINK("https://klasma.github.io/Logging_2039/tillsynsmail/A 35352-2025 tillsynsbegäran mail.docx", "A 35352-2025")</f>
        <v/>
      </c>
    </row>
    <row r="158" ht="15" customHeight="1">
      <c r="A158" t="inlineStr">
        <is>
          <t>A 49141-2025</t>
        </is>
      </c>
      <c r="B158" s="1" t="n">
        <v>45938.31905092593</v>
      </c>
      <c r="C158" s="1" t="n">
        <v>45983</v>
      </c>
      <c r="D158" t="inlineStr">
        <is>
          <t>DALARNAS LÄN</t>
        </is>
      </c>
      <c r="E158" t="inlineStr">
        <is>
          <t>ÄLVDALEN</t>
        </is>
      </c>
      <c r="F158" t="inlineStr">
        <is>
          <t>Allmännings- och besparingsskogar</t>
        </is>
      </c>
      <c r="G158" t="n">
        <v>0.8</v>
      </c>
      <c r="H158" t="n">
        <v>0</v>
      </c>
      <c r="I158" t="n">
        <v>0</v>
      </c>
      <c r="J158" t="n">
        <v>1</v>
      </c>
      <c r="K158" t="n">
        <v>0</v>
      </c>
      <c r="L158" t="n">
        <v>0</v>
      </c>
      <c r="M158" t="n">
        <v>0</v>
      </c>
      <c r="N158" t="n">
        <v>0</v>
      </c>
      <c r="O158" t="n">
        <v>1</v>
      </c>
      <c r="P158" t="n">
        <v>0</v>
      </c>
      <c r="Q158" t="n">
        <v>1</v>
      </c>
      <c r="R158" s="2" t="inlineStr">
        <is>
          <t>Garnlav</t>
        </is>
      </c>
      <c r="S158">
        <f>HYPERLINK("https://klasma.github.io/Logging_2039/artfynd/A 49141-2025 artfynd.xlsx", "A 49141-2025")</f>
        <v/>
      </c>
      <c r="T158">
        <f>HYPERLINK("https://klasma.github.io/Logging_2039/kartor/A 49141-2025 karta.png", "A 49141-2025")</f>
        <v/>
      </c>
      <c r="V158">
        <f>HYPERLINK("https://klasma.github.io/Logging_2039/klagomål/A 49141-2025 FSC-klagomål.docx", "A 49141-2025")</f>
        <v/>
      </c>
      <c r="W158">
        <f>HYPERLINK("https://klasma.github.io/Logging_2039/klagomålsmail/A 49141-2025 FSC-klagomål mail.docx", "A 49141-2025")</f>
        <v/>
      </c>
      <c r="X158">
        <f>HYPERLINK("https://klasma.github.io/Logging_2039/tillsyn/A 49141-2025 tillsynsbegäran.docx", "A 49141-2025")</f>
        <v/>
      </c>
      <c r="Y158">
        <f>HYPERLINK("https://klasma.github.io/Logging_2039/tillsynsmail/A 49141-2025 tillsynsbegäran mail.docx", "A 49141-2025")</f>
        <v/>
      </c>
    </row>
    <row r="159" ht="15" customHeight="1">
      <c r="A159" t="inlineStr">
        <is>
          <t>A 36574-2021</t>
        </is>
      </c>
      <c r="B159" s="1" t="n">
        <v>44391</v>
      </c>
      <c r="C159" s="1" t="n">
        <v>45983</v>
      </c>
      <c r="D159" t="inlineStr">
        <is>
          <t>DALARNAS LÄN</t>
        </is>
      </c>
      <c r="E159" t="inlineStr">
        <is>
          <t>ÄLVDALEN</t>
        </is>
      </c>
      <c r="F159" t="inlineStr">
        <is>
          <t>Sveaskog</t>
        </is>
      </c>
      <c r="G159" t="n">
        <v>26.2</v>
      </c>
      <c r="H159" t="n">
        <v>1</v>
      </c>
      <c r="I159" t="n">
        <v>0</v>
      </c>
      <c r="J159" t="n">
        <v>0</v>
      </c>
      <c r="K159" t="n">
        <v>0</v>
      </c>
      <c r="L159" t="n">
        <v>0</v>
      </c>
      <c r="M159" t="n">
        <v>0</v>
      </c>
      <c r="N159" t="n">
        <v>0</v>
      </c>
      <c r="O159" t="n">
        <v>0</v>
      </c>
      <c r="P159" t="n">
        <v>0</v>
      </c>
      <c r="Q159" t="n">
        <v>1</v>
      </c>
      <c r="R159" s="2" t="inlineStr">
        <is>
          <t>Lavskrika</t>
        </is>
      </c>
      <c r="S159">
        <f>HYPERLINK("https://klasma.github.io/Logging_2039/artfynd/A 36574-2021 artfynd.xlsx", "A 36574-2021")</f>
        <v/>
      </c>
      <c r="T159">
        <f>HYPERLINK("https://klasma.github.io/Logging_2039/kartor/A 36574-2021 karta.png", "A 36574-2021")</f>
        <v/>
      </c>
      <c r="V159">
        <f>HYPERLINK("https://klasma.github.io/Logging_2039/klagomål/A 36574-2021 FSC-klagomål.docx", "A 36574-2021")</f>
        <v/>
      </c>
      <c r="W159">
        <f>HYPERLINK("https://klasma.github.io/Logging_2039/klagomålsmail/A 36574-2021 FSC-klagomål mail.docx", "A 36574-2021")</f>
        <v/>
      </c>
      <c r="X159">
        <f>HYPERLINK("https://klasma.github.io/Logging_2039/tillsyn/A 36574-2021 tillsynsbegäran.docx", "A 36574-2021")</f>
        <v/>
      </c>
      <c r="Y159">
        <f>HYPERLINK("https://klasma.github.io/Logging_2039/tillsynsmail/A 36574-2021 tillsynsbegäran mail.docx", "A 36574-2021")</f>
        <v/>
      </c>
      <c r="Z159">
        <f>HYPERLINK("https://klasma.github.io/Logging_2039/fåglar/A 36574-2021 prioriterade fågelarter.docx", "A 36574-2021")</f>
        <v/>
      </c>
    </row>
    <row r="160" ht="15" customHeight="1">
      <c r="A160" t="inlineStr">
        <is>
          <t>A 23872-2023</t>
        </is>
      </c>
      <c r="B160" s="1" t="n">
        <v>45078</v>
      </c>
      <c r="C160" s="1" t="n">
        <v>45983</v>
      </c>
      <c r="D160" t="inlineStr">
        <is>
          <t>DALARNAS LÄN</t>
        </is>
      </c>
      <c r="E160" t="inlineStr">
        <is>
          <t>ÄLVDALEN</t>
        </is>
      </c>
      <c r="F160" t="inlineStr">
        <is>
          <t>Allmännings- och besparingsskogar</t>
        </is>
      </c>
      <c r="G160" t="n">
        <v>79.5</v>
      </c>
      <c r="H160" t="n">
        <v>1</v>
      </c>
      <c r="I160" t="n">
        <v>0</v>
      </c>
      <c r="J160" t="n">
        <v>0</v>
      </c>
      <c r="K160" t="n">
        <v>0</v>
      </c>
      <c r="L160" t="n">
        <v>0</v>
      </c>
      <c r="M160" t="n">
        <v>0</v>
      </c>
      <c r="N160" t="n">
        <v>0</v>
      </c>
      <c r="O160" t="n">
        <v>0</v>
      </c>
      <c r="P160" t="n">
        <v>0</v>
      </c>
      <c r="Q160" t="n">
        <v>1</v>
      </c>
      <c r="R160" s="2" t="inlineStr">
        <is>
          <t>Vanlig groda</t>
        </is>
      </c>
      <c r="S160">
        <f>HYPERLINK("https://klasma.github.io/Logging_2039/artfynd/A 23872-2023 artfynd.xlsx", "A 23872-2023")</f>
        <v/>
      </c>
      <c r="T160">
        <f>HYPERLINK("https://klasma.github.io/Logging_2039/kartor/A 23872-2023 karta.png", "A 23872-2023")</f>
        <v/>
      </c>
      <c r="V160">
        <f>HYPERLINK("https://klasma.github.io/Logging_2039/klagomål/A 23872-2023 FSC-klagomål.docx", "A 23872-2023")</f>
        <v/>
      </c>
      <c r="W160">
        <f>HYPERLINK("https://klasma.github.io/Logging_2039/klagomålsmail/A 23872-2023 FSC-klagomål mail.docx", "A 23872-2023")</f>
        <v/>
      </c>
      <c r="X160">
        <f>HYPERLINK("https://klasma.github.io/Logging_2039/tillsyn/A 23872-2023 tillsynsbegäran.docx", "A 23872-2023")</f>
        <v/>
      </c>
      <c r="Y160">
        <f>HYPERLINK("https://klasma.github.io/Logging_2039/tillsynsmail/A 23872-2023 tillsynsbegäran mail.docx", "A 23872-2023")</f>
        <v/>
      </c>
    </row>
    <row r="161" ht="15" customHeight="1">
      <c r="A161" t="inlineStr">
        <is>
          <t>A 50981-2024</t>
        </is>
      </c>
      <c r="B161" s="1" t="n">
        <v>45603.36233796296</v>
      </c>
      <c r="C161" s="1" t="n">
        <v>45983</v>
      </c>
      <c r="D161" t="inlineStr">
        <is>
          <t>DALARNAS LÄN</t>
        </is>
      </c>
      <c r="E161" t="inlineStr">
        <is>
          <t>ÄLVDALEN</t>
        </is>
      </c>
      <c r="G161" t="n">
        <v>5.1</v>
      </c>
      <c r="H161" t="n">
        <v>0</v>
      </c>
      <c r="I161" t="n">
        <v>0</v>
      </c>
      <c r="J161" t="n">
        <v>1</v>
      </c>
      <c r="K161" t="n">
        <v>0</v>
      </c>
      <c r="L161" t="n">
        <v>0</v>
      </c>
      <c r="M161" t="n">
        <v>0</v>
      </c>
      <c r="N161" t="n">
        <v>0</v>
      </c>
      <c r="O161" t="n">
        <v>1</v>
      </c>
      <c r="P161" t="n">
        <v>0</v>
      </c>
      <c r="Q161" t="n">
        <v>1</v>
      </c>
      <c r="R161" s="2" t="inlineStr">
        <is>
          <t>Vedskivlav</t>
        </is>
      </c>
      <c r="S161">
        <f>HYPERLINK("https://klasma.github.io/Logging_2039/artfynd/A 50981-2024 artfynd.xlsx", "A 50981-2024")</f>
        <v/>
      </c>
      <c r="T161">
        <f>HYPERLINK("https://klasma.github.io/Logging_2039/kartor/A 50981-2024 karta.png", "A 50981-2024")</f>
        <v/>
      </c>
      <c r="V161">
        <f>HYPERLINK("https://klasma.github.io/Logging_2039/klagomål/A 50981-2024 FSC-klagomål.docx", "A 50981-2024")</f>
        <v/>
      </c>
      <c r="W161">
        <f>HYPERLINK("https://klasma.github.io/Logging_2039/klagomålsmail/A 50981-2024 FSC-klagomål mail.docx", "A 50981-2024")</f>
        <v/>
      </c>
      <c r="X161">
        <f>HYPERLINK("https://klasma.github.io/Logging_2039/tillsyn/A 50981-2024 tillsynsbegäran.docx", "A 50981-2024")</f>
        <v/>
      </c>
      <c r="Y161">
        <f>HYPERLINK("https://klasma.github.io/Logging_2039/tillsynsmail/A 50981-2024 tillsynsbegäran mail.docx", "A 50981-2024")</f>
        <v/>
      </c>
    </row>
    <row r="162" ht="15" customHeight="1">
      <c r="A162" t="inlineStr">
        <is>
          <t>A 19614-2024</t>
        </is>
      </c>
      <c r="B162" s="1" t="n">
        <v>45432.30798611111</v>
      </c>
      <c r="C162" s="1" t="n">
        <v>45983</v>
      </c>
      <c r="D162" t="inlineStr">
        <is>
          <t>DALARNAS LÄN</t>
        </is>
      </c>
      <c r="E162" t="inlineStr">
        <is>
          <t>ÄLVDALEN</t>
        </is>
      </c>
      <c r="F162" t="inlineStr">
        <is>
          <t>Sveaskog</t>
        </is>
      </c>
      <c r="G162" t="n">
        <v>2.9</v>
      </c>
      <c r="H162" t="n">
        <v>0</v>
      </c>
      <c r="I162" t="n">
        <v>0</v>
      </c>
      <c r="J162" t="n">
        <v>1</v>
      </c>
      <c r="K162" t="n">
        <v>0</v>
      </c>
      <c r="L162" t="n">
        <v>0</v>
      </c>
      <c r="M162" t="n">
        <v>0</v>
      </c>
      <c r="N162" t="n">
        <v>0</v>
      </c>
      <c r="O162" t="n">
        <v>1</v>
      </c>
      <c r="P162" t="n">
        <v>0</v>
      </c>
      <c r="Q162" t="n">
        <v>1</v>
      </c>
      <c r="R162" s="2" t="inlineStr">
        <is>
          <t>Mörk kolflarnlav</t>
        </is>
      </c>
      <c r="S162">
        <f>HYPERLINK("https://klasma.github.io/Logging_2039/artfynd/A 19614-2024 artfynd.xlsx", "A 19614-2024")</f>
        <v/>
      </c>
      <c r="T162">
        <f>HYPERLINK("https://klasma.github.io/Logging_2039/kartor/A 19614-2024 karta.png", "A 19614-2024")</f>
        <v/>
      </c>
      <c r="V162">
        <f>HYPERLINK("https://klasma.github.io/Logging_2039/klagomål/A 19614-2024 FSC-klagomål.docx", "A 19614-2024")</f>
        <v/>
      </c>
      <c r="W162">
        <f>HYPERLINK("https://klasma.github.io/Logging_2039/klagomålsmail/A 19614-2024 FSC-klagomål mail.docx", "A 19614-2024")</f>
        <v/>
      </c>
      <c r="X162">
        <f>HYPERLINK("https://klasma.github.io/Logging_2039/tillsyn/A 19614-2024 tillsynsbegäran.docx", "A 19614-2024")</f>
        <v/>
      </c>
      <c r="Y162">
        <f>HYPERLINK("https://klasma.github.io/Logging_2039/tillsynsmail/A 19614-2024 tillsynsbegäran mail.docx", "A 19614-2024")</f>
        <v/>
      </c>
    </row>
    <row r="163" ht="15" customHeight="1">
      <c r="A163" t="inlineStr">
        <is>
          <t>A 11061-2021</t>
        </is>
      </c>
      <c r="B163" s="1" t="n">
        <v>44260</v>
      </c>
      <c r="C163" s="1" t="n">
        <v>45983</v>
      </c>
      <c r="D163" t="inlineStr">
        <is>
          <t>DALARNAS LÄN</t>
        </is>
      </c>
      <c r="E163" t="inlineStr">
        <is>
          <t>ÄLVDALEN</t>
        </is>
      </c>
      <c r="F163" t="inlineStr">
        <is>
          <t>Övriga statliga verk och myndigheter</t>
        </is>
      </c>
      <c r="G163" t="n">
        <v>43.7</v>
      </c>
      <c r="H163" t="n">
        <v>1</v>
      </c>
      <c r="I163" t="n">
        <v>0</v>
      </c>
      <c r="J163" t="n">
        <v>0</v>
      </c>
      <c r="K163" t="n">
        <v>0</v>
      </c>
      <c r="L163" t="n">
        <v>0</v>
      </c>
      <c r="M163" t="n">
        <v>0</v>
      </c>
      <c r="N163" t="n">
        <v>0</v>
      </c>
      <c r="O163" t="n">
        <v>0</v>
      </c>
      <c r="P163" t="n">
        <v>0</v>
      </c>
      <c r="Q163" t="n">
        <v>1</v>
      </c>
      <c r="R163" s="2" t="inlineStr">
        <is>
          <t>Större vattensalamander</t>
        </is>
      </c>
      <c r="S163">
        <f>HYPERLINK("https://klasma.github.io/Logging_2039/artfynd/A 11061-2021 artfynd.xlsx", "A 11061-2021")</f>
        <v/>
      </c>
      <c r="T163">
        <f>HYPERLINK("https://klasma.github.io/Logging_2039/kartor/A 11061-2021 karta.png", "A 11061-2021")</f>
        <v/>
      </c>
      <c r="V163">
        <f>HYPERLINK("https://klasma.github.io/Logging_2039/klagomål/A 11061-2021 FSC-klagomål.docx", "A 11061-2021")</f>
        <v/>
      </c>
      <c r="W163">
        <f>HYPERLINK("https://klasma.github.io/Logging_2039/klagomålsmail/A 11061-2021 FSC-klagomål mail.docx", "A 11061-2021")</f>
        <v/>
      </c>
      <c r="X163">
        <f>HYPERLINK("https://klasma.github.io/Logging_2039/tillsyn/A 11061-2021 tillsynsbegäran.docx", "A 11061-2021")</f>
        <v/>
      </c>
      <c r="Y163">
        <f>HYPERLINK("https://klasma.github.io/Logging_2039/tillsynsmail/A 11061-2021 tillsynsbegäran mail.docx", "A 11061-2021")</f>
        <v/>
      </c>
    </row>
    <row r="164" ht="15" customHeight="1">
      <c r="A164" t="inlineStr">
        <is>
          <t>A 662-2025</t>
        </is>
      </c>
      <c r="B164" s="1" t="n">
        <v>45664</v>
      </c>
      <c r="C164" s="1" t="n">
        <v>45983</v>
      </c>
      <c r="D164" t="inlineStr">
        <is>
          <t>DALARNAS LÄN</t>
        </is>
      </c>
      <c r="E164" t="inlineStr">
        <is>
          <t>ÄLVDALEN</t>
        </is>
      </c>
      <c r="G164" t="n">
        <v>20</v>
      </c>
      <c r="H164" t="n">
        <v>0</v>
      </c>
      <c r="I164" t="n">
        <v>0</v>
      </c>
      <c r="J164" t="n">
        <v>1</v>
      </c>
      <c r="K164" t="n">
        <v>0</v>
      </c>
      <c r="L164" t="n">
        <v>0</v>
      </c>
      <c r="M164" t="n">
        <v>0</v>
      </c>
      <c r="N164" t="n">
        <v>0</v>
      </c>
      <c r="O164" t="n">
        <v>1</v>
      </c>
      <c r="P164" t="n">
        <v>0</v>
      </c>
      <c r="Q164" t="n">
        <v>1</v>
      </c>
      <c r="R164" s="2" t="inlineStr">
        <is>
          <t>Garnlav</t>
        </is>
      </c>
      <c r="S164">
        <f>HYPERLINK("https://klasma.github.io/Logging_2039/artfynd/A 662-2025 artfynd.xlsx", "A 662-2025")</f>
        <v/>
      </c>
      <c r="T164">
        <f>HYPERLINK("https://klasma.github.io/Logging_2039/kartor/A 662-2025 karta.png", "A 662-2025")</f>
        <v/>
      </c>
      <c r="V164">
        <f>HYPERLINK("https://klasma.github.io/Logging_2039/klagomål/A 662-2025 FSC-klagomål.docx", "A 662-2025")</f>
        <v/>
      </c>
      <c r="W164">
        <f>HYPERLINK("https://klasma.github.io/Logging_2039/klagomålsmail/A 662-2025 FSC-klagomål mail.docx", "A 662-2025")</f>
        <v/>
      </c>
      <c r="X164">
        <f>HYPERLINK("https://klasma.github.io/Logging_2039/tillsyn/A 662-2025 tillsynsbegäran.docx", "A 662-2025")</f>
        <v/>
      </c>
      <c r="Y164">
        <f>HYPERLINK("https://klasma.github.io/Logging_2039/tillsynsmail/A 662-2025 tillsynsbegäran mail.docx", "A 662-2025")</f>
        <v/>
      </c>
    </row>
    <row r="165" ht="15" customHeight="1">
      <c r="A165" t="inlineStr">
        <is>
          <t>A 30691-2024</t>
        </is>
      </c>
      <c r="B165" s="1" t="n">
        <v>45496.26998842593</v>
      </c>
      <c r="C165" s="1" t="n">
        <v>45983</v>
      </c>
      <c r="D165" t="inlineStr">
        <is>
          <t>DALARNAS LÄN</t>
        </is>
      </c>
      <c r="E165" t="inlineStr">
        <is>
          <t>ÄLVDALEN</t>
        </is>
      </c>
      <c r="G165" t="n">
        <v>2.9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30691-2024 artfynd.xlsx", "A 30691-2024")</f>
        <v/>
      </c>
      <c r="T165">
        <f>HYPERLINK("https://klasma.github.io/Logging_2039/kartor/A 30691-2024 karta.png", "A 30691-2024")</f>
        <v/>
      </c>
      <c r="V165">
        <f>HYPERLINK("https://klasma.github.io/Logging_2039/klagomål/A 30691-2024 FSC-klagomål.docx", "A 30691-2024")</f>
        <v/>
      </c>
      <c r="W165">
        <f>HYPERLINK("https://klasma.github.io/Logging_2039/klagomålsmail/A 30691-2024 FSC-klagomål mail.docx", "A 30691-2024")</f>
        <v/>
      </c>
      <c r="X165">
        <f>HYPERLINK("https://klasma.github.io/Logging_2039/tillsyn/A 30691-2024 tillsynsbegäran.docx", "A 30691-2024")</f>
        <v/>
      </c>
      <c r="Y165">
        <f>HYPERLINK("https://klasma.github.io/Logging_2039/tillsynsmail/A 30691-2024 tillsynsbegäran mail.docx", "A 30691-2024")</f>
        <v/>
      </c>
    </row>
    <row r="166" ht="15" customHeight="1">
      <c r="A166" t="inlineStr">
        <is>
          <t>A 19313-2021</t>
        </is>
      </c>
      <c r="B166" s="1" t="n">
        <v>44309</v>
      </c>
      <c r="C166" s="1" t="n">
        <v>45983</v>
      </c>
      <c r="D166" t="inlineStr">
        <is>
          <t>DALARNAS LÄN</t>
        </is>
      </c>
      <c r="E166" t="inlineStr">
        <is>
          <t>ÄLVDALEN</t>
        </is>
      </c>
      <c r="G166" t="n">
        <v>0.2</v>
      </c>
      <c r="H166" t="n">
        <v>0</v>
      </c>
      <c r="I166" t="n">
        <v>0</v>
      </c>
      <c r="J166" t="n">
        <v>0</v>
      </c>
      <c r="K166" t="n">
        <v>0</v>
      </c>
      <c r="L166" t="n">
        <v>0</v>
      </c>
      <c r="M166" t="n">
        <v>0</v>
      </c>
      <c r="N166" t="n">
        <v>0</v>
      </c>
      <c r="O166" t="n">
        <v>0</v>
      </c>
      <c r="P166" t="n">
        <v>0</v>
      </c>
      <c r="Q166" t="n">
        <v>0</v>
      </c>
      <c r="R166" s="2" t="inlineStr"/>
    </row>
    <row r="167" ht="15" customHeight="1">
      <c r="A167" t="inlineStr">
        <is>
          <t>A 31167-2021</t>
        </is>
      </c>
      <c r="B167" s="1" t="n">
        <v>44368.58009259259</v>
      </c>
      <c r="C167" s="1" t="n">
        <v>45983</v>
      </c>
      <c r="D167" t="inlineStr">
        <is>
          <t>DALARNAS LÄN</t>
        </is>
      </c>
      <c r="E167" t="inlineStr">
        <is>
          <t>ÄLVDALEN</t>
        </is>
      </c>
      <c r="G167" t="n">
        <v>1.3</v>
      </c>
      <c r="H167" t="n">
        <v>0</v>
      </c>
      <c r="I167" t="n">
        <v>0</v>
      </c>
      <c r="J167" t="n">
        <v>0</v>
      </c>
      <c r="K167" t="n">
        <v>0</v>
      </c>
      <c r="L167" t="n">
        <v>0</v>
      </c>
      <c r="M167" t="n">
        <v>0</v>
      </c>
      <c r="N167" t="n">
        <v>0</v>
      </c>
      <c r="O167" t="n">
        <v>0</v>
      </c>
      <c r="P167" t="n">
        <v>0</v>
      </c>
      <c r="Q167" t="n">
        <v>0</v>
      </c>
      <c r="R167" s="2" t="inlineStr"/>
    </row>
    <row r="168" ht="15" customHeight="1">
      <c r="A168" t="inlineStr">
        <is>
          <t>A 15603-2022</t>
        </is>
      </c>
      <c r="B168" s="1" t="n">
        <v>44662.62577546296</v>
      </c>
      <c r="C168" s="1" t="n">
        <v>45983</v>
      </c>
      <c r="D168" t="inlineStr">
        <is>
          <t>DALARNAS LÄN</t>
        </is>
      </c>
      <c r="E168" t="inlineStr">
        <is>
          <t>ÄLVDALEN</t>
        </is>
      </c>
      <c r="G168" t="n">
        <v>2.6</v>
      </c>
      <c r="H168" t="n">
        <v>0</v>
      </c>
      <c r="I168" t="n">
        <v>0</v>
      </c>
      <c r="J168" t="n">
        <v>0</v>
      </c>
      <c r="K168" t="n">
        <v>0</v>
      </c>
      <c r="L168" t="n">
        <v>0</v>
      </c>
      <c r="M168" t="n">
        <v>0</v>
      </c>
      <c r="N168" t="n">
        <v>0</v>
      </c>
      <c r="O168" t="n">
        <v>0</v>
      </c>
      <c r="P168" t="n">
        <v>0</v>
      </c>
      <c r="Q168" t="n">
        <v>0</v>
      </c>
      <c r="R168" s="2" t="inlineStr"/>
    </row>
    <row r="169" ht="15" customHeight="1">
      <c r="A169" t="inlineStr">
        <is>
          <t>A 66589-2020</t>
        </is>
      </c>
      <c r="B169" s="1" t="n">
        <v>44179</v>
      </c>
      <c r="C169" s="1" t="n">
        <v>45983</v>
      </c>
      <c r="D169" t="inlineStr">
        <is>
          <t>DALARNAS LÄN</t>
        </is>
      </c>
      <c r="E169" t="inlineStr">
        <is>
          <t>ÄLVDALEN</t>
        </is>
      </c>
      <c r="G169" t="n">
        <v>3.3</v>
      </c>
      <c r="H169" t="n">
        <v>0</v>
      </c>
      <c r="I169" t="n">
        <v>0</v>
      </c>
      <c r="J169" t="n">
        <v>0</v>
      </c>
      <c r="K169" t="n">
        <v>0</v>
      </c>
      <c r="L169" t="n">
        <v>0</v>
      </c>
      <c r="M169" t="n">
        <v>0</v>
      </c>
      <c r="N169" t="n">
        <v>0</v>
      </c>
      <c r="O169" t="n">
        <v>0</v>
      </c>
      <c r="P169" t="n">
        <v>0</v>
      </c>
      <c r="Q169" t="n">
        <v>0</v>
      </c>
      <c r="R169" s="2" t="inlineStr"/>
    </row>
    <row r="170" ht="15" customHeight="1">
      <c r="A170" t="inlineStr">
        <is>
          <t>A 37740-2022</t>
        </is>
      </c>
      <c r="B170" s="1" t="n">
        <v>44810.58001157407</v>
      </c>
      <c r="C170" s="1" t="n">
        <v>45983</v>
      </c>
      <c r="D170" t="inlineStr">
        <is>
          <t>DALARNAS LÄN</t>
        </is>
      </c>
      <c r="E170" t="inlineStr">
        <is>
          <t>ÄLVDALEN</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29558-2022</t>
        </is>
      </c>
      <c r="B171" s="1" t="n">
        <v>44754.35296296296</v>
      </c>
      <c r="C171" s="1" t="n">
        <v>45983</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16262-2021</t>
        </is>
      </c>
      <c r="B172" s="1" t="n">
        <v>44292</v>
      </c>
      <c r="C172" s="1" t="n">
        <v>45983</v>
      </c>
      <c r="D172" t="inlineStr">
        <is>
          <t>DALARNAS LÄN</t>
        </is>
      </c>
      <c r="E172" t="inlineStr">
        <is>
          <t>ÄLVDALEN</t>
        </is>
      </c>
      <c r="G172" t="n">
        <v>2.2</v>
      </c>
      <c r="H172" t="n">
        <v>0</v>
      </c>
      <c r="I172" t="n">
        <v>0</v>
      </c>
      <c r="J172" t="n">
        <v>0</v>
      </c>
      <c r="K172" t="n">
        <v>0</v>
      </c>
      <c r="L172" t="n">
        <v>0</v>
      </c>
      <c r="M172" t="n">
        <v>0</v>
      </c>
      <c r="N172" t="n">
        <v>0</v>
      </c>
      <c r="O172" t="n">
        <v>0</v>
      </c>
      <c r="P172" t="n">
        <v>0</v>
      </c>
      <c r="Q172" t="n">
        <v>0</v>
      </c>
      <c r="R172" s="2" t="inlineStr"/>
    </row>
    <row r="173" ht="15" customHeight="1">
      <c r="A173" t="inlineStr">
        <is>
          <t>A 72813-2021</t>
        </is>
      </c>
      <c r="B173" s="1" t="n">
        <v>44546</v>
      </c>
      <c r="C173" s="1" t="n">
        <v>45983</v>
      </c>
      <c r="D173" t="inlineStr">
        <is>
          <t>DALARNAS LÄN</t>
        </is>
      </c>
      <c r="E173" t="inlineStr">
        <is>
          <t>ÄLVDALEN</t>
        </is>
      </c>
      <c r="G173" t="n">
        <v>4.2</v>
      </c>
      <c r="H173" t="n">
        <v>0</v>
      </c>
      <c r="I173" t="n">
        <v>0</v>
      </c>
      <c r="J173" t="n">
        <v>0</v>
      </c>
      <c r="K173" t="n">
        <v>0</v>
      </c>
      <c r="L173" t="n">
        <v>0</v>
      </c>
      <c r="M173" t="n">
        <v>0</v>
      </c>
      <c r="N173" t="n">
        <v>0</v>
      </c>
      <c r="O173" t="n">
        <v>0</v>
      </c>
      <c r="P173" t="n">
        <v>0</v>
      </c>
      <c r="Q173" t="n">
        <v>0</v>
      </c>
      <c r="R173" s="2" t="inlineStr"/>
    </row>
    <row r="174" ht="15" customHeight="1">
      <c r="A174" t="inlineStr">
        <is>
          <t>A 52124-2021</t>
        </is>
      </c>
      <c r="B174" s="1" t="n">
        <v>44463.48194444444</v>
      </c>
      <c r="C174" s="1" t="n">
        <v>45983</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54292-2021</t>
        </is>
      </c>
      <c r="B175" s="1" t="n">
        <v>44471</v>
      </c>
      <c r="C175" s="1" t="n">
        <v>45983</v>
      </c>
      <c r="D175" t="inlineStr">
        <is>
          <t>DALARNAS LÄN</t>
        </is>
      </c>
      <c r="E175" t="inlineStr">
        <is>
          <t>ÄLVDALEN</t>
        </is>
      </c>
      <c r="G175" t="n">
        <v>3.1</v>
      </c>
      <c r="H175" t="n">
        <v>0</v>
      </c>
      <c r="I175" t="n">
        <v>0</v>
      </c>
      <c r="J175" t="n">
        <v>0</v>
      </c>
      <c r="K175" t="n">
        <v>0</v>
      </c>
      <c r="L175" t="n">
        <v>0</v>
      </c>
      <c r="M175" t="n">
        <v>0</v>
      </c>
      <c r="N175" t="n">
        <v>0</v>
      </c>
      <c r="O175" t="n">
        <v>0</v>
      </c>
      <c r="P175" t="n">
        <v>0</v>
      </c>
      <c r="Q175" t="n">
        <v>0</v>
      </c>
      <c r="R175" s="2" t="inlineStr"/>
    </row>
    <row r="176" ht="15" customHeight="1">
      <c r="A176" t="inlineStr">
        <is>
          <t>A 40235-2021</t>
        </is>
      </c>
      <c r="B176" s="1" t="n">
        <v>44419.31731481481</v>
      </c>
      <c r="C176" s="1" t="n">
        <v>45983</v>
      </c>
      <c r="D176" t="inlineStr">
        <is>
          <t>DALARNAS LÄN</t>
        </is>
      </c>
      <c r="E176" t="inlineStr">
        <is>
          <t>ÄLVDALEN</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45783-2022</t>
        </is>
      </c>
      <c r="B177" s="1" t="n">
        <v>44846</v>
      </c>
      <c r="C177" s="1" t="n">
        <v>45983</v>
      </c>
      <c r="D177" t="inlineStr">
        <is>
          <t>DALARNAS LÄN</t>
        </is>
      </c>
      <c r="E177" t="inlineStr">
        <is>
          <t>ÄLVDALEN</t>
        </is>
      </c>
      <c r="G177" t="n">
        <v>9.1</v>
      </c>
      <c r="H177" t="n">
        <v>0</v>
      </c>
      <c r="I177" t="n">
        <v>0</v>
      </c>
      <c r="J177" t="n">
        <v>0</v>
      </c>
      <c r="K177" t="n">
        <v>0</v>
      </c>
      <c r="L177" t="n">
        <v>0</v>
      </c>
      <c r="M177" t="n">
        <v>0</v>
      </c>
      <c r="N177" t="n">
        <v>0</v>
      </c>
      <c r="O177" t="n">
        <v>0</v>
      </c>
      <c r="P177" t="n">
        <v>0</v>
      </c>
      <c r="Q177" t="n">
        <v>0</v>
      </c>
      <c r="R177" s="2" t="inlineStr"/>
    </row>
    <row r="178" ht="15" customHeight="1">
      <c r="A178" t="inlineStr">
        <is>
          <t>A 14995-2021</t>
        </is>
      </c>
      <c r="B178" s="1" t="n">
        <v>44281.55321759259</v>
      </c>
      <c r="C178" s="1" t="n">
        <v>45983</v>
      </c>
      <c r="D178" t="inlineStr">
        <is>
          <t>DALARNAS LÄN</t>
        </is>
      </c>
      <c r="E178" t="inlineStr">
        <is>
          <t>ÄLVDALEN</t>
        </is>
      </c>
      <c r="G178" t="n">
        <v>17.8</v>
      </c>
      <c r="H178" t="n">
        <v>0</v>
      </c>
      <c r="I178" t="n">
        <v>0</v>
      </c>
      <c r="J178" t="n">
        <v>0</v>
      </c>
      <c r="K178" t="n">
        <v>0</v>
      </c>
      <c r="L178" t="n">
        <v>0</v>
      </c>
      <c r="M178" t="n">
        <v>0</v>
      </c>
      <c r="N178" t="n">
        <v>0</v>
      </c>
      <c r="O178" t="n">
        <v>0</v>
      </c>
      <c r="P178" t="n">
        <v>0</v>
      </c>
      <c r="Q178" t="n">
        <v>0</v>
      </c>
      <c r="R178" s="2" t="inlineStr"/>
    </row>
    <row r="179" ht="15" customHeight="1">
      <c r="A179" t="inlineStr">
        <is>
          <t>A 14235-2022</t>
        </is>
      </c>
      <c r="B179" s="1" t="n">
        <v>44651</v>
      </c>
      <c r="C179" s="1" t="n">
        <v>45983</v>
      </c>
      <c r="D179" t="inlineStr">
        <is>
          <t>DALARNAS LÄN</t>
        </is>
      </c>
      <c r="E179" t="inlineStr">
        <is>
          <t>ÄLVDALEN</t>
        </is>
      </c>
      <c r="G179" t="n">
        <v>1.1</v>
      </c>
      <c r="H179" t="n">
        <v>0</v>
      </c>
      <c r="I179" t="n">
        <v>0</v>
      </c>
      <c r="J179" t="n">
        <v>0</v>
      </c>
      <c r="K179" t="n">
        <v>0</v>
      </c>
      <c r="L179" t="n">
        <v>0</v>
      </c>
      <c r="M179" t="n">
        <v>0</v>
      </c>
      <c r="N179" t="n">
        <v>0</v>
      </c>
      <c r="O179" t="n">
        <v>0</v>
      </c>
      <c r="P179" t="n">
        <v>0</v>
      </c>
      <c r="Q179" t="n">
        <v>0</v>
      </c>
      <c r="R179" s="2" t="inlineStr"/>
    </row>
    <row r="180" ht="15" customHeight="1">
      <c r="A180" t="inlineStr">
        <is>
          <t>A 24849-2021</t>
        </is>
      </c>
      <c r="B180" s="1" t="n">
        <v>44340.86222222223</v>
      </c>
      <c r="C180" s="1" t="n">
        <v>45983</v>
      </c>
      <c r="D180" t="inlineStr">
        <is>
          <t>DALARNAS LÄN</t>
        </is>
      </c>
      <c r="E180" t="inlineStr">
        <is>
          <t>ÄLVDALEN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26874-2021</t>
        </is>
      </c>
      <c r="B181" s="1" t="n">
        <v>44349</v>
      </c>
      <c r="C181" s="1" t="n">
        <v>45983</v>
      </c>
      <c r="D181" t="inlineStr">
        <is>
          <t>DALARNAS LÄN</t>
        </is>
      </c>
      <c r="E181" t="inlineStr">
        <is>
          <t>ÄLVDALEN</t>
        </is>
      </c>
      <c r="F181" t="inlineStr">
        <is>
          <t>Bergvik skog öst AB</t>
        </is>
      </c>
      <c r="G181" t="n">
        <v>3.2</v>
      </c>
      <c r="H181" t="n">
        <v>0</v>
      </c>
      <c r="I181" t="n">
        <v>0</v>
      </c>
      <c r="J181" t="n">
        <v>0</v>
      </c>
      <c r="K181" t="n">
        <v>0</v>
      </c>
      <c r="L181" t="n">
        <v>0</v>
      </c>
      <c r="M181" t="n">
        <v>0</v>
      </c>
      <c r="N181" t="n">
        <v>0</v>
      </c>
      <c r="O181" t="n">
        <v>0</v>
      </c>
      <c r="P181" t="n">
        <v>0</v>
      </c>
      <c r="Q181" t="n">
        <v>0</v>
      </c>
      <c r="R181" s="2" t="inlineStr"/>
    </row>
    <row r="182" ht="15" customHeight="1">
      <c r="A182" t="inlineStr">
        <is>
          <t>A 29716-2022</t>
        </is>
      </c>
      <c r="B182" s="1" t="n">
        <v>44755</v>
      </c>
      <c r="C182" s="1" t="n">
        <v>45983</v>
      </c>
      <c r="D182" t="inlineStr">
        <is>
          <t>DALARNAS LÄN</t>
        </is>
      </c>
      <c r="E182" t="inlineStr">
        <is>
          <t>ÄLVDALEN</t>
        </is>
      </c>
      <c r="G182" t="n">
        <v>0.5</v>
      </c>
      <c r="H182" t="n">
        <v>0</v>
      </c>
      <c r="I182" t="n">
        <v>0</v>
      </c>
      <c r="J182" t="n">
        <v>0</v>
      </c>
      <c r="K182" t="n">
        <v>0</v>
      </c>
      <c r="L182" t="n">
        <v>0</v>
      </c>
      <c r="M182" t="n">
        <v>0</v>
      </c>
      <c r="N182" t="n">
        <v>0</v>
      </c>
      <c r="O182" t="n">
        <v>0</v>
      </c>
      <c r="P182" t="n">
        <v>0</v>
      </c>
      <c r="Q182" t="n">
        <v>0</v>
      </c>
      <c r="R182" s="2" t="inlineStr"/>
    </row>
    <row r="183" ht="15" customHeight="1">
      <c r="A183" t="inlineStr">
        <is>
          <t>A 40919-2021</t>
        </is>
      </c>
      <c r="B183" s="1" t="n">
        <v>44421</v>
      </c>
      <c r="C183" s="1" t="n">
        <v>45983</v>
      </c>
      <c r="D183" t="inlineStr">
        <is>
          <t>DALARNAS LÄN</t>
        </is>
      </c>
      <c r="E183" t="inlineStr">
        <is>
          <t>ÄLVDALEN</t>
        </is>
      </c>
      <c r="F183" t="inlineStr">
        <is>
          <t>Kyrkan</t>
        </is>
      </c>
      <c r="G183" t="n">
        <v>3.4</v>
      </c>
      <c r="H183" t="n">
        <v>0</v>
      </c>
      <c r="I183" t="n">
        <v>0</v>
      </c>
      <c r="J183" t="n">
        <v>0</v>
      </c>
      <c r="K183" t="n">
        <v>0</v>
      </c>
      <c r="L183" t="n">
        <v>0</v>
      </c>
      <c r="M183" t="n">
        <v>0</v>
      </c>
      <c r="N183" t="n">
        <v>0</v>
      </c>
      <c r="O183" t="n">
        <v>0</v>
      </c>
      <c r="P183" t="n">
        <v>0</v>
      </c>
      <c r="Q183" t="n">
        <v>0</v>
      </c>
      <c r="R183" s="2" t="inlineStr"/>
    </row>
    <row r="184" ht="15" customHeight="1">
      <c r="A184" t="inlineStr">
        <is>
          <t>A 66634-2021</t>
        </is>
      </c>
      <c r="B184" s="1" t="n">
        <v>44519</v>
      </c>
      <c r="C184" s="1" t="n">
        <v>45983</v>
      </c>
      <c r="D184" t="inlineStr">
        <is>
          <t>DALARNAS LÄN</t>
        </is>
      </c>
      <c r="E184" t="inlineStr">
        <is>
          <t>ÄLVDALEN</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38957-2021</t>
        </is>
      </c>
      <c r="B185" s="1" t="n">
        <v>44411</v>
      </c>
      <c r="C185" s="1" t="n">
        <v>45983</v>
      </c>
      <c r="D185" t="inlineStr">
        <is>
          <t>DALARNAS LÄN</t>
        </is>
      </c>
      <c r="E185" t="inlineStr">
        <is>
          <t>ÄLVDALEN</t>
        </is>
      </c>
      <c r="G185" t="n">
        <v>4.6</v>
      </c>
      <c r="H185" t="n">
        <v>0</v>
      </c>
      <c r="I185" t="n">
        <v>0</v>
      </c>
      <c r="J185" t="n">
        <v>0</v>
      </c>
      <c r="K185" t="n">
        <v>0</v>
      </c>
      <c r="L185" t="n">
        <v>0</v>
      </c>
      <c r="M185" t="n">
        <v>0</v>
      </c>
      <c r="N185" t="n">
        <v>0</v>
      </c>
      <c r="O185" t="n">
        <v>0</v>
      </c>
      <c r="P185" t="n">
        <v>0</v>
      </c>
      <c r="Q185" t="n">
        <v>0</v>
      </c>
      <c r="R185" s="2" t="inlineStr"/>
    </row>
    <row r="186" ht="15" customHeight="1">
      <c r="A186" t="inlineStr">
        <is>
          <t>A 56045-2021</t>
        </is>
      </c>
      <c r="B186" s="1" t="n">
        <v>44477</v>
      </c>
      <c r="C186" s="1" t="n">
        <v>45983</v>
      </c>
      <c r="D186" t="inlineStr">
        <is>
          <t>DALARNAS LÄN</t>
        </is>
      </c>
      <c r="E186" t="inlineStr">
        <is>
          <t>ÄLVDALEN</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29565-2022</t>
        </is>
      </c>
      <c r="B187" s="1" t="n">
        <v>44754.36063657407</v>
      </c>
      <c r="C187" s="1" t="n">
        <v>45983</v>
      </c>
      <c r="D187" t="inlineStr">
        <is>
          <t>DALARNAS LÄN</t>
        </is>
      </c>
      <c r="E187" t="inlineStr">
        <is>
          <t>ÄLVDALEN</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73691-2021</t>
        </is>
      </c>
      <c r="B188" s="1" t="n">
        <v>44552</v>
      </c>
      <c r="C188" s="1" t="n">
        <v>45983</v>
      </c>
      <c r="D188" t="inlineStr">
        <is>
          <t>DALARNAS LÄN</t>
        </is>
      </c>
      <c r="E188" t="inlineStr">
        <is>
          <t>ÄLVDALEN</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22760-2021</t>
        </is>
      </c>
      <c r="B189" s="1" t="n">
        <v>44327.86443287037</v>
      </c>
      <c r="C189" s="1" t="n">
        <v>45983</v>
      </c>
      <c r="D189" t="inlineStr">
        <is>
          <t>DALARNAS LÄN</t>
        </is>
      </c>
      <c r="E189" t="inlineStr">
        <is>
          <t>ÄLVDALEN</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22761-2021</t>
        </is>
      </c>
      <c r="B190" s="1" t="n">
        <v>44327.86510416667</v>
      </c>
      <c r="C190" s="1" t="n">
        <v>45983</v>
      </c>
      <c r="D190" t="inlineStr">
        <is>
          <t>DALARNAS LÄN</t>
        </is>
      </c>
      <c r="E190" t="inlineStr">
        <is>
          <t>ÄLVDALEN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36826-2021</t>
        </is>
      </c>
      <c r="B191" s="1" t="n">
        <v>44393</v>
      </c>
      <c r="C191" s="1" t="n">
        <v>45983</v>
      </c>
      <c r="D191" t="inlineStr">
        <is>
          <t>DALARNAS LÄN</t>
        </is>
      </c>
      <c r="E191" t="inlineStr">
        <is>
          <t>ÄLVDALEN</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36846-2021</t>
        </is>
      </c>
      <c r="B192" s="1" t="n">
        <v>44393</v>
      </c>
      <c r="C192" s="1" t="n">
        <v>45983</v>
      </c>
      <c r="D192" t="inlineStr">
        <is>
          <t>DALARNAS LÄN</t>
        </is>
      </c>
      <c r="E192" t="inlineStr">
        <is>
          <t>ÄLVDALEN</t>
        </is>
      </c>
      <c r="F192" t="inlineStr">
        <is>
          <t>Sveaskog</t>
        </is>
      </c>
      <c r="G192" t="n">
        <v>10.8</v>
      </c>
      <c r="H192" t="n">
        <v>0</v>
      </c>
      <c r="I192" t="n">
        <v>0</v>
      </c>
      <c r="J192" t="n">
        <v>0</v>
      </c>
      <c r="K192" t="n">
        <v>0</v>
      </c>
      <c r="L192" t="n">
        <v>0</v>
      </c>
      <c r="M192" t="n">
        <v>0</v>
      </c>
      <c r="N192" t="n">
        <v>0</v>
      </c>
      <c r="O192" t="n">
        <v>0</v>
      </c>
      <c r="P192" t="n">
        <v>0</v>
      </c>
      <c r="Q192" t="n">
        <v>0</v>
      </c>
      <c r="R192" s="2" t="inlineStr"/>
    </row>
    <row r="193" ht="15" customHeight="1">
      <c r="A193" t="inlineStr">
        <is>
          <t>A 22651-2021</t>
        </is>
      </c>
      <c r="B193" s="1" t="n">
        <v>44327</v>
      </c>
      <c r="C193" s="1" t="n">
        <v>45983</v>
      </c>
      <c r="D193" t="inlineStr">
        <is>
          <t>DALARNAS LÄN</t>
        </is>
      </c>
      <c r="E193" t="inlineStr">
        <is>
          <t>ÄLVDALEN</t>
        </is>
      </c>
      <c r="G193" t="n">
        <v>5.9</v>
      </c>
      <c r="H193" t="n">
        <v>0</v>
      </c>
      <c r="I193" t="n">
        <v>0</v>
      </c>
      <c r="J193" t="n">
        <v>0</v>
      </c>
      <c r="K193" t="n">
        <v>0</v>
      </c>
      <c r="L193" t="n">
        <v>0</v>
      </c>
      <c r="M193" t="n">
        <v>0</v>
      </c>
      <c r="N193" t="n">
        <v>0</v>
      </c>
      <c r="O193" t="n">
        <v>0</v>
      </c>
      <c r="P193" t="n">
        <v>0</v>
      </c>
      <c r="Q193" t="n">
        <v>0</v>
      </c>
      <c r="R193" s="2" t="inlineStr"/>
    </row>
    <row r="194" ht="15" customHeight="1">
      <c r="A194" t="inlineStr">
        <is>
          <t>A 45227-2022</t>
        </is>
      </c>
      <c r="B194" s="1" t="n">
        <v>44844</v>
      </c>
      <c r="C194" s="1" t="n">
        <v>45983</v>
      </c>
      <c r="D194" t="inlineStr">
        <is>
          <t>DALARNAS LÄN</t>
        </is>
      </c>
      <c r="E194" t="inlineStr">
        <is>
          <t>ÄLVDALEN</t>
        </is>
      </c>
      <c r="F194" t="inlineStr">
        <is>
          <t>Bergvik skog väst AB</t>
        </is>
      </c>
      <c r="G194" t="n">
        <v>22.3</v>
      </c>
      <c r="H194" t="n">
        <v>0</v>
      </c>
      <c r="I194" t="n">
        <v>0</v>
      </c>
      <c r="J194" t="n">
        <v>0</v>
      </c>
      <c r="K194" t="n">
        <v>0</v>
      </c>
      <c r="L194" t="n">
        <v>0</v>
      </c>
      <c r="M194" t="n">
        <v>0</v>
      </c>
      <c r="N194" t="n">
        <v>0</v>
      </c>
      <c r="O194" t="n">
        <v>0</v>
      </c>
      <c r="P194" t="n">
        <v>0</v>
      </c>
      <c r="Q194" t="n">
        <v>0</v>
      </c>
      <c r="R194" s="2" t="inlineStr"/>
    </row>
    <row r="195" ht="15" customHeight="1">
      <c r="A195" t="inlineStr">
        <is>
          <t>A 14290-2021</t>
        </is>
      </c>
      <c r="B195" s="1" t="n">
        <v>44278.6621875</v>
      </c>
      <c r="C195" s="1" t="n">
        <v>45983</v>
      </c>
      <c r="D195" t="inlineStr">
        <is>
          <t>DALARNAS LÄN</t>
        </is>
      </c>
      <c r="E195" t="inlineStr">
        <is>
          <t>ÄLVDALEN</t>
        </is>
      </c>
      <c r="G195" t="n">
        <v>1.9</v>
      </c>
      <c r="H195" t="n">
        <v>0</v>
      </c>
      <c r="I195" t="n">
        <v>0</v>
      </c>
      <c r="J195" t="n">
        <v>0</v>
      </c>
      <c r="K195" t="n">
        <v>0</v>
      </c>
      <c r="L195" t="n">
        <v>0</v>
      </c>
      <c r="M195" t="n">
        <v>0</v>
      </c>
      <c r="N195" t="n">
        <v>0</v>
      </c>
      <c r="O195" t="n">
        <v>0</v>
      </c>
      <c r="P195" t="n">
        <v>0</v>
      </c>
      <c r="Q195" t="n">
        <v>0</v>
      </c>
      <c r="R195" s="2" t="inlineStr"/>
    </row>
    <row r="196" ht="15" customHeight="1">
      <c r="A196" t="inlineStr">
        <is>
          <t>A 41020-2021</t>
        </is>
      </c>
      <c r="B196" s="1" t="n">
        <v>44421</v>
      </c>
      <c r="C196" s="1" t="n">
        <v>45983</v>
      </c>
      <c r="D196" t="inlineStr">
        <is>
          <t>DALARNAS LÄN</t>
        </is>
      </c>
      <c r="E196" t="inlineStr">
        <is>
          <t>ÄLVDALEN</t>
        </is>
      </c>
      <c r="G196" t="n">
        <v>5.5</v>
      </c>
      <c r="H196" t="n">
        <v>0</v>
      </c>
      <c r="I196" t="n">
        <v>0</v>
      </c>
      <c r="J196" t="n">
        <v>0</v>
      </c>
      <c r="K196" t="n">
        <v>0</v>
      </c>
      <c r="L196" t="n">
        <v>0</v>
      </c>
      <c r="M196" t="n">
        <v>0</v>
      </c>
      <c r="N196" t="n">
        <v>0</v>
      </c>
      <c r="O196" t="n">
        <v>0</v>
      </c>
      <c r="P196" t="n">
        <v>0</v>
      </c>
      <c r="Q196" t="n">
        <v>0</v>
      </c>
      <c r="R196" s="2" t="inlineStr"/>
    </row>
    <row r="197" ht="15" customHeight="1">
      <c r="A197" t="inlineStr">
        <is>
          <t>A 52064-2022</t>
        </is>
      </c>
      <c r="B197" s="1" t="n">
        <v>44873.34854166667</v>
      </c>
      <c r="C197" s="1" t="n">
        <v>45983</v>
      </c>
      <c r="D197" t="inlineStr">
        <is>
          <t>DALARNAS LÄN</t>
        </is>
      </c>
      <c r="E197" t="inlineStr">
        <is>
          <t>ÄLVDALEN</t>
        </is>
      </c>
      <c r="G197" t="n">
        <v>0.3</v>
      </c>
      <c r="H197" t="n">
        <v>0</v>
      </c>
      <c r="I197" t="n">
        <v>0</v>
      </c>
      <c r="J197" t="n">
        <v>0</v>
      </c>
      <c r="K197" t="n">
        <v>0</v>
      </c>
      <c r="L197" t="n">
        <v>0</v>
      </c>
      <c r="M197" t="n">
        <v>0</v>
      </c>
      <c r="N197" t="n">
        <v>0</v>
      </c>
      <c r="O197" t="n">
        <v>0</v>
      </c>
      <c r="P197" t="n">
        <v>0</v>
      </c>
      <c r="Q197" t="n">
        <v>0</v>
      </c>
      <c r="R197" s="2" t="inlineStr"/>
    </row>
    <row r="198" ht="15" customHeight="1">
      <c r="A198" t="inlineStr">
        <is>
          <t>A 39311-2022</t>
        </is>
      </c>
      <c r="B198" s="1" t="n">
        <v>44817.69123842593</v>
      </c>
      <c r="C198" s="1" t="n">
        <v>45983</v>
      </c>
      <c r="D198" t="inlineStr">
        <is>
          <t>DALARNAS LÄN</t>
        </is>
      </c>
      <c r="E198" t="inlineStr">
        <is>
          <t>ÄLVDALEN</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45228-2022</t>
        </is>
      </c>
      <c r="B199" s="1" t="n">
        <v>44844.47071759259</v>
      </c>
      <c r="C199" s="1" t="n">
        <v>45983</v>
      </c>
      <c r="D199" t="inlineStr">
        <is>
          <t>DALARNAS LÄN</t>
        </is>
      </c>
      <c r="E199" t="inlineStr">
        <is>
          <t>ÄLVDALEN</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62680-2021</t>
        </is>
      </c>
      <c r="B200" s="1" t="n">
        <v>44504.06847222222</v>
      </c>
      <c r="C200" s="1" t="n">
        <v>45983</v>
      </c>
      <c r="D200" t="inlineStr">
        <is>
          <t>DALARNAS LÄN</t>
        </is>
      </c>
      <c r="E200" t="inlineStr">
        <is>
          <t>ÄLVDALEN</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45785-2022</t>
        </is>
      </c>
      <c r="B201" s="1" t="n">
        <v>44846</v>
      </c>
      <c r="C201" s="1" t="n">
        <v>45983</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2746-2021</t>
        </is>
      </c>
      <c r="B202" s="1" t="n">
        <v>44215</v>
      </c>
      <c r="C202" s="1" t="n">
        <v>45983</v>
      </c>
      <c r="D202" t="inlineStr">
        <is>
          <t>DALARNAS LÄN</t>
        </is>
      </c>
      <c r="E202" t="inlineStr">
        <is>
          <t>ÄLVDALEN</t>
        </is>
      </c>
      <c r="F202" t="inlineStr">
        <is>
          <t>Kommuner</t>
        </is>
      </c>
      <c r="G202" t="n">
        <v>14.7</v>
      </c>
      <c r="H202" t="n">
        <v>0</v>
      </c>
      <c r="I202" t="n">
        <v>0</v>
      </c>
      <c r="J202" t="n">
        <v>0</v>
      </c>
      <c r="K202" t="n">
        <v>0</v>
      </c>
      <c r="L202" t="n">
        <v>0</v>
      </c>
      <c r="M202" t="n">
        <v>0</v>
      </c>
      <c r="N202" t="n">
        <v>0</v>
      </c>
      <c r="O202" t="n">
        <v>0</v>
      </c>
      <c r="P202" t="n">
        <v>0</v>
      </c>
      <c r="Q202" t="n">
        <v>0</v>
      </c>
      <c r="R202" s="2" t="inlineStr"/>
    </row>
    <row r="203" ht="15" customHeight="1">
      <c r="A203" t="inlineStr">
        <is>
          <t>A 4034-2021</t>
        </is>
      </c>
      <c r="B203" s="1" t="n">
        <v>44222</v>
      </c>
      <c r="C203" s="1" t="n">
        <v>45983</v>
      </c>
      <c r="D203" t="inlineStr">
        <is>
          <t>DALARNAS LÄN</t>
        </is>
      </c>
      <c r="E203" t="inlineStr">
        <is>
          <t>ÄLVDALEN</t>
        </is>
      </c>
      <c r="G203" t="n">
        <v>0.9</v>
      </c>
      <c r="H203" t="n">
        <v>0</v>
      </c>
      <c r="I203" t="n">
        <v>0</v>
      </c>
      <c r="J203" t="n">
        <v>0</v>
      </c>
      <c r="K203" t="n">
        <v>0</v>
      </c>
      <c r="L203" t="n">
        <v>0</v>
      </c>
      <c r="M203" t="n">
        <v>0</v>
      </c>
      <c r="N203" t="n">
        <v>0</v>
      </c>
      <c r="O203" t="n">
        <v>0</v>
      </c>
      <c r="P203" t="n">
        <v>0</v>
      </c>
      <c r="Q203" t="n">
        <v>0</v>
      </c>
      <c r="R203" s="2" t="inlineStr"/>
    </row>
    <row r="204" ht="15" customHeight="1">
      <c r="A204" t="inlineStr">
        <is>
          <t>A 50349-2021</t>
        </is>
      </c>
      <c r="B204" s="1" t="n">
        <v>44459</v>
      </c>
      <c r="C204" s="1" t="n">
        <v>45983</v>
      </c>
      <c r="D204" t="inlineStr">
        <is>
          <t>DALARNAS LÄN</t>
        </is>
      </c>
      <c r="E204" t="inlineStr">
        <is>
          <t>ÄLVDALEN</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19312-2021</t>
        </is>
      </c>
      <c r="B205" s="1" t="n">
        <v>44309.50952546296</v>
      </c>
      <c r="C205" s="1" t="n">
        <v>45983</v>
      </c>
      <c r="D205" t="inlineStr">
        <is>
          <t>DALARNAS LÄN</t>
        </is>
      </c>
      <c r="E205" t="inlineStr">
        <is>
          <t>ÄLVDALEN</t>
        </is>
      </c>
      <c r="G205" t="n">
        <v>0.4</v>
      </c>
      <c r="H205" t="n">
        <v>0</v>
      </c>
      <c r="I205" t="n">
        <v>0</v>
      </c>
      <c r="J205" t="n">
        <v>0</v>
      </c>
      <c r="K205" t="n">
        <v>0</v>
      </c>
      <c r="L205" t="n">
        <v>0</v>
      </c>
      <c r="M205" t="n">
        <v>0</v>
      </c>
      <c r="N205" t="n">
        <v>0</v>
      </c>
      <c r="O205" t="n">
        <v>0</v>
      </c>
      <c r="P205" t="n">
        <v>0</v>
      </c>
      <c r="Q205" t="n">
        <v>0</v>
      </c>
      <c r="R205" s="2" t="inlineStr"/>
    </row>
    <row r="206" ht="15" customHeight="1">
      <c r="A206" t="inlineStr">
        <is>
          <t>A 52877-2021</t>
        </is>
      </c>
      <c r="B206" s="1" t="n">
        <v>44467.47215277778</v>
      </c>
      <c r="C206" s="1" t="n">
        <v>45983</v>
      </c>
      <c r="D206" t="inlineStr">
        <is>
          <t>DALARNAS LÄN</t>
        </is>
      </c>
      <c r="E206" t="inlineStr">
        <is>
          <t>ÄLVDALEN</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70990-2021</t>
        </is>
      </c>
      <c r="B207" s="1" t="n">
        <v>44538</v>
      </c>
      <c r="C207" s="1" t="n">
        <v>45983</v>
      </c>
      <c r="D207" t="inlineStr">
        <is>
          <t>DALARNAS LÄN</t>
        </is>
      </c>
      <c r="E207" t="inlineStr">
        <is>
          <t>ÄLVDALEN</t>
        </is>
      </c>
      <c r="F207" t="inlineStr">
        <is>
          <t>Kyrkan</t>
        </is>
      </c>
      <c r="G207" t="n">
        <v>3.5</v>
      </c>
      <c r="H207" t="n">
        <v>0</v>
      </c>
      <c r="I207" t="n">
        <v>0</v>
      </c>
      <c r="J207" t="n">
        <v>0</v>
      </c>
      <c r="K207" t="n">
        <v>0</v>
      </c>
      <c r="L207" t="n">
        <v>0</v>
      </c>
      <c r="M207" t="n">
        <v>0</v>
      </c>
      <c r="N207" t="n">
        <v>0</v>
      </c>
      <c r="O207" t="n">
        <v>0</v>
      </c>
      <c r="P207" t="n">
        <v>0</v>
      </c>
      <c r="Q207" t="n">
        <v>0</v>
      </c>
      <c r="R207" s="2" t="inlineStr"/>
    </row>
    <row r="208" ht="15" customHeight="1">
      <c r="A208" t="inlineStr">
        <is>
          <t>A 30972-2021</t>
        </is>
      </c>
      <c r="B208" s="1" t="n">
        <v>44365</v>
      </c>
      <c r="C208" s="1" t="n">
        <v>45983</v>
      </c>
      <c r="D208" t="inlineStr">
        <is>
          <t>DALARNAS LÄN</t>
        </is>
      </c>
      <c r="E208" t="inlineStr">
        <is>
          <t>ÄLVDALEN</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28712-2021</t>
        </is>
      </c>
      <c r="B209" s="1" t="n">
        <v>44357</v>
      </c>
      <c r="C209" s="1" t="n">
        <v>45983</v>
      </c>
      <c r="D209" t="inlineStr">
        <is>
          <t>DALARNAS LÄN</t>
        </is>
      </c>
      <c r="E209" t="inlineStr">
        <is>
          <t>ÄLVDALEN</t>
        </is>
      </c>
      <c r="G209" t="n">
        <v>2</v>
      </c>
      <c r="H209" t="n">
        <v>0</v>
      </c>
      <c r="I209" t="n">
        <v>0</v>
      </c>
      <c r="J209" t="n">
        <v>0</v>
      </c>
      <c r="K209" t="n">
        <v>0</v>
      </c>
      <c r="L209" t="n">
        <v>0</v>
      </c>
      <c r="M209" t="n">
        <v>0</v>
      </c>
      <c r="N209" t="n">
        <v>0</v>
      </c>
      <c r="O209" t="n">
        <v>0</v>
      </c>
      <c r="P209" t="n">
        <v>0</v>
      </c>
      <c r="Q209" t="n">
        <v>0</v>
      </c>
      <c r="R209" s="2" t="inlineStr"/>
    </row>
    <row r="210" ht="15" customHeight="1">
      <c r="A210" t="inlineStr">
        <is>
          <t>A 26726-2021</t>
        </is>
      </c>
      <c r="B210" s="1" t="n">
        <v>44349.38230324074</v>
      </c>
      <c r="C210" s="1" t="n">
        <v>45983</v>
      </c>
      <c r="D210" t="inlineStr">
        <is>
          <t>DALARNAS LÄN</t>
        </is>
      </c>
      <c r="E210" t="inlineStr">
        <is>
          <t>ÄLVDALEN</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50209-2022</t>
        </is>
      </c>
      <c r="B211" s="1" t="n">
        <v>44865</v>
      </c>
      <c r="C211" s="1" t="n">
        <v>45983</v>
      </c>
      <c r="D211" t="inlineStr">
        <is>
          <t>DALARNAS LÄN</t>
        </is>
      </c>
      <c r="E211" t="inlineStr">
        <is>
          <t>ÄLVDALEN</t>
        </is>
      </c>
      <c r="F211" t="inlineStr">
        <is>
          <t>Sveaskog</t>
        </is>
      </c>
      <c r="G211" t="n">
        <v>3.7</v>
      </c>
      <c r="H211" t="n">
        <v>0</v>
      </c>
      <c r="I211" t="n">
        <v>0</v>
      </c>
      <c r="J211" t="n">
        <v>0</v>
      </c>
      <c r="K211" t="n">
        <v>0</v>
      </c>
      <c r="L211" t="n">
        <v>0</v>
      </c>
      <c r="M211" t="n">
        <v>0</v>
      </c>
      <c r="N211" t="n">
        <v>0</v>
      </c>
      <c r="O211" t="n">
        <v>0</v>
      </c>
      <c r="P211" t="n">
        <v>0</v>
      </c>
      <c r="Q211" t="n">
        <v>0</v>
      </c>
      <c r="R211" s="2" t="inlineStr"/>
    </row>
    <row r="212" ht="15" customHeight="1">
      <c r="A212" t="inlineStr">
        <is>
          <t>A 43972-2021</t>
        </is>
      </c>
      <c r="B212" s="1" t="n">
        <v>44434.45565972223</v>
      </c>
      <c r="C212" s="1" t="n">
        <v>45983</v>
      </c>
      <c r="D212" t="inlineStr">
        <is>
          <t>DALARNAS LÄN</t>
        </is>
      </c>
      <c r="E212" t="inlineStr">
        <is>
          <t>ÄLVDALEN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36824-2021</t>
        </is>
      </c>
      <c r="B213" s="1" t="n">
        <v>44393</v>
      </c>
      <c r="C213" s="1" t="n">
        <v>45983</v>
      </c>
      <c r="D213" t="inlineStr">
        <is>
          <t>DALARNAS LÄN</t>
        </is>
      </c>
      <c r="E213" t="inlineStr">
        <is>
          <t>ÄLVDALEN</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51844-2021</t>
        </is>
      </c>
      <c r="B214" s="1" t="n">
        <v>44462.68480324074</v>
      </c>
      <c r="C214" s="1" t="n">
        <v>45983</v>
      </c>
      <c r="D214" t="inlineStr">
        <is>
          <t>DALARNAS LÄN</t>
        </is>
      </c>
      <c r="E214" t="inlineStr">
        <is>
          <t>ÄLVDALEN</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48558-2021</t>
        </is>
      </c>
      <c r="B215" s="1" t="n">
        <v>44452</v>
      </c>
      <c r="C215" s="1" t="n">
        <v>45983</v>
      </c>
      <c r="D215" t="inlineStr">
        <is>
          <t>DALARNAS LÄN</t>
        </is>
      </c>
      <c r="E215" t="inlineStr">
        <is>
          <t>ÄLVDALEN</t>
        </is>
      </c>
      <c r="F215" t="inlineStr">
        <is>
          <t>Sveaskog</t>
        </is>
      </c>
      <c r="G215" t="n">
        <v>0.1</v>
      </c>
      <c r="H215" t="n">
        <v>0</v>
      </c>
      <c r="I215" t="n">
        <v>0</v>
      </c>
      <c r="J215" t="n">
        <v>0</v>
      </c>
      <c r="K215" t="n">
        <v>0</v>
      </c>
      <c r="L215" t="n">
        <v>0</v>
      </c>
      <c r="M215" t="n">
        <v>0</v>
      </c>
      <c r="N215" t="n">
        <v>0</v>
      </c>
      <c r="O215" t="n">
        <v>0</v>
      </c>
      <c r="P215" t="n">
        <v>0</v>
      </c>
      <c r="Q215" t="n">
        <v>0</v>
      </c>
      <c r="R215" s="2" t="inlineStr"/>
    </row>
    <row r="216" ht="15" customHeight="1">
      <c r="A216" t="inlineStr">
        <is>
          <t>A 50708-2021</t>
        </is>
      </c>
      <c r="B216" s="1" t="n">
        <v>44459</v>
      </c>
      <c r="C216" s="1" t="n">
        <v>45983</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19933-2022</t>
        </is>
      </c>
      <c r="B217" s="1" t="n">
        <v>44697</v>
      </c>
      <c r="C217" s="1" t="n">
        <v>45983</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19939-2022</t>
        </is>
      </c>
      <c r="B218" s="1" t="n">
        <v>44697</v>
      </c>
      <c r="C218" s="1" t="n">
        <v>45983</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33690-2021</t>
        </is>
      </c>
      <c r="B219" s="1" t="n">
        <v>44378</v>
      </c>
      <c r="C219" s="1" t="n">
        <v>45983</v>
      </c>
      <c r="D219" t="inlineStr">
        <is>
          <t>DALARNAS LÄN</t>
        </is>
      </c>
      <c r="E219" t="inlineStr">
        <is>
          <t>ÄLVDALEN</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56047-2021</t>
        </is>
      </c>
      <c r="B220" s="1" t="n">
        <v>44477.48498842592</v>
      </c>
      <c r="C220" s="1" t="n">
        <v>45983</v>
      </c>
      <c r="D220" t="inlineStr">
        <is>
          <t>DALARNAS LÄN</t>
        </is>
      </c>
      <c r="E220" t="inlineStr">
        <is>
          <t>ÄLVDALEN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46917-2021</t>
        </is>
      </c>
      <c r="B221" s="1" t="n">
        <v>44446</v>
      </c>
      <c r="C221" s="1" t="n">
        <v>45983</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30249-2021</t>
        </is>
      </c>
      <c r="B222" s="1" t="n">
        <v>44363</v>
      </c>
      <c r="C222" s="1" t="n">
        <v>45983</v>
      </c>
      <c r="D222" t="inlineStr">
        <is>
          <t>DALARNAS LÄN</t>
        </is>
      </c>
      <c r="E222" t="inlineStr">
        <is>
          <t>ÄLVDALEN</t>
        </is>
      </c>
      <c r="F222" t="inlineStr">
        <is>
          <t>Sveaskog</t>
        </is>
      </c>
      <c r="G222" t="n">
        <v>0.2</v>
      </c>
      <c r="H222" t="n">
        <v>0</v>
      </c>
      <c r="I222" t="n">
        <v>0</v>
      </c>
      <c r="J222" t="n">
        <v>0</v>
      </c>
      <c r="K222" t="n">
        <v>0</v>
      </c>
      <c r="L222" t="n">
        <v>0</v>
      </c>
      <c r="M222" t="n">
        <v>0</v>
      </c>
      <c r="N222" t="n">
        <v>0</v>
      </c>
      <c r="O222" t="n">
        <v>0</v>
      </c>
      <c r="P222" t="n">
        <v>0</v>
      </c>
      <c r="Q222" t="n">
        <v>0</v>
      </c>
      <c r="R222" s="2" t="inlineStr"/>
    </row>
    <row r="223" ht="15" customHeight="1">
      <c r="A223" t="inlineStr">
        <is>
          <t>A 51161-2021</t>
        </is>
      </c>
      <c r="B223" s="1" t="n">
        <v>44461.46195601852</v>
      </c>
      <c r="C223" s="1" t="n">
        <v>45983</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51504-2022</t>
        </is>
      </c>
      <c r="B224" s="1" t="n">
        <v>44869</v>
      </c>
      <c r="C224" s="1" t="n">
        <v>45983</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36825-2021</t>
        </is>
      </c>
      <c r="B225" s="1" t="n">
        <v>44393</v>
      </c>
      <c r="C225" s="1" t="n">
        <v>45983</v>
      </c>
      <c r="D225" t="inlineStr">
        <is>
          <t>DALARNAS LÄN</t>
        </is>
      </c>
      <c r="E225" t="inlineStr">
        <is>
          <t>ÄLVDALEN</t>
        </is>
      </c>
      <c r="F225" t="inlineStr">
        <is>
          <t>Sveaskog</t>
        </is>
      </c>
      <c r="G225" t="n">
        <v>12.2</v>
      </c>
      <c r="H225" t="n">
        <v>0</v>
      </c>
      <c r="I225" t="n">
        <v>0</v>
      </c>
      <c r="J225" t="n">
        <v>0</v>
      </c>
      <c r="K225" t="n">
        <v>0</v>
      </c>
      <c r="L225" t="n">
        <v>0</v>
      </c>
      <c r="M225" t="n">
        <v>0</v>
      </c>
      <c r="N225" t="n">
        <v>0</v>
      </c>
      <c r="O225" t="n">
        <v>0</v>
      </c>
      <c r="P225" t="n">
        <v>0</v>
      </c>
      <c r="Q225" t="n">
        <v>0</v>
      </c>
      <c r="R225" s="2" t="inlineStr"/>
    </row>
    <row r="226" ht="15" customHeight="1">
      <c r="A226" t="inlineStr">
        <is>
          <t>A 59658-2021</t>
        </is>
      </c>
      <c r="B226" s="1" t="n">
        <v>44494.3159375</v>
      </c>
      <c r="C226" s="1" t="n">
        <v>45983</v>
      </c>
      <c r="D226" t="inlineStr">
        <is>
          <t>DALARNAS LÄN</t>
        </is>
      </c>
      <c r="E226" t="inlineStr">
        <is>
          <t>ÄLVDALEN</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45983</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21279-2022</t>
        </is>
      </c>
      <c r="B228" s="1" t="n">
        <v>44705</v>
      </c>
      <c r="C228" s="1" t="n">
        <v>45983</v>
      </c>
      <c r="D228" t="inlineStr">
        <is>
          <t>DALARNAS LÄN</t>
        </is>
      </c>
      <c r="E228" t="inlineStr">
        <is>
          <t>ÄLVDALEN</t>
        </is>
      </c>
      <c r="G228" t="n">
        <v>4.6</v>
      </c>
      <c r="H228" t="n">
        <v>0</v>
      </c>
      <c r="I228" t="n">
        <v>0</v>
      </c>
      <c r="J228" t="n">
        <v>0</v>
      </c>
      <c r="K228" t="n">
        <v>0</v>
      </c>
      <c r="L228" t="n">
        <v>0</v>
      </c>
      <c r="M228" t="n">
        <v>0</v>
      </c>
      <c r="N228" t="n">
        <v>0</v>
      </c>
      <c r="O228" t="n">
        <v>0</v>
      </c>
      <c r="P228" t="n">
        <v>0</v>
      </c>
      <c r="Q228" t="n">
        <v>0</v>
      </c>
      <c r="R228" s="2" t="inlineStr"/>
    </row>
    <row r="229" ht="15" customHeight="1">
      <c r="A229" t="inlineStr">
        <is>
          <t>A 20050-2021</t>
        </is>
      </c>
      <c r="B229" s="1" t="n">
        <v>44314</v>
      </c>
      <c r="C229" s="1" t="n">
        <v>45983</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40234-2021</t>
        </is>
      </c>
      <c r="B230" s="1" t="n">
        <v>44419</v>
      </c>
      <c r="C230" s="1" t="n">
        <v>45983</v>
      </c>
      <c r="D230" t="inlineStr">
        <is>
          <t>DALARNAS LÄN</t>
        </is>
      </c>
      <c r="E230" t="inlineStr">
        <is>
          <t>ÄLVDALEN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66887-2021</t>
        </is>
      </c>
      <c r="B231" s="1" t="n">
        <v>44522.47883101852</v>
      </c>
      <c r="C231" s="1" t="n">
        <v>45983</v>
      </c>
      <c r="D231" t="inlineStr">
        <is>
          <t>DALARNAS LÄN</t>
        </is>
      </c>
      <c r="E231" t="inlineStr">
        <is>
          <t>ÄLVDALEN</t>
        </is>
      </c>
      <c r="G231" t="n">
        <v>1.8</v>
      </c>
      <c r="H231" t="n">
        <v>0</v>
      </c>
      <c r="I231" t="n">
        <v>0</v>
      </c>
      <c r="J231" t="n">
        <v>0</v>
      </c>
      <c r="K231" t="n">
        <v>0</v>
      </c>
      <c r="L231" t="n">
        <v>0</v>
      </c>
      <c r="M231" t="n">
        <v>0</v>
      </c>
      <c r="N231" t="n">
        <v>0</v>
      </c>
      <c r="O231" t="n">
        <v>0</v>
      </c>
      <c r="P231" t="n">
        <v>0</v>
      </c>
      <c r="Q231" t="n">
        <v>0</v>
      </c>
      <c r="R231" s="2" t="inlineStr"/>
    </row>
    <row r="232" ht="15" customHeight="1">
      <c r="A232" t="inlineStr">
        <is>
          <t>A 57783-2021</t>
        </is>
      </c>
      <c r="B232" s="1" t="n">
        <v>44484</v>
      </c>
      <c r="C232" s="1" t="n">
        <v>45983</v>
      </c>
      <c r="D232" t="inlineStr">
        <is>
          <t>DALARNAS LÄN</t>
        </is>
      </c>
      <c r="E232" t="inlineStr">
        <is>
          <t>ÄLVDALEN</t>
        </is>
      </c>
      <c r="G232" t="n">
        <v>6.9</v>
      </c>
      <c r="H232" t="n">
        <v>0</v>
      </c>
      <c r="I232" t="n">
        <v>0</v>
      </c>
      <c r="J232" t="n">
        <v>0</v>
      </c>
      <c r="K232" t="n">
        <v>0</v>
      </c>
      <c r="L232" t="n">
        <v>0</v>
      </c>
      <c r="M232" t="n">
        <v>0</v>
      </c>
      <c r="N232" t="n">
        <v>0</v>
      </c>
      <c r="O232" t="n">
        <v>0</v>
      </c>
      <c r="P232" t="n">
        <v>0</v>
      </c>
      <c r="Q232" t="n">
        <v>0</v>
      </c>
      <c r="R232" s="2" t="inlineStr"/>
    </row>
    <row r="233" ht="15" customHeight="1">
      <c r="A233" t="inlineStr">
        <is>
          <t>A 55990-2021</t>
        </is>
      </c>
      <c r="B233" s="1" t="n">
        <v>44477.40155092593</v>
      </c>
      <c r="C233" s="1" t="n">
        <v>45983</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25602-2022</t>
        </is>
      </c>
      <c r="B234" s="1" t="n">
        <v>44732.6975</v>
      </c>
      <c r="C234" s="1" t="n">
        <v>45983</v>
      </c>
      <c r="D234" t="inlineStr">
        <is>
          <t>DALARNAS LÄN</t>
        </is>
      </c>
      <c r="E234" t="inlineStr">
        <is>
          <t>ÄLVDALEN</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19759-2021</t>
        </is>
      </c>
      <c r="B235" s="1" t="n">
        <v>44309</v>
      </c>
      <c r="C235" s="1" t="n">
        <v>45983</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37009-2021</t>
        </is>
      </c>
      <c r="B236" s="1" t="n">
        <v>44393.6384837963</v>
      </c>
      <c r="C236" s="1" t="n">
        <v>45983</v>
      </c>
      <c r="D236" t="inlineStr">
        <is>
          <t>DALARNAS LÄN</t>
        </is>
      </c>
      <c r="E236" t="inlineStr">
        <is>
          <t>ÄLVDALEN</t>
        </is>
      </c>
      <c r="F236" t="inlineStr">
        <is>
          <t>Bergvik skog öst AB</t>
        </is>
      </c>
      <c r="G236" t="n">
        <v>3.3</v>
      </c>
      <c r="H236" t="n">
        <v>0</v>
      </c>
      <c r="I236" t="n">
        <v>0</v>
      </c>
      <c r="J236" t="n">
        <v>0</v>
      </c>
      <c r="K236" t="n">
        <v>0</v>
      </c>
      <c r="L236" t="n">
        <v>0</v>
      </c>
      <c r="M236" t="n">
        <v>0</v>
      </c>
      <c r="N236" t="n">
        <v>0</v>
      </c>
      <c r="O236" t="n">
        <v>0</v>
      </c>
      <c r="P236" t="n">
        <v>0</v>
      </c>
      <c r="Q236" t="n">
        <v>0</v>
      </c>
      <c r="R236" s="2" t="inlineStr"/>
    </row>
    <row r="237" ht="15" customHeight="1">
      <c r="A237" t="inlineStr">
        <is>
          <t>A 30254-2021</t>
        </is>
      </c>
      <c r="B237" s="1" t="n">
        <v>44363</v>
      </c>
      <c r="C237" s="1" t="n">
        <v>45983</v>
      </c>
      <c r="D237" t="inlineStr">
        <is>
          <t>DALARNAS LÄN</t>
        </is>
      </c>
      <c r="E237" t="inlineStr">
        <is>
          <t>ÄLVDALEN</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15045-2021</t>
        </is>
      </c>
      <c r="B238" s="1" t="n">
        <v>44281</v>
      </c>
      <c r="C238" s="1" t="n">
        <v>45983</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27022-2021</t>
        </is>
      </c>
      <c r="B239" s="1" t="n">
        <v>44350.38857638889</v>
      </c>
      <c r="C239" s="1" t="n">
        <v>45983</v>
      </c>
      <c r="D239" t="inlineStr">
        <is>
          <t>DALARNAS LÄN</t>
        </is>
      </c>
      <c r="E239" t="inlineStr">
        <is>
          <t>ÄLVDALEN</t>
        </is>
      </c>
      <c r="G239" t="n">
        <v>0.9</v>
      </c>
      <c r="H239" t="n">
        <v>0</v>
      </c>
      <c r="I239" t="n">
        <v>0</v>
      </c>
      <c r="J239" t="n">
        <v>0</v>
      </c>
      <c r="K239" t="n">
        <v>0</v>
      </c>
      <c r="L239" t="n">
        <v>0</v>
      </c>
      <c r="M239" t="n">
        <v>0</v>
      </c>
      <c r="N239" t="n">
        <v>0</v>
      </c>
      <c r="O239" t="n">
        <v>0</v>
      </c>
      <c r="P239" t="n">
        <v>0</v>
      </c>
      <c r="Q239" t="n">
        <v>0</v>
      </c>
      <c r="R239" s="2" t="inlineStr"/>
    </row>
    <row r="240" ht="15" customHeight="1">
      <c r="A240" t="inlineStr">
        <is>
          <t>A 7232-2021</t>
        </is>
      </c>
      <c r="B240" s="1" t="n">
        <v>44238</v>
      </c>
      <c r="C240" s="1" t="n">
        <v>45983</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17627-2022</t>
        </is>
      </c>
      <c r="B241" s="1" t="n">
        <v>44680</v>
      </c>
      <c r="C241" s="1" t="n">
        <v>45983</v>
      </c>
      <c r="D241" t="inlineStr">
        <is>
          <t>DALARNAS LÄN</t>
        </is>
      </c>
      <c r="E241" t="inlineStr">
        <is>
          <t>ÄLVDALEN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30255-2021</t>
        </is>
      </c>
      <c r="B242" s="1" t="n">
        <v>44363</v>
      </c>
      <c r="C242" s="1" t="n">
        <v>45983</v>
      </c>
      <c r="D242" t="inlineStr">
        <is>
          <t>DALARNAS LÄN</t>
        </is>
      </c>
      <c r="E242" t="inlineStr">
        <is>
          <t>ÄLVDALEN</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7530-2022</t>
        </is>
      </c>
      <c r="B243" s="1" t="n">
        <v>44607</v>
      </c>
      <c r="C243" s="1" t="n">
        <v>45983</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37490-2021</t>
        </is>
      </c>
      <c r="B244" s="1" t="n">
        <v>44399</v>
      </c>
      <c r="C244" s="1" t="n">
        <v>45983</v>
      </c>
      <c r="D244" t="inlineStr">
        <is>
          <t>DALARNAS LÄN</t>
        </is>
      </c>
      <c r="E244" t="inlineStr">
        <is>
          <t>ÄLVDALEN</t>
        </is>
      </c>
      <c r="G244" t="n">
        <v>1.5</v>
      </c>
      <c r="H244" t="n">
        <v>0</v>
      </c>
      <c r="I244" t="n">
        <v>0</v>
      </c>
      <c r="J244" t="n">
        <v>0</v>
      </c>
      <c r="K244" t="n">
        <v>0</v>
      </c>
      <c r="L244" t="n">
        <v>0</v>
      </c>
      <c r="M244" t="n">
        <v>0</v>
      </c>
      <c r="N244" t="n">
        <v>0</v>
      </c>
      <c r="O244" t="n">
        <v>0</v>
      </c>
      <c r="P244" t="n">
        <v>0</v>
      </c>
      <c r="Q244" t="n">
        <v>0</v>
      </c>
      <c r="R244" s="2" t="inlineStr"/>
    </row>
    <row r="245" ht="15" customHeight="1">
      <c r="A245" t="inlineStr">
        <is>
          <t>A 54407-2022</t>
        </is>
      </c>
      <c r="B245" s="1" t="n">
        <v>44882.54866898148</v>
      </c>
      <c r="C245" s="1" t="n">
        <v>45983</v>
      </c>
      <c r="D245" t="inlineStr">
        <is>
          <t>DALARNAS LÄN</t>
        </is>
      </c>
      <c r="E245" t="inlineStr">
        <is>
          <t>ÄLVDALEN</t>
        </is>
      </c>
      <c r="F245" t="inlineStr">
        <is>
          <t>Bergvik skog väst AB</t>
        </is>
      </c>
      <c r="G245" t="n">
        <v>3.5</v>
      </c>
      <c r="H245" t="n">
        <v>0</v>
      </c>
      <c r="I245" t="n">
        <v>0</v>
      </c>
      <c r="J245" t="n">
        <v>0</v>
      </c>
      <c r="K245" t="n">
        <v>0</v>
      </c>
      <c r="L245" t="n">
        <v>0</v>
      </c>
      <c r="M245" t="n">
        <v>0</v>
      </c>
      <c r="N245" t="n">
        <v>0</v>
      </c>
      <c r="O245" t="n">
        <v>0</v>
      </c>
      <c r="P245" t="n">
        <v>0</v>
      </c>
      <c r="Q245" t="n">
        <v>0</v>
      </c>
      <c r="R245" s="2" t="inlineStr"/>
    </row>
    <row r="246" ht="15" customHeight="1">
      <c r="A246" t="inlineStr">
        <is>
          <t>A 71282-2021</t>
        </is>
      </c>
      <c r="B246" s="1" t="n">
        <v>44539</v>
      </c>
      <c r="C246" s="1" t="n">
        <v>45983</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70252-2021</t>
        </is>
      </c>
      <c r="B247" s="1" t="n">
        <v>44536</v>
      </c>
      <c r="C247" s="1" t="n">
        <v>45983</v>
      </c>
      <c r="D247" t="inlineStr">
        <is>
          <t>DALARNAS LÄN</t>
        </is>
      </c>
      <c r="E247" t="inlineStr">
        <is>
          <t>ÄLVDALEN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31714-2021</t>
        </is>
      </c>
      <c r="B248" s="1" t="n">
        <v>44369.82663194444</v>
      </c>
      <c r="C248" s="1" t="n">
        <v>45983</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28011-2021</t>
        </is>
      </c>
      <c r="B249" s="1" t="n">
        <v>44355.35329861111</v>
      </c>
      <c r="C249" s="1" t="n">
        <v>45983</v>
      </c>
      <c r="D249" t="inlineStr">
        <is>
          <t>DALARNAS LÄN</t>
        </is>
      </c>
      <c r="E249" t="inlineStr">
        <is>
          <t>ÄLVDALEN</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12066-2022</t>
        </is>
      </c>
      <c r="B250" s="1" t="n">
        <v>44636</v>
      </c>
      <c r="C250" s="1" t="n">
        <v>45983</v>
      </c>
      <c r="D250" t="inlineStr">
        <is>
          <t>DALARNAS LÄN</t>
        </is>
      </c>
      <c r="E250" t="inlineStr">
        <is>
          <t>ÄLVDALEN</t>
        </is>
      </c>
      <c r="G250" t="n">
        <v>4.4</v>
      </c>
      <c r="H250" t="n">
        <v>0</v>
      </c>
      <c r="I250" t="n">
        <v>0</v>
      </c>
      <c r="J250" t="n">
        <v>0</v>
      </c>
      <c r="K250" t="n">
        <v>0</v>
      </c>
      <c r="L250" t="n">
        <v>0</v>
      </c>
      <c r="M250" t="n">
        <v>0</v>
      </c>
      <c r="N250" t="n">
        <v>0</v>
      </c>
      <c r="O250" t="n">
        <v>0</v>
      </c>
      <c r="P250" t="n">
        <v>0</v>
      </c>
      <c r="Q250" t="n">
        <v>0</v>
      </c>
      <c r="R250" s="2" t="inlineStr"/>
    </row>
    <row r="251" ht="15" customHeight="1">
      <c r="A251" t="inlineStr">
        <is>
          <t>A 38957-2022</t>
        </is>
      </c>
      <c r="B251" s="1" t="n">
        <v>44816</v>
      </c>
      <c r="C251" s="1" t="n">
        <v>45983</v>
      </c>
      <c r="D251" t="inlineStr">
        <is>
          <t>DALARNAS LÄN</t>
        </is>
      </c>
      <c r="E251" t="inlineStr">
        <is>
          <t>ÄLVDALEN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72846-2021</t>
        </is>
      </c>
      <c r="B252" s="1" t="n">
        <v>44547</v>
      </c>
      <c r="C252" s="1" t="n">
        <v>45983</v>
      </c>
      <c r="D252" t="inlineStr">
        <is>
          <t>DALARNAS LÄN</t>
        </is>
      </c>
      <c r="E252" t="inlineStr">
        <is>
          <t>ÄLVDALEN</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30969-2021</t>
        </is>
      </c>
      <c r="B253" s="1" t="n">
        <v>44365.89862268518</v>
      </c>
      <c r="C253" s="1" t="n">
        <v>45983</v>
      </c>
      <c r="D253" t="inlineStr">
        <is>
          <t>DALARNAS LÄN</t>
        </is>
      </c>
      <c r="E253" t="inlineStr">
        <is>
          <t>ÄLVDALEN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33689-2021</t>
        </is>
      </c>
      <c r="B254" s="1" t="n">
        <v>44378</v>
      </c>
      <c r="C254" s="1" t="n">
        <v>45983</v>
      </c>
      <c r="D254" t="inlineStr">
        <is>
          <t>DALARNAS LÄN</t>
        </is>
      </c>
      <c r="E254" t="inlineStr">
        <is>
          <t>ÄLVDALEN</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46559-2023</t>
        </is>
      </c>
      <c r="B255" s="1" t="n">
        <v>45187</v>
      </c>
      <c r="C255" s="1" t="n">
        <v>45983</v>
      </c>
      <c r="D255" t="inlineStr">
        <is>
          <t>DALARNAS LÄN</t>
        </is>
      </c>
      <c r="E255" t="inlineStr">
        <is>
          <t>ÄLVDALEN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19992-2023</t>
        </is>
      </c>
      <c r="B256" s="1" t="n">
        <v>45054.61501157407</v>
      </c>
      <c r="C256" s="1" t="n">
        <v>45983</v>
      </c>
      <c r="D256" t="inlineStr">
        <is>
          <t>DALARNAS LÄN</t>
        </is>
      </c>
      <c r="E256" t="inlineStr">
        <is>
          <t>ÄLVDALEN</t>
        </is>
      </c>
      <c r="G256" t="n">
        <v>3.9</v>
      </c>
      <c r="H256" t="n">
        <v>0</v>
      </c>
      <c r="I256" t="n">
        <v>0</v>
      </c>
      <c r="J256" t="n">
        <v>0</v>
      </c>
      <c r="K256" t="n">
        <v>0</v>
      </c>
      <c r="L256" t="n">
        <v>0</v>
      </c>
      <c r="M256" t="n">
        <v>0</v>
      </c>
      <c r="N256" t="n">
        <v>0</v>
      </c>
      <c r="O256" t="n">
        <v>0</v>
      </c>
      <c r="P256" t="n">
        <v>0</v>
      </c>
      <c r="Q256" t="n">
        <v>0</v>
      </c>
      <c r="R256" s="2" t="inlineStr"/>
    </row>
    <row r="257" ht="15" customHeight="1">
      <c r="A257" t="inlineStr">
        <is>
          <t>A 27480-2022</t>
        </is>
      </c>
      <c r="B257" s="1" t="n">
        <v>44742.60590277778</v>
      </c>
      <c r="C257" s="1" t="n">
        <v>45983</v>
      </c>
      <c r="D257" t="inlineStr">
        <is>
          <t>DALARNAS LÄN</t>
        </is>
      </c>
      <c r="E257" t="inlineStr">
        <is>
          <t>ÄLVDALEN</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30355-2021</t>
        </is>
      </c>
      <c r="B258" s="1" t="n">
        <v>44364</v>
      </c>
      <c r="C258" s="1" t="n">
        <v>45983</v>
      </c>
      <c r="D258" t="inlineStr">
        <is>
          <t>DALARNAS LÄN</t>
        </is>
      </c>
      <c r="E258" t="inlineStr">
        <is>
          <t>ÄLVDALEN</t>
        </is>
      </c>
      <c r="G258" t="n">
        <v>2.3</v>
      </c>
      <c r="H258" t="n">
        <v>0</v>
      </c>
      <c r="I258" t="n">
        <v>0</v>
      </c>
      <c r="J258" t="n">
        <v>0</v>
      </c>
      <c r="K258" t="n">
        <v>0</v>
      </c>
      <c r="L258" t="n">
        <v>0</v>
      </c>
      <c r="M258" t="n">
        <v>0</v>
      </c>
      <c r="N258" t="n">
        <v>0</v>
      </c>
      <c r="O258" t="n">
        <v>0</v>
      </c>
      <c r="P258" t="n">
        <v>0</v>
      </c>
      <c r="Q258" t="n">
        <v>0</v>
      </c>
      <c r="R258" s="2" t="inlineStr"/>
    </row>
    <row r="259" ht="15" customHeight="1">
      <c r="A259" t="inlineStr">
        <is>
          <t>A 49063-2023</t>
        </is>
      </c>
      <c r="B259" s="1" t="n">
        <v>45210</v>
      </c>
      <c r="C259" s="1" t="n">
        <v>45983</v>
      </c>
      <c r="D259" t="inlineStr">
        <is>
          <t>DALARNAS LÄN</t>
        </is>
      </c>
      <c r="E259" t="inlineStr">
        <is>
          <t>ÄLVDALEN</t>
        </is>
      </c>
      <c r="G259" t="n">
        <v>4.1</v>
      </c>
      <c r="H259" t="n">
        <v>0</v>
      </c>
      <c r="I259" t="n">
        <v>0</v>
      </c>
      <c r="J259" t="n">
        <v>0</v>
      </c>
      <c r="K259" t="n">
        <v>0</v>
      </c>
      <c r="L259" t="n">
        <v>0</v>
      </c>
      <c r="M259" t="n">
        <v>0</v>
      </c>
      <c r="N259" t="n">
        <v>0</v>
      </c>
      <c r="O259" t="n">
        <v>0</v>
      </c>
      <c r="P259" t="n">
        <v>0</v>
      </c>
      <c r="Q259" t="n">
        <v>0</v>
      </c>
      <c r="R259" s="2" t="inlineStr"/>
    </row>
    <row r="260" ht="15" customHeight="1">
      <c r="A260" t="inlineStr">
        <is>
          <t>A 45245-2022</t>
        </is>
      </c>
      <c r="B260" s="1" t="n">
        <v>44844.48002314815</v>
      </c>
      <c r="C260" s="1" t="n">
        <v>45983</v>
      </c>
      <c r="D260" t="inlineStr">
        <is>
          <t>DALARNAS LÄN</t>
        </is>
      </c>
      <c r="E260" t="inlineStr">
        <is>
          <t>ÄLVDALEN</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2381-2024</t>
        </is>
      </c>
      <c r="B261" s="1" t="n">
        <v>45310.64228009259</v>
      </c>
      <c r="C261" s="1" t="n">
        <v>45983</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7232-2025</t>
        </is>
      </c>
      <c r="B262" s="1" t="n">
        <v>45702.51415509259</v>
      </c>
      <c r="C262" s="1" t="n">
        <v>45983</v>
      </c>
      <c r="D262" t="inlineStr">
        <is>
          <t>DALARNAS LÄN</t>
        </is>
      </c>
      <c r="E262" t="inlineStr">
        <is>
          <t>ÄLVDALEN</t>
        </is>
      </c>
      <c r="F262" t="inlineStr">
        <is>
          <t>Allmännings- och besparingsskogar</t>
        </is>
      </c>
      <c r="G262" t="n">
        <v>1.4</v>
      </c>
      <c r="H262" t="n">
        <v>0</v>
      </c>
      <c r="I262" t="n">
        <v>0</v>
      </c>
      <c r="J262" t="n">
        <v>0</v>
      </c>
      <c r="K262" t="n">
        <v>0</v>
      </c>
      <c r="L262" t="n">
        <v>0</v>
      </c>
      <c r="M262" t="n">
        <v>0</v>
      </c>
      <c r="N262" t="n">
        <v>0</v>
      </c>
      <c r="O262" t="n">
        <v>0</v>
      </c>
      <c r="P262" t="n">
        <v>0</v>
      </c>
      <c r="Q262" t="n">
        <v>0</v>
      </c>
      <c r="R262" s="2" t="inlineStr"/>
    </row>
    <row r="263" ht="15" customHeight="1">
      <c r="A263" t="inlineStr">
        <is>
          <t>A 22189-2025</t>
        </is>
      </c>
      <c r="B263" s="1" t="n">
        <v>45785.62479166667</v>
      </c>
      <c r="C263" s="1" t="n">
        <v>45983</v>
      </c>
      <c r="D263" t="inlineStr">
        <is>
          <t>DALARNAS LÄN</t>
        </is>
      </c>
      <c r="E263" t="inlineStr">
        <is>
          <t>ÄLVDALEN</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26080-2021</t>
        </is>
      </c>
      <c r="B264" s="1" t="n">
        <v>44344</v>
      </c>
      <c r="C264" s="1" t="n">
        <v>45983</v>
      </c>
      <c r="D264" t="inlineStr">
        <is>
          <t>DALARNAS LÄN</t>
        </is>
      </c>
      <c r="E264" t="inlineStr">
        <is>
          <t>ÄLVDALEN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53408-2023</t>
        </is>
      </c>
      <c r="B265" s="1" t="n">
        <v>45229</v>
      </c>
      <c r="C265" s="1" t="n">
        <v>45983</v>
      </c>
      <c r="D265" t="inlineStr">
        <is>
          <t>DALARNAS LÄN</t>
        </is>
      </c>
      <c r="E265" t="inlineStr">
        <is>
          <t>ÄLVDALEN</t>
        </is>
      </c>
      <c r="G265" t="n">
        <v>2</v>
      </c>
      <c r="H265" t="n">
        <v>0</v>
      </c>
      <c r="I265" t="n">
        <v>0</v>
      </c>
      <c r="J265" t="n">
        <v>0</v>
      </c>
      <c r="K265" t="n">
        <v>0</v>
      </c>
      <c r="L265" t="n">
        <v>0</v>
      </c>
      <c r="M265" t="n">
        <v>0</v>
      </c>
      <c r="N265" t="n">
        <v>0</v>
      </c>
      <c r="O265" t="n">
        <v>0</v>
      </c>
      <c r="P265" t="n">
        <v>0</v>
      </c>
      <c r="Q265" t="n">
        <v>0</v>
      </c>
      <c r="R265" s="2" t="inlineStr"/>
    </row>
    <row r="266" ht="15" customHeight="1">
      <c r="A266" t="inlineStr">
        <is>
          <t>A 19708-2024</t>
        </is>
      </c>
      <c r="B266" s="1" t="n">
        <v>45432.55324074074</v>
      </c>
      <c r="C266" s="1" t="n">
        <v>45983</v>
      </c>
      <c r="D266" t="inlineStr">
        <is>
          <t>DALARNAS LÄN</t>
        </is>
      </c>
      <c r="E266" t="inlineStr">
        <is>
          <t>ÄLVDALEN</t>
        </is>
      </c>
      <c r="G266" t="n">
        <v>12.4</v>
      </c>
      <c r="H266" t="n">
        <v>0</v>
      </c>
      <c r="I266" t="n">
        <v>0</v>
      </c>
      <c r="J266" t="n">
        <v>0</v>
      </c>
      <c r="K266" t="n">
        <v>0</v>
      </c>
      <c r="L266" t="n">
        <v>0</v>
      </c>
      <c r="M266" t="n">
        <v>0</v>
      </c>
      <c r="N266" t="n">
        <v>0</v>
      </c>
      <c r="O266" t="n">
        <v>0</v>
      </c>
      <c r="P266" t="n">
        <v>0</v>
      </c>
      <c r="Q266" t="n">
        <v>0</v>
      </c>
      <c r="R266" s="2" t="inlineStr"/>
    </row>
    <row r="267" ht="15" customHeight="1">
      <c r="A267" t="inlineStr">
        <is>
          <t>A 20146-2025</t>
        </is>
      </c>
      <c r="B267" s="1" t="n">
        <v>45772.53324074074</v>
      </c>
      <c r="C267" s="1" t="n">
        <v>45983</v>
      </c>
      <c r="D267" t="inlineStr">
        <is>
          <t>DALARNAS LÄN</t>
        </is>
      </c>
      <c r="E267" t="inlineStr">
        <is>
          <t>ÄLVDALEN</t>
        </is>
      </c>
      <c r="F267" t="inlineStr">
        <is>
          <t>Allmännings- och besparingsskogar</t>
        </is>
      </c>
      <c r="G267" t="n">
        <v>24.3</v>
      </c>
      <c r="H267" t="n">
        <v>0</v>
      </c>
      <c r="I267" t="n">
        <v>0</v>
      </c>
      <c r="J267" t="n">
        <v>0</v>
      </c>
      <c r="K267" t="n">
        <v>0</v>
      </c>
      <c r="L267" t="n">
        <v>0</v>
      </c>
      <c r="M267" t="n">
        <v>0</v>
      </c>
      <c r="N267" t="n">
        <v>0</v>
      </c>
      <c r="O267" t="n">
        <v>0</v>
      </c>
      <c r="P267" t="n">
        <v>0</v>
      </c>
      <c r="Q267" t="n">
        <v>0</v>
      </c>
      <c r="R267" s="2" t="inlineStr"/>
    </row>
    <row r="268" ht="15" customHeight="1">
      <c r="A268" t="inlineStr">
        <is>
          <t>A 21469-2024</t>
        </is>
      </c>
      <c r="B268" s="1" t="n">
        <v>45441.486875</v>
      </c>
      <c r="C268" s="1" t="n">
        <v>45983</v>
      </c>
      <c r="D268" t="inlineStr">
        <is>
          <t>DALARNAS LÄN</t>
        </is>
      </c>
      <c r="E268" t="inlineStr">
        <is>
          <t>ÄLVDALEN</t>
        </is>
      </c>
      <c r="G268" t="n">
        <v>1</v>
      </c>
      <c r="H268" t="n">
        <v>0</v>
      </c>
      <c r="I268" t="n">
        <v>0</v>
      </c>
      <c r="J268" t="n">
        <v>0</v>
      </c>
      <c r="K268" t="n">
        <v>0</v>
      </c>
      <c r="L268" t="n">
        <v>0</v>
      </c>
      <c r="M268" t="n">
        <v>0</v>
      </c>
      <c r="N268" t="n">
        <v>0</v>
      </c>
      <c r="O268" t="n">
        <v>0</v>
      </c>
      <c r="P268" t="n">
        <v>0</v>
      </c>
      <c r="Q268" t="n">
        <v>0</v>
      </c>
      <c r="R268" s="2" t="inlineStr"/>
    </row>
    <row r="269" ht="15" customHeight="1">
      <c r="A269" t="inlineStr">
        <is>
          <t>A 22577-2025</t>
        </is>
      </c>
      <c r="B269" s="1" t="n">
        <v>45789.36928240741</v>
      </c>
      <c r="C269" s="1" t="n">
        <v>45983</v>
      </c>
      <c r="D269" t="inlineStr">
        <is>
          <t>DALARNAS LÄN</t>
        </is>
      </c>
      <c r="E269" t="inlineStr">
        <is>
          <t>ÄLVDALEN</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18075-2024</t>
        </is>
      </c>
      <c r="B270" s="1" t="n">
        <v>45420.43453703704</v>
      </c>
      <c r="C270" s="1" t="n">
        <v>45983</v>
      </c>
      <c r="D270" t="inlineStr">
        <is>
          <t>DALARNAS LÄN</t>
        </is>
      </c>
      <c r="E270" t="inlineStr">
        <is>
          <t>ÄLVDALEN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22303-2025</t>
        </is>
      </c>
      <c r="B271" s="1" t="n">
        <v>45786</v>
      </c>
      <c r="C271" s="1" t="n">
        <v>45983</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14489-2025</t>
        </is>
      </c>
      <c r="B272" s="1" t="n">
        <v>45741.60680555556</v>
      </c>
      <c r="C272" s="1" t="n">
        <v>45983</v>
      </c>
      <c r="D272" t="inlineStr">
        <is>
          <t>DALARNAS LÄN</t>
        </is>
      </c>
      <c r="E272" t="inlineStr">
        <is>
          <t>ÄLVDALEN</t>
        </is>
      </c>
      <c r="G272" t="n">
        <v>7.9</v>
      </c>
      <c r="H272" t="n">
        <v>0</v>
      </c>
      <c r="I272" t="n">
        <v>0</v>
      </c>
      <c r="J272" t="n">
        <v>0</v>
      </c>
      <c r="K272" t="n">
        <v>0</v>
      </c>
      <c r="L272" t="n">
        <v>0</v>
      </c>
      <c r="M272" t="n">
        <v>0</v>
      </c>
      <c r="N272" t="n">
        <v>0</v>
      </c>
      <c r="O272" t="n">
        <v>0</v>
      </c>
      <c r="P272" t="n">
        <v>0</v>
      </c>
      <c r="Q272" t="n">
        <v>0</v>
      </c>
      <c r="R272" s="2" t="inlineStr"/>
    </row>
    <row r="273" ht="15" customHeight="1">
      <c r="A273" t="inlineStr">
        <is>
          <t>A 22559-2025</t>
        </is>
      </c>
      <c r="B273" s="1" t="n">
        <v>45789.32916666667</v>
      </c>
      <c r="C273" s="1" t="n">
        <v>45983</v>
      </c>
      <c r="D273" t="inlineStr">
        <is>
          <t>DALARNAS LÄN</t>
        </is>
      </c>
      <c r="E273" t="inlineStr">
        <is>
          <t>ÄLVDALEN</t>
        </is>
      </c>
      <c r="F273" t="inlineStr">
        <is>
          <t>Allmännings- och besparingsskogar</t>
        </is>
      </c>
      <c r="G273" t="n">
        <v>6.4</v>
      </c>
      <c r="H273" t="n">
        <v>0</v>
      </c>
      <c r="I273" t="n">
        <v>0</v>
      </c>
      <c r="J273" t="n">
        <v>0</v>
      </c>
      <c r="K273" t="n">
        <v>0</v>
      </c>
      <c r="L273" t="n">
        <v>0</v>
      </c>
      <c r="M273" t="n">
        <v>0</v>
      </c>
      <c r="N273" t="n">
        <v>0</v>
      </c>
      <c r="O273" t="n">
        <v>0</v>
      </c>
      <c r="P273" t="n">
        <v>0</v>
      </c>
      <c r="Q273" t="n">
        <v>0</v>
      </c>
      <c r="R273" s="2" t="inlineStr"/>
    </row>
    <row r="274" ht="15" customHeight="1">
      <c r="A274" t="inlineStr">
        <is>
          <t>A 22631-2025</t>
        </is>
      </c>
      <c r="B274" s="1" t="n">
        <v>45789.44056712963</v>
      </c>
      <c r="C274" s="1" t="n">
        <v>45983</v>
      </c>
      <c r="D274" t="inlineStr">
        <is>
          <t>DALARNAS LÄN</t>
        </is>
      </c>
      <c r="E274" t="inlineStr">
        <is>
          <t>ÄLVDALEN</t>
        </is>
      </c>
      <c r="F274" t="inlineStr">
        <is>
          <t>Allmännings- och besparingsskogar</t>
        </is>
      </c>
      <c r="G274" t="n">
        <v>2</v>
      </c>
      <c r="H274" t="n">
        <v>0</v>
      </c>
      <c r="I274" t="n">
        <v>0</v>
      </c>
      <c r="J274" t="n">
        <v>0</v>
      </c>
      <c r="K274" t="n">
        <v>0</v>
      </c>
      <c r="L274" t="n">
        <v>0</v>
      </c>
      <c r="M274" t="n">
        <v>0</v>
      </c>
      <c r="N274" t="n">
        <v>0</v>
      </c>
      <c r="O274" t="n">
        <v>0</v>
      </c>
      <c r="P274" t="n">
        <v>0</v>
      </c>
      <c r="Q274" t="n">
        <v>0</v>
      </c>
      <c r="R274" s="2" t="inlineStr"/>
    </row>
    <row r="275" ht="15" customHeight="1">
      <c r="A275" t="inlineStr">
        <is>
          <t>A 21832-2021</t>
        </is>
      </c>
      <c r="B275" s="1" t="n">
        <v>44322.6378125</v>
      </c>
      <c r="C275" s="1" t="n">
        <v>45983</v>
      </c>
      <c r="D275" t="inlineStr">
        <is>
          <t>DALARNAS LÄN</t>
        </is>
      </c>
      <c r="E275" t="inlineStr">
        <is>
          <t>ÄLVDALEN</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28473-2024</t>
        </is>
      </c>
      <c r="B276" s="1" t="n">
        <v>45477.73017361111</v>
      </c>
      <c r="C276" s="1" t="n">
        <v>45983</v>
      </c>
      <c r="D276" t="inlineStr">
        <is>
          <t>DALARNAS LÄN</t>
        </is>
      </c>
      <c r="E276" t="inlineStr">
        <is>
          <t>ÄLVDALEN</t>
        </is>
      </c>
      <c r="G276" t="n">
        <v>5</v>
      </c>
      <c r="H276" t="n">
        <v>0</v>
      </c>
      <c r="I276" t="n">
        <v>0</v>
      </c>
      <c r="J276" t="n">
        <v>0</v>
      </c>
      <c r="K276" t="n">
        <v>0</v>
      </c>
      <c r="L276" t="n">
        <v>0</v>
      </c>
      <c r="M276" t="n">
        <v>0</v>
      </c>
      <c r="N276" t="n">
        <v>0</v>
      </c>
      <c r="O276" t="n">
        <v>0</v>
      </c>
      <c r="P276" t="n">
        <v>0</v>
      </c>
      <c r="Q276" t="n">
        <v>0</v>
      </c>
      <c r="R276" s="2" t="inlineStr"/>
    </row>
    <row r="277" ht="15" customHeight="1">
      <c r="A277" t="inlineStr">
        <is>
          <t>A 28479-2024</t>
        </is>
      </c>
      <c r="B277" s="1" t="n">
        <v>45477.74017361111</v>
      </c>
      <c r="C277" s="1" t="n">
        <v>45983</v>
      </c>
      <c r="D277" t="inlineStr">
        <is>
          <t>DALARNAS LÄN</t>
        </is>
      </c>
      <c r="E277" t="inlineStr">
        <is>
          <t>ÄLVDALEN</t>
        </is>
      </c>
      <c r="G277" t="n">
        <v>4.1</v>
      </c>
      <c r="H277" t="n">
        <v>0</v>
      </c>
      <c r="I277" t="n">
        <v>0</v>
      </c>
      <c r="J277" t="n">
        <v>0</v>
      </c>
      <c r="K277" t="n">
        <v>0</v>
      </c>
      <c r="L277" t="n">
        <v>0</v>
      </c>
      <c r="M277" t="n">
        <v>0</v>
      </c>
      <c r="N277" t="n">
        <v>0</v>
      </c>
      <c r="O277" t="n">
        <v>0</v>
      </c>
      <c r="P277" t="n">
        <v>0</v>
      </c>
      <c r="Q277" t="n">
        <v>0</v>
      </c>
      <c r="R277" s="2" t="inlineStr"/>
    </row>
    <row r="278" ht="15" customHeight="1">
      <c r="A278" t="inlineStr">
        <is>
          <t>A 22909-2025</t>
        </is>
      </c>
      <c r="B278" s="1" t="n">
        <v>45790.42219907408</v>
      </c>
      <c r="C278" s="1" t="n">
        <v>45983</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23555-2025</t>
        </is>
      </c>
      <c r="B279" s="1" t="n">
        <v>45792.57824074074</v>
      </c>
      <c r="C279" s="1" t="n">
        <v>45983</v>
      </c>
      <c r="D279" t="inlineStr">
        <is>
          <t>DALARNAS LÄN</t>
        </is>
      </c>
      <c r="E279" t="inlineStr">
        <is>
          <t>ÄLVDALEN</t>
        </is>
      </c>
      <c r="G279" t="n">
        <v>3.1</v>
      </c>
      <c r="H279" t="n">
        <v>0</v>
      </c>
      <c r="I279" t="n">
        <v>0</v>
      </c>
      <c r="J279" t="n">
        <v>0</v>
      </c>
      <c r="K279" t="n">
        <v>0</v>
      </c>
      <c r="L279" t="n">
        <v>0</v>
      </c>
      <c r="M279" t="n">
        <v>0</v>
      </c>
      <c r="N279" t="n">
        <v>0</v>
      </c>
      <c r="O279" t="n">
        <v>0</v>
      </c>
      <c r="P279" t="n">
        <v>0</v>
      </c>
      <c r="Q279" t="n">
        <v>0</v>
      </c>
      <c r="R279" s="2" t="inlineStr"/>
    </row>
    <row r="280" ht="15" customHeight="1">
      <c r="A280" t="inlineStr">
        <is>
          <t>A 33102-2023</t>
        </is>
      </c>
      <c r="B280" s="1" t="n">
        <v>45114</v>
      </c>
      <c r="C280" s="1" t="n">
        <v>45983</v>
      </c>
      <c r="D280" t="inlineStr">
        <is>
          <t>DALARNAS LÄN</t>
        </is>
      </c>
      <c r="E280" t="inlineStr">
        <is>
          <t>ÄLVDALEN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51967-2023</t>
        </is>
      </c>
      <c r="B281" s="1" t="n">
        <v>45223.56440972222</v>
      </c>
      <c r="C281" s="1" t="n">
        <v>45983</v>
      </c>
      <c r="D281" t="inlineStr">
        <is>
          <t>DALARNAS LÄN</t>
        </is>
      </c>
      <c r="E281" t="inlineStr">
        <is>
          <t>ÄLVDALEN</t>
        </is>
      </c>
      <c r="G281" t="n">
        <v>2.2</v>
      </c>
      <c r="H281" t="n">
        <v>0</v>
      </c>
      <c r="I281" t="n">
        <v>0</v>
      </c>
      <c r="J281" t="n">
        <v>0</v>
      </c>
      <c r="K281" t="n">
        <v>0</v>
      </c>
      <c r="L281" t="n">
        <v>0</v>
      </c>
      <c r="M281" t="n">
        <v>0</v>
      </c>
      <c r="N281" t="n">
        <v>0</v>
      </c>
      <c r="O281" t="n">
        <v>0</v>
      </c>
      <c r="P281" t="n">
        <v>0</v>
      </c>
      <c r="Q281" t="n">
        <v>0</v>
      </c>
      <c r="R281" s="2" t="inlineStr"/>
    </row>
    <row r="282" ht="15" customHeight="1">
      <c r="A282" t="inlineStr">
        <is>
          <t>A 23219-2025</t>
        </is>
      </c>
      <c r="B282" s="1" t="n">
        <v>45791.47893518519</v>
      </c>
      <c r="C282" s="1" t="n">
        <v>45983</v>
      </c>
      <c r="D282" t="inlineStr">
        <is>
          <t>DALARNAS LÄN</t>
        </is>
      </c>
      <c r="E282" t="inlineStr">
        <is>
          <t>ÄLVDALEN</t>
        </is>
      </c>
      <c r="F282" t="inlineStr">
        <is>
          <t>Bergvik skog öst AB</t>
        </is>
      </c>
      <c r="G282" t="n">
        <v>16.7</v>
      </c>
      <c r="H282" t="n">
        <v>0</v>
      </c>
      <c r="I282" t="n">
        <v>0</v>
      </c>
      <c r="J282" t="n">
        <v>0</v>
      </c>
      <c r="K282" t="n">
        <v>0</v>
      </c>
      <c r="L282" t="n">
        <v>0</v>
      </c>
      <c r="M282" t="n">
        <v>0</v>
      </c>
      <c r="N282" t="n">
        <v>0</v>
      </c>
      <c r="O282" t="n">
        <v>0</v>
      </c>
      <c r="P282" t="n">
        <v>0</v>
      </c>
      <c r="Q282" t="n">
        <v>0</v>
      </c>
      <c r="R282" s="2" t="inlineStr"/>
    </row>
    <row r="283" ht="15" customHeight="1">
      <c r="A283" t="inlineStr">
        <is>
          <t>A 38277-2024</t>
        </is>
      </c>
      <c r="B283" s="1" t="n">
        <v>45545.61171296296</v>
      </c>
      <c r="C283" s="1" t="n">
        <v>45983</v>
      </c>
      <c r="D283" t="inlineStr">
        <is>
          <t>DALARNAS LÄN</t>
        </is>
      </c>
      <c r="E283" t="inlineStr">
        <is>
          <t>ÄLVDALEN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8069-2025</t>
        </is>
      </c>
      <c r="B284" s="1" t="n">
        <v>45707.64342592593</v>
      </c>
      <c r="C284" s="1" t="n">
        <v>45983</v>
      </c>
      <c r="D284" t="inlineStr">
        <is>
          <t>DALARNAS LÄN</t>
        </is>
      </c>
      <c r="E284" t="inlineStr">
        <is>
          <t>ÄLVDALEN</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43351-2024</t>
        </is>
      </c>
      <c r="B285" s="1" t="n">
        <v>45568.56023148148</v>
      </c>
      <c r="C285" s="1" t="n">
        <v>45983</v>
      </c>
      <c r="D285" t="inlineStr">
        <is>
          <t>DALARNAS LÄN</t>
        </is>
      </c>
      <c r="E285" t="inlineStr">
        <is>
          <t>ÄLVDALEN</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32361-2024</t>
        </is>
      </c>
      <c r="B286" s="1" t="n">
        <v>45512.56725694444</v>
      </c>
      <c r="C286" s="1" t="n">
        <v>45983</v>
      </c>
      <c r="D286" t="inlineStr">
        <is>
          <t>DALARNAS LÄN</t>
        </is>
      </c>
      <c r="E286" t="inlineStr">
        <is>
          <t>ÄLVDALEN</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32363-2024</t>
        </is>
      </c>
      <c r="B287" s="1" t="n">
        <v>45512</v>
      </c>
      <c r="C287" s="1" t="n">
        <v>45983</v>
      </c>
      <c r="D287" t="inlineStr">
        <is>
          <t>DALARNAS LÄN</t>
        </is>
      </c>
      <c r="E287" t="inlineStr">
        <is>
          <t>ÄLVDALEN</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39041-2025</t>
        </is>
      </c>
      <c r="B288" s="1" t="n">
        <v>45888</v>
      </c>
      <c r="C288" s="1" t="n">
        <v>45983</v>
      </c>
      <c r="D288" t="inlineStr">
        <is>
          <t>DALARNAS LÄN</t>
        </is>
      </c>
      <c r="E288" t="inlineStr">
        <is>
          <t>ÄLVDALEN</t>
        </is>
      </c>
      <c r="G288" t="n">
        <v>4.7</v>
      </c>
      <c r="H288" t="n">
        <v>0</v>
      </c>
      <c r="I288" t="n">
        <v>0</v>
      </c>
      <c r="J288" t="n">
        <v>0</v>
      </c>
      <c r="K288" t="n">
        <v>0</v>
      </c>
      <c r="L288" t="n">
        <v>0</v>
      </c>
      <c r="M288" t="n">
        <v>0</v>
      </c>
      <c r="N288" t="n">
        <v>0</v>
      </c>
      <c r="O288" t="n">
        <v>0</v>
      </c>
      <c r="P288" t="n">
        <v>0</v>
      </c>
      <c r="Q288" t="n">
        <v>0</v>
      </c>
      <c r="R288" s="2" t="inlineStr"/>
    </row>
    <row r="289" ht="15" customHeight="1">
      <c r="A289" t="inlineStr">
        <is>
          <t>A 38754-2025</t>
        </is>
      </c>
      <c r="B289" s="1" t="n">
        <v>45887.39354166666</v>
      </c>
      <c r="C289" s="1" t="n">
        <v>45983</v>
      </c>
      <c r="D289" t="inlineStr">
        <is>
          <t>DALARNAS LÄN</t>
        </is>
      </c>
      <c r="E289" t="inlineStr">
        <is>
          <t>ÄLVDALEN</t>
        </is>
      </c>
      <c r="F289" t="inlineStr">
        <is>
          <t>Bergvik skog väst AB</t>
        </is>
      </c>
      <c r="G289" t="n">
        <v>7.1</v>
      </c>
      <c r="H289" t="n">
        <v>0</v>
      </c>
      <c r="I289" t="n">
        <v>0</v>
      </c>
      <c r="J289" t="n">
        <v>0</v>
      </c>
      <c r="K289" t="n">
        <v>0</v>
      </c>
      <c r="L289" t="n">
        <v>0</v>
      </c>
      <c r="M289" t="n">
        <v>0</v>
      </c>
      <c r="N289" t="n">
        <v>0</v>
      </c>
      <c r="O289" t="n">
        <v>0</v>
      </c>
      <c r="P289" t="n">
        <v>0</v>
      </c>
      <c r="Q289" t="n">
        <v>0</v>
      </c>
      <c r="R289" s="2" t="inlineStr"/>
    </row>
    <row r="290" ht="15" customHeight="1">
      <c r="A290" t="inlineStr">
        <is>
          <t>A 26656-2025</t>
        </is>
      </c>
      <c r="B290" s="1" t="n">
        <v>45810</v>
      </c>
      <c r="C290" s="1" t="n">
        <v>45983</v>
      </c>
      <c r="D290" t="inlineStr">
        <is>
          <t>DALARNAS LÄN</t>
        </is>
      </c>
      <c r="E290" t="inlineStr">
        <is>
          <t>ÄLVDALEN</t>
        </is>
      </c>
      <c r="G290" t="n">
        <v>1.8</v>
      </c>
      <c r="H290" t="n">
        <v>0</v>
      </c>
      <c r="I290" t="n">
        <v>0</v>
      </c>
      <c r="J290" t="n">
        <v>0</v>
      </c>
      <c r="K290" t="n">
        <v>0</v>
      </c>
      <c r="L290" t="n">
        <v>0</v>
      </c>
      <c r="M290" t="n">
        <v>0</v>
      </c>
      <c r="N290" t="n">
        <v>0</v>
      </c>
      <c r="O290" t="n">
        <v>0</v>
      </c>
      <c r="P290" t="n">
        <v>0</v>
      </c>
      <c r="Q290" t="n">
        <v>0</v>
      </c>
      <c r="R290" s="2" t="inlineStr"/>
    </row>
    <row r="291" ht="15" customHeight="1">
      <c r="A291" t="inlineStr">
        <is>
          <t>A 23328-2024</t>
        </is>
      </c>
      <c r="B291" s="1" t="n">
        <v>45453.46716435185</v>
      </c>
      <c r="C291" s="1" t="n">
        <v>45983</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47645-2024</t>
        </is>
      </c>
      <c r="B292" s="1" t="n">
        <v>45588.37167824074</v>
      </c>
      <c r="C292" s="1" t="n">
        <v>45983</v>
      </c>
      <c r="D292" t="inlineStr">
        <is>
          <t>DALARNAS LÄN</t>
        </is>
      </c>
      <c r="E292" t="inlineStr">
        <is>
          <t>ÄLVDALEN</t>
        </is>
      </c>
      <c r="G292" t="n">
        <v>4.6</v>
      </c>
      <c r="H292" t="n">
        <v>0</v>
      </c>
      <c r="I292" t="n">
        <v>0</v>
      </c>
      <c r="J292" t="n">
        <v>0</v>
      </c>
      <c r="K292" t="n">
        <v>0</v>
      </c>
      <c r="L292" t="n">
        <v>0</v>
      </c>
      <c r="M292" t="n">
        <v>0</v>
      </c>
      <c r="N292" t="n">
        <v>0</v>
      </c>
      <c r="O292" t="n">
        <v>0</v>
      </c>
      <c r="P292" t="n">
        <v>0</v>
      </c>
      <c r="Q292" t="n">
        <v>0</v>
      </c>
      <c r="R292" s="2" t="inlineStr"/>
    </row>
    <row r="293" ht="15" customHeight="1">
      <c r="A293" t="inlineStr">
        <is>
          <t>A 27615-2023</t>
        </is>
      </c>
      <c r="B293" s="1" t="n">
        <v>45097</v>
      </c>
      <c r="C293" s="1" t="n">
        <v>45983</v>
      </c>
      <c r="D293" t="inlineStr">
        <is>
          <t>DALARNAS LÄN</t>
        </is>
      </c>
      <c r="E293" t="inlineStr">
        <is>
          <t>ÄLVDALEN</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31047-2024</t>
        </is>
      </c>
      <c r="B294" s="1" t="n">
        <v>45502.33021990741</v>
      </c>
      <c r="C294" s="1" t="n">
        <v>45983</v>
      </c>
      <c r="D294" t="inlineStr">
        <is>
          <t>DALARNAS LÄN</t>
        </is>
      </c>
      <c r="E294" t="inlineStr">
        <is>
          <t>ÄLVDALEN</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45167-2022</t>
        </is>
      </c>
      <c r="B295" s="1" t="n">
        <v>44844</v>
      </c>
      <c r="C295" s="1" t="n">
        <v>45983</v>
      </c>
      <c r="D295" t="inlineStr">
        <is>
          <t>DALARNAS LÄN</t>
        </is>
      </c>
      <c r="E295" t="inlineStr">
        <is>
          <t>ÄLVDALEN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39893-2025</t>
        </is>
      </c>
      <c r="B296" s="1" t="n">
        <v>45891.63013888889</v>
      </c>
      <c r="C296" s="1" t="n">
        <v>45983</v>
      </c>
      <c r="D296" t="inlineStr">
        <is>
          <t>DALARNAS LÄN</t>
        </is>
      </c>
      <c r="E296" t="inlineStr">
        <is>
          <t>ÄLVDALEN</t>
        </is>
      </c>
      <c r="F296" t="inlineStr">
        <is>
          <t>Kommuner</t>
        </is>
      </c>
      <c r="G296" t="n">
        <v>5.8</v>
      </c>
      <c r="H296" t="n">
        <v>0</v>
      </c>
      <c r="I296" t="n">
        <v>0</v>
      </c>
      <c r="J296" t="n">
        <v>0</v>
      </c>
      <c r="K296" t="n">
        <v>0</v>
      </c>
      <c r="L296" t="n">
        <v>0</v>
      </c>
      <c r="M296" t="n">
        <v>0</v>
      </c>
      <c r="N296" t="n">
        <v>0</v>
      </c>
      <c r="O296" t="n">
        <v>0</v>
      </c>
      <c r="P296" t="n">
        <v>0</v>
      </c>
      <c r="Q296" t="n">
        <v>0</v>
      </c>
      <c r="R296" s="2" t="inlineStr"/>
    </row>
    <row r="297" ht="15" customHeight="1">
      <c r="A297" t="inlineStr">
        <is>
          <t>A 55778-2021</t>
        </is>
      </c>
      <c r="B297" s="1" t="n">
        <v>44476</v>
      </c>
      <c r="C297" s="1" t="n">
        <v>45983</v>
      </c>
      <c r="D297" t="inlineStr">
        <is>
          <t>DALARNAS LÄN</t>
        </is>
      </c>
      <c r="E297" t="inlineStr">
        <is>
          <t>ÄLVDALEN</t>
        </is>
      </c>
      <c r="G297" t="n">
        <v>3.2</v>
      </c>
      <c r="H297" t="n">
        <v>0</v>
      </c>
      <c r="I297" t="n">
        <v>0</v>
      </c>
      <c r="J297" t="n">
        <v>0</v>
      </c>
      <c r="K297" t="n">
        <v>0</v>
      </c>
      <c r="L297" t="n">
        <v>0</v>
      </c>
      <c r="M297" t="n">
        <v>0</v>
      </c>
      <c r="N297" t="n">
        <v>0</v>
      </c>
      <c r="O297" t="n">
        <v>0</v>
      </c>
      <c r="P297" t="n">
        <v>0</v>
      </c>
      <c r="Q297" t="n">
        <v>0</v>
      </c>
      <c r="R297" s="2" t="inlineStr"/>
    </row>
    <row r="298" ht="15" customHeight="1">
      <c r="A298" t="inlineStr">
        <is>
          <t>A 24637-2025</t>
        </is>
      </c>
      <c r="B298" s="1" t="n">
        <v>45798.616875</v>
      </c>
      <c r="C298" s="1" t="n">
        <v>45983</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56882-2022</t>
        </is>
      </c>
      <c r="B299" s="1" t="n">
        <v>44894</v>
      </c>
      <c r="C299" s="1" t="n">
        <v>45983</v>
      </c>
      <c r="D299" t="inlineStr">
        <is>
          <t>DALARNAS LÄN</t>
        </is>
      </c>
      <c r="E299" t="inlineStr">
        <is>
          <t>ÄLVDALEN</t>
        </is>
      </c>
      <c r="G299" t="n">
        <v>7.4</v>
      </c>
      <c r="H299" t="n">
        <v>0</v>
      </c>
      <c r="I299" t="n">
        <v>0</v>
      </c>
      <c r="J299" t="n">
        <v>0</v>
      </c>
      <c r="K299" t="n">
        <v>0</v>
      </c>
      <c r="L299" t="n">
        <v>0</v>
      </c>
      <c r="M299" t="n">
        <v>0</v>
      </c>
      <c r="N299" t="n">
        <v>0</v>
      </c>
      <c r="O299" t="n">
        <v>0</v>
      </c>
      <c r="P299" t="n">
        <v>0</v>
      </c>
      <c r="Q299" t="n">
        <v>0</v>
      </c>
      <c r="R299" s="2" t="inlineStr"/>
    </row>
    <row r="300" ht="15" customHeight="1">
      <c r="A300" t="inlineStr">
        <is>
          <t>A 39789-2025</t>
        </is>
      </c>
      <c r="B300" s="1" t="n">
        <v>45891.48471064815</v>
      </c>
      <c r="C300" s="1" t="n">
        <v>45983</v>
      </c>
      <c r="D300" t="inlineStr">
        <is>
          <t>DALARNAS LÄN</t>
        </is>
      </c>
      <c r="E300" t="inlineStr">
        <is>
          <t>ÄLVDALEN</t>
        </is>
      </c>
      <c r="G300" t="n">
        <v>2.2</v>
      </c>
      <c r="H300" t="n">
        <v>0</v>
      </c>
      <c r="I300" t="n">
        <v>0</v>
      </c>
      <c r="J300" t="n">
        <v>0</v>
      </c>
      <c r="K300" t="n">
        <v>0</v>
      </c>
      <c r="L300" t="n">
        <v>0</v>
      </c>
      <c r="M300" t="n">
        <v>0</v>
      </c>
      <c r="N300" t="n">
        <v>0</v>
      </c>
      <c r="O300" t="n">
        <v>0</v>
      </c>
      <c r="P300" t="n">
        <v>0</v>
      </c>
      <c r="Q300" t="n">
        <v>0</v>
      </c>
      <c r="R300" s="2" t="inlineStr"/>
    </row>
    <row r="301" ht="15" customHeight="1">
      <c r="A301" t="inlineStr">
        <is>
          <t>A 40081-2025</t>
        </is>
      </c>
      <c r="B301" s="1" t="n">
        <v>45894.46609953704</v>
      </c>
      <c r="C301" s="1" t="n">
        <v>45983</v>
      </c>
      <c r="D301" t="inlineStr">
        <is>
          <t>DALARNAS LÄN</t>
        </is>
      </c>
      <c r="E301" t="inlineStr">
        <is>
          <t>ÄLVDALEN</t>
        </is>
      </c>
      <c r="F301" t="inlineStr">
        <is>
          <t>Övriga statliga verk och myndigheter</t>
        </is>
      </c>
      <c r="G301" t="n">
        <v>1.4</v>
      </c>
      <c r="H301" t="n">
        <v>0</v>
      </c>
      <c r="I301" t="n">
        <v>0</v>
      </c>
      <c r="J301" t="n">
        <v>0</v>
      </c>
      <c r="K301" t="n">
        <v>0</v>
      </c>
      <c r="L301" t="n">
        <v>0</v>
      </c>
      <c r="M301" t="n">
        <v>0</v>
      </c>
      <c r="N301" t="n">
        <v>0</v>
      </c>
      <c r="O301" t="n">
        <v>0</v>
      </c>
      <c r="P301" t="n">
        <v>0</v>
      </c>
      <c r="Q301" t="n">
        <v>0</v>
      </c>
      <c r="R301" s="2" t="inlineStr"/>
    </row>
    <row r="302" ht="15" customHeight="1">
      <c r="A302" t="inlineStr">
        <is>
          <t>A 39755-2025</t>
        </is>
      </c>
      <c r="B302" s="1" t="n">
        <v>45891</v>
      </c>
      <c r="C302" s="1" t="n">
        <v>45983</v>
      </c>
      <c r="D302" t="inlineStr">
        <is>
          <t>DALARNAS LÄN</t>
        </is>
      </c>
      <c r="E302" t="inlineStr">
        <is>
          <t>ÄLVDALEN</t>
        </is>
      </c>
      <c r="G302" t="n">
        <v>1.2</v>
      </c>
      <c r="H302" t="n">
        <v>0</v>
      </c>
      <c r="I302" t="n">
        <v>0</v>
      </c>
      <c r="J302" t="n">
        <v>0</v>
      </c>
      <c r="K302" t="n">
        <v>0</v>
      </c>
      <c r="L302" t="n">
        <v>0</v>
      </c>
      <c r="M302" t="n">
        <v>0</v>
      </c>
      <c r="N302" t="n">
        <v>0</v>
      </c>
      <c r="O302" t="n">
        <v>0</v>
      </c>
      <c r="P302" t="n">
        <v>0</v>
      </c>
      <c r="Q302" t="n">
        <v>0</v>
      </c>
      <c r="R302" s="2" t="inlineStr"/>
    </row>
    <row r="303" ht="15" customHeight="1">
      <c r="A303" t="inlineStr">
        <is>
          <t>A 24950-2025</t>
        </is>
      </c>
      <c r="B303" s="1" t="n">
        <v>45799.56943287037</v>
      </c>
      <c r="C303" s="1" t="n">
        <v>45983</v>
      </c>
      <c r="D303" t="inlineStr">
        <is>
          <t>DALARNAS LÄN</t>
        </is>
      </c>
      <c r="E303" t="inlineStr">
        <is>
          <t>ÄLVDALEN</t>
        </is>
      </c>
      <c r="F303" t="inlineStr">
        <is>
          <t>Sveaskog</t>
        </is>
      </c>
      <c r="G303" t="n">
        <v>0.4</v>
      </c>
      <c r="H303" t="n">
        <v>0</v>
      </c>
      <c r="I303" t="n">
        <v>0</v>
      </c>
      <c r="J303" t="n">
        <v>0</v>
      </c>
      <c r="K303" t="n">
        <v>0</v>
      </c>
      <c r="L303" t="n">
        <v>0</v>
      </c>
      <c r="M303" t="n">
        <v>0</v>
      </c>
      <c r="N303" t="n">
        <v>0</v>
      </c>
      <c r="O303" t="n">
        <v>0</v>
      </c>
      <c r="P303" t="n">
        <v>0</v>
      </c>
      <c r="Q303" t="n">
        <v>0</v>
      </c>
      <c r="R303" s="2" t="inlineStr"/>
    </row>
    <row r="304" ht="15" customHeight="1">
      <c r="A304" t="inlineStr">
        <is>
          <t>A 40954-2025</t>
        </is>
      </c>
      <c r="B304" s="1" t="n">
        <v>45897.67196759259</v>
      </c>
      <c r="C304" s="1" t="n">
        <v>45983</v>
      </c>
      <c r="D304" t="inlineStr">
        <is>
          <t>DALARNAS LÄN</t>
        </is>
      </c>
      <c r="E304" t="inlineStr">
        <is>
          <t>ÄLVDALEN</t>
        </is>
      </c>
      <c r="G304" t="n">
        <v>2.9</v>
      </c>
      <c r="H304" t="n">
        <v>0</v>
      </c>
      <c r="I304" t="n">
        <v>0</v>
      </c>
      <c r="J304" t="n">
        <v>0</v>
      </c>
      <c r="K304" t="n">
        <v>0</v>
      </c>
      <c r="L304" t="n">
        <v>0</v>
      </c>
      <c r="M304" t="n">
        <v>0</v>
      </c>
      <c r="N304" t="n">
        <v>0</v>
      </c>
      <c r="O304" t="n">
        <v>0</v>
      </c>
      <c r="P304" t="n">
        <v>0</v>
      </c>
      <c r="Q304" t="n">
        <v>0</v>
      </c>
      <c r="R304" s="2" t="inlineStr"/>
    </row>
    <row r="305" ht="15" customHeight="1">
      <c r="A305" t="inlineStr">
        <is>
          <t>A 25086-2025</t>
        </is>
      </c>
      <c r="B305" s="1" t="n">
        <v>45800</v>
      </c>
      <c r="C305" s="1" t="n">
        <v>45983</v>
      </c>
      <c r="D305" t="inlineStr">
        <is>
          <t>DALARNAS LÄN</t>
        </is>
      </c>
      <c r="E305" t="inlineStr">
        <is>
          <t>ÄLVDALEN</t>
        </is>
      </c>
      <c r="F305" t="inlineStr">
        <is>
          <t>Sveaskog</t>
        </is>
      </c>
      <c r="G305" t="n">
        <v>10.7</v>
      </c>
      <c r="H305" t="n">
        <v>0</v>
      </c>
      <c r="I305" t="n">
        <v>0</v>
      </c>
      <c r="J305" t="n">
        <v>0</v>
      </c>
      <c r="K305" t="n">
        <v>0</v>
      </c>
      <c r="L305" t="n">
        <v>0</v>
      </c>
      <c r="M305" t="n">
        <v>0</v>
      </c>
      <c r="N305" t="n">
        <v>0</v>
      </c>
      <c r="O305" t="n">
        <v>0</v>
      </c>
      <c r="P305" t="n">
        <v>0</v>
      </c>
      <c r="Q305" t="n">
        <v>0</v>
      </c>
      <c r="R305" s="2" t="inlineStr"/>
    </row>
    <row r="306" ht="15" customHeight="1">
      <c r="A306" t="inlineStr">
        <is>
          <t>A 5170-2024</t>
        </is>
      </c>
      <c r="B306" s="1" t="n">
        <v>45330.55390046296</v>
      </c>
      <c r="C306" s="1" t="n">
        <v>45983</v>
      </c>
      <c r="D306" t="inlineStr">
        <is>
          <t>DALARNAS LÄN</t>
        </is>
      </c>
      <c r="E306" t="inlineStr">
        <is>
          <t>ÄLVDALEN</t>
        </is>
      </c>
      <c r="G306" t="n">
        <v>15.8</v>
      </c>
      <c r="H306" t="n">
        <v>0</v>
      </c>
      <c r="I306" t="n">
        <v>0</v>
      </c>
      <c r="J306" t="n">
        <v>0</v>
      </c>
      <c r="K306" t="n">
        <v>0</v>
      </c>
      <c r="L306" t="n">
        <v>0</v>
      </c>
      <c r="M306" t="n">
        <v>0</v>
      </c>
      <c r="N306" t="n">
        <v>0</v>
      </c>
      <c r="O306" t="n">
        <v>0</v>
      </c>
      <c r="P306" t="n">
        <v>0</v>
      </c>
      <c r="Q306" t="n">
        <v>0</v>
      </c>
      <c r="R306" s="2" t="inlineStr"/>
    </row>
    <row r="307" ht="15" customHeight="1">
      <c r="A307" t="inlineStr">
        <is>
          <t>A 41115-2025</t>
        </is>
      </c>
      <c r="B307" s="1" t="n">
        <v>45898.46256944445</v>
      </c>
      <c r="C307" s="1" t="n">
        <v>45983</v>
      </c>
      <c r="D307" t="inlineStr">
        <is>
          <t>DALARNAS LÄN</t>
        </is>
      </c>
      <c r="E307" t="inlineStr">
        <is>
          <t>ÄLVDALEN</t>
        </is>
      </c>
      <c r="G307" t="n">
        <v>1.7</v>
      </c>
      <c r="H307" t="n">
        <v>0</v>
      </c>
      <c r="I307" t="n">
        <v>0</v>
      </c>
      <c r="J307" t="n">
        <v>0</v>
      </c>
      <c r="K307" t="n">
        <v>0</v>
      </c>
      <c r="L307" t="n">
        <v>0</v>
      </c>
      <c r="M307" t="n">
        <v>0</v>
      </c>
      <c r="N307" t="n">
        <v>0</v>
      </c>
      <c r="O307" t="n">
        <v>0</v>
      </c>
      <c r="P307" t="n">
        <v>0</v>
      </c>
      <c r="Q307" t="n">
        <v>0</v>
      </c>
      <c r="R307" s="2" t="inlineStr"/>
    </row>
    <row r="308" ht="15" customHeight="1">
      <c r="A308" t="inlineStr">
        <is>
          <t>A 32237-2025</t>
        </is>
      </c>
      <c r="B308" s="1" t="n">
        <v>45835.61434027777</v>
      </c>
      <c r="C308" s="1" t="n">
        <v>45983</v>
      </c>
      <c r="D308" t="inlineStr">
        <is>
          <t>DALARNAS LÄN</t>
        </is>
      </c>
      <c r="E308" t="inlineStr">
        <is>
          <t>ÄLVDALEN</t>
        </is>
      </c>
      <c r="G308" t="n">
        <v>4.6</v>
      </c>
      <c r="H308" t="n">
        <v>0</v>
      </c>
      <c r="I308" t="n">
        <v>0</v>
      </c>
      <c r="J308" t="n">
        <v>0</v>
      </c>
      <c r="K308" t="n">
        <v>0</v>
      </c>
      <c r="L308" t="n">
        <v>0</v>
      </c>
      <c r="M308" t="n">
        <v>0</v>
      </c>
      <c r="N308" t="n">
        <v>0</v>
      </c>
      <c r="O308" t="n">
        <v>0</v>
      </c>
      <c r="P308" t="n">
        <v>0</v>
      </c>
      <c r="Q308" t="n">
        <v>0</v>
      </c>
      <c r="R308" s="2" t="inlineStr"/>
    </row>
    <row r="309" ht="15" customHeight="1">
      <c r="A309" t="inlineStr">
        <is>
          <t>A 30143-2024</t>
        </is>
      </c>
      <c r="B309" s="1" t="n">
        <v>45488</v>
      </c>
      <c r="C309" s="1" t="n">
        <v>45983</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30146-2024</t>
        </is>
      </c>
      <c r="B310" s="1" t="n">
        <v>45488</v>
      </c>
      <c r="C310" s="1" t="n">
        <v>45983</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30147-2024</t>
        </is>
      </c>
      <c r="B311" s="1" t="n">
        <v>45488</v>
      </c>
      <c r="C311" s="1" t="n">
        <v>45983</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41566-2025</t>
        </is>
      </c>
      <c r="B312" s="1" t="n">
        <v>45901.6049537037</v>
      </c>
      <c r="C312" s="1" t="n">
        <v>45983</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47936-2024</t>
        </is>
      </c>
      <c r="B313" s="1" t="n">
        <v>45589.34738425926</v>
      </c>
      <c r="C313" s="1" t="n">
        <v>45983</v>
      </c>
      <c r="D313" t="inlineStr">
        <is>
          <t>DALARNAS LÄN</t>
        </is>
      </c>
      <c r="E313" t="inlineStr">
        <is>
          <t>ÄLVDALEN</t>
        </is>
      </c>
      <c r="G313" t="n">
        <v>1.5</v>
      </c>
      <c r="H313" t="n">
        <v>0</v>
      </c>
      <c r="I313" t="n">
        <v>0</v>
      </c>
      <c r="J313" t="n">
        <v>0</v>
      </c>
      <c r="K313" t="n">
        <v>0</v>
      </c>
      <c r="L313" t="n">
        <v>0</v>
      </c>
      <c r="M313" t="n">
        <v>0</v>
      </c>
      <c r="N313" t="n">
        <v>0</v>
      </c>
      <c r="O313" t="n">
        <v>0</v>
      </c>
      <c r="P313" t="n">
        <v>0</v>
      </c>
      <c r="Q313" t="n">
        <v>0</v>
      </c>
      <c r="R313" s="2" t="inlineStr"/>
    </row>
    <row r="314" ht="15" customHeight="1">
      <c r="A314" t="inlineStr">
        <is>
          <t>A 25879-2025</t>
        </is>
      </c>
      <c r="B314" s="1" t="n">
        <v>45804.49605324074</v>
      </c>
      <c r="C314" s="1" t="n">
        <v>45983</v>
      </c>
      <c r="D314" t="inlineStr">
        <is>
          <t>DALARNAS LÄN</t>
        </is>
      </c>
      <c r="E314" t="inlineStr">
        <is>
          <t>ÄLVDALEN</t>
        </is>
      </c>
      <c r="F314" t="inlineStr">
        <is>
          <t>Allmännings- och besparingsskogar</t>
        </is>
      </c>
      <c r="G314" t="n">
        <v>0.2</v>
      </c>
      <c r="H314" t="n">
        <v>0</v>
      </c>
      <c r="I314" t="n">
        <v>0</v>
      </c>
      <c r="J314" t="n">
        <v>0</v>
      </c>
      <c r="K314" t="n">
        <v>0</v>
      </c>
      <c r="L314" t="n">
        <v>0</v>
      </c>
      <c r="M314" t="n">
        <v>0</v>
      </c>
      <c r="N314" t="n">
        <v>0</v>
      </c>
      <c r="O314" t="n">
        <v>0</v>
      </c>
      <c r="P314" t="n">
        <v>0</v>
      </c>
      <c r="Q314" t="n">
        <v>0</v>
      </c>
      <c r="R314" s="2" t="inlineStr"/>
    </row>
    <row r="315" ht="15" customHeight="1">
      <c r="A315" t="inlineStr">
        <is>
          <t>A 29129-2024</t>
        </is>
      </c>
      <c r="B315" s="1" t="n">
        <v>45482.35762731481</v>
      </c>
      <c r="C315" s="1" t="n">
        <v>45983</v>
      </c>
      <c r="D315" t="inlineStr">
        <is>
          <t>DALARNAS LÄN</t>
        </is>
      </c>
      <c r="E315" t="inlineStr">
        <is>
          <t>ÄLVDALEN</t>
        </is>
      </c>
      <c r="F315" t="inlineStr">
        <is>
          <t>Allmännings- och besparingsskogar</t>
        </is>
      </c>
      <c r="G315" t="n">
        <v>19.8</v>
      </c>
      <c r="H315" t="n">
        <v>0</v>
      </c>
      <c r="I315" t="n">
        <v>0</v>
      </c>
      <c r="J315" t="n">
        <v>0</v>
      </c>
      <c r="K315" t="n">
        <v>0</v>
      </c>
      <c r="L315" t="n">
        <v>0</v>
      </c>
      <c r="M315" t="n">
        <v>0</v>
      </c>
      <c r="N315" t="n">
        <v>0</v>
      </c>
      <c r="O315" t="n">
        <v>0</v>
      </c>
      <c r="P315" t="n">
        <v>0</v>
      </c>
      <c r="Q315" t="n">
        <v>0</v>
      </c>
      <c r="R315" s="2" t="inlineStr"/>
    </row>
    <row r="316" ht="15" customHeight="1">
      <c r="A316" t="inlineStr">
        <is>
          <t>A 41571-2025</t>
        </is>
      </c>
      <c r="B316" s="1" t="n">
        <v>45901.61150462963</v>
      </c>
      <c r="C316" s="1" t="n">
        <v>45983</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25823-2025</t>
        </is>
      </c>
      <c r="B317" s="1" t="n">
        <v>45804.4396412037</v>
      </c>
      <c r="C317" s="1" t="n">
        <v>45983</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50037-2022</t>
        </is>
      </c>
      <c r="B318" s="1" t="n">
        <v>44865.46136574074</v>
      </c>
      <c r="C318" s="1" t="n">
        <v>45983</v>
      </c>
      <c r="D318" t="inlineStr">
        <is>
          <t>DALARNAS LÄN</t>
        </is>
      </c>
      <c r="E318" t="inlineStr">
        <is>
          <t>ÄLVDALEN</t>
        </is>
      </c>
      <c r="F318" t="inlineStr">
        <is>
          <t>Allmännings- och besparingsskogar</t>
        </is>
      </c>
      <c r="G318" t="n">
        <v>5.8</v>
      </c>
      <c r="H318" t="n">
        <v>0</v>
      </c>
      <c r="I318" t="n">
        <v>0</v>
      </c>
      <c r="J318" t="n">
        <v>0</v>
      </c>
      <c r="K318" t="n">
        <v>0</v>
      </c>
      <c r="L318" t="n">
        <v>0</v>
      </c>
      <c r="M318" t="n">
        <v>0</v>
      </c>
      <c r="N318" t="n">
        <v>0</v>
      </c>
      <c r="O318" t="n">
        <v>0</v>
      </c>
      <c r="P318" t="n">
        <v>0</v>
      </c>
      <c r="Q318" t="n">
        <v>0</v>
      </c>
      <c r="R318" s="2" t="inlineStr"/>
    </row>
    <row r="319" ht="15" customHeight="1">
      <c r="A319" t="inlineStr">
        <is>
          <t>A 9108-2024</t>
        </is>
      </c>
      <c r="B319" s="1" t="n">
        <v>45357.96072916667</v>
      </c>
      <c r="C319" s="1" t="n">
        <v>45983</v>
      </c>
      <c r="D319" t="inlineStr">
        <is>
          <t>DALARNAS LÄN</t>
        </is>
      </c>
      <c r="E319" t="inlineStr">
        <is>
          <t>ÄLVDALEN</t>
        </is>
      </c>
      <c r="F319" t="inlineStr">
        <is>
          <t>Övriga Aktiebolag</t>
        </is>
      </c>
      <c r="G319" t="n">
        <v>24.4</v>
      </c>
      <c r="H319" t="n">
        <v>0</v>
      </c>
      <c r="I319" t="n">
        <v>0</v>
      </c>
      <c r="J319" t="n">
        <v>0</v>
      </c>
      <c r="K319" t="n">
        <v>0</v>
      </c>
      <c r="L319" t="n">
        <v>0</v>
      </c>
      <c r="M319" t="n">
        <v>0</v>
      </c>
      <c r="N319" t="n">
        <v>0</v>
      </c>
      <c r="O319" t="n">
        <v>0</v>
      </c>
      <c r="P319" t="n">
        <v>0</v>
      </c>
      <c r="Q319" t="n">
        <v>0</v>
      </c>
      <c r="R319" s="2" t="inlineStr"/>
    </row>
    <row r="320" ht="15" customHeight="1">
      <c r="A320" t="inlineStr">
        <is>
          <t>A 45203-2024</t>
        </is>
      </c>
      <c r="B320" s="1" t="n">
        <v>45575</v>
      </c>
      <c r="C320" s="1" t="n">
        <v>45983</v>
      </c>
      <c r="D320" t="inlineStr">
        <is>
          <t>DALARNAS LÄN</t>
        </is>
      </c>
      <c r="E320" t="inlineStr">
        <is>
          <t>ÄLVDALEN</t>
        </is>
      </c>
      <c r="G320" t="n">
        <v>7.3</v>
      </c>
      <c r="H320" t="n">
        <v>0</v>
      </c>
      <c r="I320" t="n">
        <v>0</v>
      </c>
      <c r="J320" t="n">
        <v>0</v>
      </c>
      <c r="K320" t="n">
        <v>0</v>
      </c>
      <c r="L320" t="n">
        <v>0</v>
      </c>
      <c r="M320" t="n">
        <v>0</v>
      </c>
      <c r="N320" t="n">
        <v>0</v>
      </c>
      <c r="O320" t="n">
        <v>0</v>
      </c>
      <c r="P320" t="n">
        <v>0</v>
      </c>
      <c r="Q320" t="n">
        <v>0</v>
      </c>
      <c r="R320" s="2" t="inlineStr"/>
    </row>
    <row r="321" ht="15" customHeight="1">
      <c r="A321" t="inlineStr">
        <is>
          <t>A 26285-2025</t>
        </is>
      </c>
      <c r="B321" s="1" t="n">
        <v>45805.61885416666</v>
      </c>
      <c r="C321" s="1" t="n">
        <v>45983</v>
      </c>
      <c r="D321" t="inlineStr">
        <is>
          <t>DALARNAS LÄN</t>
        </is>
      </c>
      <c r="E321" t="inlineStr">
        <is>
          <t>ÄLVDALEN</t>
        </is>
      </c>
      <c r="G321" t="n">
        <v>1.5</v>
      </c>
      <c r="H321" t="n">
        <v>0</v>
      </c>
      <c r="I321" t="n">
        <v>0</v>
      </c>
      <c r="J321" t="n">
        <v>0</v>
      </c>
      <c r="K321" t="n">
        <v>0</v>
      </c>
      <c r="L321" t="n">
        <v>0</v>
      </c>
      <c r="M321" t="n">
        <v>0</v>
      </c>
      <c r="N321" t="n">
        <v>0</v>
      </c>
      <c r="O321" t="n">
        <v>0</v>
      </c>
      <c r="P321" t="n">
        <v>0</v>
      </c>
      <c r="Q321" t="n">
        <v>0</v>
      </c>
      <c r="R321" s="2" t="inlineStr"/>
    </row>
    <row r="322" ht="15" customHeight="1">
      <c r="A322" t="inlineStr">
        <is>
          <t>A 39006-2024</t>
        </is>
      </c>
      <c r="B322" s="1" t="n">
        <v>45548.42846064815</v>
      </c>
      <c r="C322" s="1" t="n">
        <v>45983</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2546-2025</t>
        </is>
      </c>
      <c r="B323" s="1" t="n">
        <v>45674.62240740741</v>
      </c>
      <c r="C323" s="1" t="n">
        <v>45983</v>
      </c>
      <c r="D323" t="inlineStr">
        <is>
          <t>DALARNAS LÄN</t>
        </is>
      </c>
      <c r="E323" t="inlineStr">
        <is>
          <t>ÄLVDALEN</t>
        </is>
      </c>
      <c r="G323" t="n">
        <v>2</v>
      </c>
      <c r="H323" t="n">
        <v>0</v>
      </c>
      <c r="I323" t="n">
        <v>0</v>
      </c>
      <c r="J323" t="n">
        <v>0</v>
      </c>
      <c r="K323" t="n">
        <v>0</v>
      </c>
      <c r="L323" t="n">
        <v>0</v>
      </c>
      <c r="M323" t="n">
        <v>0</v>
      </c>
      <c r="N323" t="n">
        <v>0</v>
      </c>
      <c r="O323" t="n">
        <v>0</v>
      </c>
      <c r="P323" t="n">
        <v>0</v>
      </c>
      <c r="Q323" t="n">
        <v>0</v>
      </c>
      <c r="R323" s="2" t="inlineStr"/>
    </row>
    <row r="324" ht="15" customHeight="1">
      <c r="A324" t="inlineStr">
        <is>
          <t>A 26704-2025</t>
        </is>
      </c>
      <c r="B324" s="1" t="n">
        <v>45810.45271990741</v>
      </c>
      <c r="C324" s="1" t="n">
        <v>45983</v>
      </c>
      <c r="D324" t="inlineStr">
        <is>
          <t>DALARNAS LÄN</t>
        </is>
      </c>
      <c r="E324" t="inlineStr">
        <is>
          <t>ÄLVDALEN</t>
        </is>
      </c>
      <c r="F324" t="inlineStr">
        <is>
          <t>Bergvik skog väst AB</t>
        </is>
      </c>
      <c r="G324" t="n">
        <v>32.3</v>
      </c>
      <c r="H324" t="n">
        <v>0</v>
      </c>
      <c r="I324" t="n">
        <v>0</v>
      </c>
      <c r="J324" t="n">
        <v>0</v>
      </c>
      <c r="K324" t="n">
        <v>0</v>
      </c>
      <c r="L324" t="n">
        <v>0</v>
      </c>
      <c r="M324" t="n">
        <v>0</v>
      </c>
      <c r="N324" t="n">
        <v>0</v>
      </c>
      <c r="O324" t="n">
        <v>0</v>
      </c>
      <c r="P324" t="n">
        <v>0</v>
      </c>
      <c r="Q324" t="n">
        <v>0</v>
      </c>
      <c r="R324" s="2" t="inlineStr"/>
    </row>
    <row r="325" ht="15" customHeight="1">
      <c r="A325" t="inlineStr">
        <is>
          <t>A 52060-2022</t>
        </is>
      </c>
      <c r="B325" s="1" t="n">
        <v>44873.34417824074</v>
      </c>
      <c r="C325" s="1" t="n">
        <v>45983</v>
      </c>
      <c r="D325" t="inlineStr">
        <is>
          <t>DALARNAS LÄN</t>
        </is>
      </c>
      <c r="E325" t="inlineStr">
        <is>
          <t>ÄLVDALEN</t>
        </is>
      </c>
      <c r="G325" t="n">
        <v>1</v>
      </c>
      <c r="H325" t="n">
        <v>0</v>
      </c>
      <c r="I325" t="n">
        <v>0</v>
      </c>
      <c r="J325" t="n">
        <v>0</v>
      </c>
      <c r="K325" t="n">
        <v>0</v>
      </c>
      <c r="L325" t="n">
        <v>0</v>
      </c>
      <c r="M325" t="n">
        <v>0</v>
      </c>
      <c r="N325" t="n">
        <v>0</v>
      </c>
      <c r="O325" t="n">
        <v>0</v>
      </c>
      <c r="P325" t="n">
        <v>0</v>
      </c>
      <c r="Q325" t="n">
        <v>0</v>
      </c>
      <c r="R325" s="2" t="inlineStr"/>
    </row>
    <row r="326" ht="15" customHeight="1">
      <c r="A326" t="inlineStr">
        <is>
          <t>A 62355-2022</t>
        </is>
      </c>
      <c r="B326" s="1" t="n">
        <v>44923</v>
      </c>
      <c r="C326" s="1" t="n">
        <v>45983</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68204-2021</t>
        </is>
      </c>
      <c r="B327" s="1" t="n">
        <v>44526</v>
      </c>
      <c r="C327" s="1" t="n">
        <v>45983</v>
      </c>
      <c r="D327" t="inlineStr">
        <is>
          <t>DALARNAS LÄN</t>
        </is>
      </c>
      <c r="E327" t="inlineStr">
        <is>
          <t>ÄLVDALEN</t>
        </is>
      </c>
      <c r="F327" t="inlineStr">
        <is>
          <t>Kyrkan</t>
        </is>
      </c>
      <c r="G327" t="n">
        <v>5</v>
      </c>
      <c r="H327" t="n">
        <v>0</v>
      </c>
      <c r="I327" t="n">
        <v>0</v>
      </c>
      <c r="J327" t="n">
        <v>0</v>
      </c>
      <c r="K327" t="n">
        <v>0</v>
      </c>
      <c r="L327" t="n">
        <v>0</v>
      </c>
      <c r="M327" t="n">
        <v>0</v>
      </c>
      <c r="N327" t="n">
        <v>0</v>
      </c>
      <c r="O327" t="n">
        <v>0</v>
      </c>
      <c r="P327" t="n">
        <v>0</v>
      </c>
      <c r="Q327" t="n">
        <v>0</v>
      </c>
      <c r="R327" s="2" t="inlineStr"/>
    </row>
    <row r="328" ht="15" customHeight="1">
      <c r="A328" t="inlineStr">
        <is>
          <t>A 61575-2024</t>
        </is>
      </c>
      <c r="B328" s="1" t="n">
        <v>45646.61907407407</v>
      </c>
      <c r="C328" s="1" t="n">
        <v>45983</v>
      </c>
      <c r="D328" t="inlineStr">
        <is>
          <t>DALARNAS LÄN</t>
        </is>
      </c>
      <c r="E328" t="inlineStr">
        <is>
          <t>ÄLVDALEN</t>
        </is>
      </c>
      <c r="G328" t="n">
        <v>0.6</v>
      </c>
      <c r="H328" t="n">
        <v>0</v>
      </c>
      <c r="I328" t="n">
        <v>0</v>
      </c>
      <c r="J328" t="n">
        <v>0</v>
      </c>
      <c r="K328" t="n">
        <v>0</v>
      </c>
      <c r="L328" t="n">
        <v>0</v>
      </c>
      <c r="M328" t="n">
        <v>0</v>
      </c>
      <c r="N328" t="n">
        <v>0</v>
      </c>
      <c r="O328" t="n">
        <v>0</v>
      </c>
      <c r="P328" t="n">
        <v>0</v>
      </c>
      <c r="Q328" t="n">
        <v>0</v>
      </c>
      <c r="R328" s="2" t="inlineStr"/>
    </row>
    <row r="329" ht="15" customHeight="1">
      <c r="A329" t="inlineStr">
        <is>
          <t>A 36462-2024</t>
        </is>
      </c>
      <c r="B329" s="1" t="n">
        <v>45537.35211805555</v>
      </c>
      <c r="C329" s="1" t="n">
        <v>45983</v>
      </c>
      <c r="D329" t="inlineStr">
        <is>
          <t>DALARNAS LÄN</t>
        </is>
      </c>
      <c r="E329" t="inlineStr">
        <is>
          <t>ÄLVDALEN</t>
        </is>
      </c>
      <c r="G329" t="n">
        <v>5</v>
      </c>
      <c r="H329" t="n">
        <v>0</v>
      </c>
      <c r="I329" t="n">
        <v>0</v>
      </c>
      <c r="J329" t="n">
        <v>0</v>
      </c>
      <c r="K329" t="n">
        <v>0</v>
      </c>
      <c r="L329" t="n">
        <v>0</v>
      </c>
      <c r="M329" t="n">
        <v>0</v>
      </c>
      <c r="N329" t="n">
        <v>0</v>
      </c>
      <c r="O329" t="n">
        <v>0</v>
      </c>
      <c r="P329" t="n">
        <v>0</v>
      </c>
      <c r="Q329" t="n">
        <v>0</v>
      </c>
      <c r="R329" s="2" t="inlineStr"/>
    </row>
    <row r="330" ht="15" customHeight="1">
      <c r="A330" t="inlineStr">
        <is>
          <t>A 27230-2025</t>
        </is>
      </c>
      <c r="B330" s="1" t="n">
        <v>45812.43825231482</v>
      </c>
      <c r="C330" s="1" t="n">
        <v>45983</v>
      </c>
      <c r="D330" t="inlineStr">
        <is>
          <t>DALARNAS LÄN</t>
        </is>
      </c>
      <c r="E330" t="inlineStr">
        <is>
          <t>ÄLVDALEN</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27261-2025</t>
        </is>
      </c>
      <c r="B331" s="1" t="n">
        <v>45812.47674768518</v>
      </c>
      <c r="C331" s="1" t="n">
        <v>45983</v>
      </c>
      <c r="D331" t="inlineStr">
        <is>
          <t>DALARNAS LÄN</t>
        </is>
      </c>
      <c r="E331" t="inlineStr">
        <is>
          <t>ÄLVDALEN</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27090-2025</t>
        </is>
      </c>
      <c r="B332" s="1" t="n">
        <v>45811.66903935185</v>
      </c>
      <c r="C332" s="1" t="n">
        <v>45983</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771-2025</t>
        </is>
      </c>
      <c r="B333" s="1" t="n">
        <v>45665.46518518519</v>
      </c>
      <c r="C333" s="1" t="n">
        <v>45983</v>
      </c>
      <c r="D333" t="inlineStr">
        <is>
          <t>DALARNAS LÄN</t>
        </is>
      </c>
      <c r="E333" t="inlineStr">
        <is>
          <t>ÄLVDALEN</t>
        </is>
      </c>
      <c r="G333" t="n">
        <v>1</v>
      </c>
      <c r="H333" t="n">
        <v>0</v>
      </c>
      <c r="I333" t="n">
        <v>0</v>
      </c>
      <c r="J333" t="n">
        <v>0</v>
      </c>
      <c r="K333" t="n">
        <v>0</v>
      </c>
      <c r="L333" t="n">
        <v>0</v>
      </c>
      <c r="M333" t="n">
        <v>0</v>
      </c>
      <c r="N333" t="n">
        <v>0</v>
      </c>
      <c r="O333" t="n">
        <v>0</v>
      </c>
      <c r="P333" t="n">
        <v>0</v>
      </c>
      <c r="Q333" t="n">
        <v>0</v>
      </c>
      <c r="R333" s="2" t="inlineStr"/>
    </row>
    <row r="334" ht="15" customHeight="1">
      <c r="A334" t="inlineStr">
        <is>
          <t>A 51041-2025</t>
        </is>
      </c>
      <c r="B334" s="1" t="n">
        <v>45947.41690972223</v>
      </c>
      <c r="C334" s="1" t="n">
        <v>45983</v>
      </c>
      <c r="D334" t="inlineStr">
        <is>
          <t>DALARNAS LÄN</t>
        </is>
      </c>
      <c r="E334" t="inlineStr">
        <is>
          <t>ÄLVDALEN</t>
        </is>
      </c>
      <c r="G334" t="n">
        <v>10.4</v>
      </c>
      <c r="H334" t="n">
        <v>0</v>
      </c>
      <c r="I334" t="n">
        <v>0</v>
      </c>
      <c r="J334" t="n">
        <v>0</v>
      </c>
      <c r="K334" t="n">
        <v>0</v>
      </c>
      <c r="L334" t="n">
        <v>0</v>
      </c>
      <c r="M334" t="n">
        <v>0</v>
      </c>
      <c r="N334" t="n">
        <v>0</v>
      </c>
      <c r="O334" t="n">
        <v>0</v>
      </c>
      <c r="P334" t="n">
        <v>0</v>
      </c>
      <c r="Q334" t="n">
        <v>0</v>
      </c>
      <c r="R334" s="2" t="inlineStr"/>
    </row>
    <row r="335" ht="15" customHeight="1">
      <c r="A335" t="inlineStr">
        <is>
          <t>A 23553-2025</t>
        </is>
      </c>
      <c r="B335" s="1" t="n">
        <v>45792</v>
      </c>
      <c r="C335" s="1" t="n">
        <v>45983</v>
      </c>
      <c r="D335" t="inlineStr">
        <is>
          <t>DALARNAS LÄN</t>
        </is>
      </c>
      <c r="E335" t="inlineStr">
        <is>
          <t>ÄLVDALEN</t>
        </is>
      </c>
      <c r="G335" t="n">
        <v>46.2</v>
      </c>
      <c r="H335" t="n">
        <v>0</v>
      </c>
      <c r="I335" t="n">
        <v>0</v>
      </c>
      <c r="J335" t="n">
        <v>0</v>
      </c>
      <c r="K335" t="n">
        <v>0</v>
      </c>
      <c r="L335" t="n">
        <v>0</v>
      </c>
      <c r="M335" t="n">
        <v>0</v>
      </c>
      <c r="N335" t="n">
        <v>0</v>
      </c>
      <c r="O335" t="n">
        <v>0</v>
      </c>
      <c r="P335" t="n">
        <v>0</v>
      </c>
      <c r="Q335" t="n">
        <v>0</v>
      </c>
      <c r="R335" s="2" t="inlineStr"/>
    </row>
    <row r="336" ht="15" customHeight="1">
      <c r="A336" t="inlineStr">
        <is>
          <t>A 51381-2025</t>
        </is>
      </c>
      <c r="B336" s="1" t="n">
        <v>45950.45982638889</v>
      </c>
      <c r="C336" s="1" t="n">
        <v>45983</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51442-2025</t>
        </is>
      </c>
      <c r="B337" s="1" t="n">
        <v>45950.57458333333</v>
      </c>
      <c r="C337" s="1" t="n">
        <v>45983</v>
      </c>
      <c r="D337" t="inlineStr">
        <is>
          <t>DALARNAS LÄN</t>
        </is>
      </c>
      <c r="E337" t="inlineStr">
        <is>
          <t>ÄLVDALEN</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7998-2024</t>
        </is>
      </c>
      <c r="B338" s="1" t="n">
        <v>45350.6433912037</v>
      </c>
      <c r="C338" s="1" t="n">
        <v>45983</v>
      </c>
      <c r="D338" t="inlineStr">
        <is>
          <t>DALARNAS LÄN</t>
        </is>
      </c>
      <c r="E338" t="inlineStr">
        <is>
          <t>ÄLVDALEN</t>
        </is>
      </c>
      <c r="F338" t="inlineStr">
        <is>
          <t>Kommuner</t>
        </is>
      </c>
      <c r="G338" t="n">
        <v>7.9</v>
      </c>
      <c r="H338" t="n">
        <v>0</v>
      </c>
      <c r="I338" t="n">
        <v>0</v>
      </c>
      <c r="J338" t="n">
        <v>0</v>
      </c>
      <c r="K338" t="n">
        <v>0</v>
      </c>
      <c r="L338" t="n">
        <v>0</v>
      </c>
      <c r="M338" t="n">
        <v>0</v>
      </c>
      <c r="N338" t="n">
        <v>0</v>
      </c>
      <c r="O338" t="n">
        <v>0</v>
      </c>
      <c r="P338" t="n">
        <v>0</v>
      </c>
      <c r="Q338" t="n">
        <v>0</v>
      </c>
      <c r="R338" s="2" t="inlineStr"/>
    </row>
    <row r="339" ht="15" customHeight="1">
      <c r="A339" t="inlineStr">
        <is>
          <t>A 41137-2024</t>
        </is>
      </c>
      <c r="B339" s="1" t="n">
        <v>45559.46734953704</v>
      </c>
      <c r="C339" s="1" t="n">
        <v>45983</v>
      </c>
      <c r="D339" t="inlineStr">
        <is>
          <t>DALARNAS LÄN</t>
        </is>
      </c>
      <c r="E339" t="inlineStr">
        <is>
          <t>ÄLVDALEN</t>
        </is>
      </c>
      <c r="G339" t="n">
        <v>4.8</v>
      </c>
      <c r="H339" t="n">
        <v>0</v>
      </c>
      <c r="I339" t="n">
        <v>0</v>
      </c>
      <c r="J339" t="n">
        <v>0</v>
      </c>
      <c r="K339" t="n">
        <v>0</v>
      </c>
      <c r="L339" t="n">
        <v>0</v>
      </c>
      <c r="M339" t="n">
        <v>0</v>
      </c>
      <c r="N339" t="n">
        <v>0</v>
      </c>
      <c r="O339" t="n">
        <v>0</v>
      </c>
      <c r="P339" t="n">
        <v>0</v>
      </c>
      <c r="Q339" t="n">
        <v>0</v>
      </c>
      <c r="R339" s="2" t="inlineStr"/>
    </row>
    <row r="340" ht="15" customHeight="1">
      <c r="A340" t="inlineStr">
        <is>
          <t>A 51399-2025</t>
        </is>
      </c>
      <c r="B340" s="1" t="n">
        <v>45950.47741898148</v>
      </c>
      <c r="C340" s="1" t="n">
        <v>45983</v>
      </c>
      <c r="D340" t="inlineStr">
        <is>
          <t>DALARNAS LÄN</t>
        </is>
      </c>
      <c r="E340" t="inlineStr">
        <is>
          <t>ÄLVDALEN</t>
        </is>
      </c>
      <c r="G340" t="n">
        <v>5.9</v>
      </c>
      <c r="H340" t="n">
        <v>0</v>
      </c>
      <c r="I340" t="n">
        <v>0</v>
      </c>
      <c r="J340" t="n">
        <v>0</v>
      </c>
      <c r="K340" t="n">
        <v>0</v>
      </c>
      <c r="L340" t="n">
        <v>0</v>
      </c>
      <c r="M340" t="n">
        <v>0</v>
      </c>
      <c r="N340" t="n">
        <v>0</v>
      </c>
      <c r="O340" t="n">
        <v>0</v>
      </c>
      <c r="P340" t="n">
        <v>0</v>
      </c>
      <c r="Q340" t="n">
        <v>0</v>
      </c>
      <c r="R340" s="2" t="inlineStr"/>
    </row>
    <row r="341" ht="15" customHeight="1">
      <c r="A341" t="inlineStr">
        <is>
          <t>A 51461-2025</t>
        </is>
      </c>
      <c r="B341" s="1" t="n">
        <v>45950.6047337963</v>
      </c>
      <c r="C341" s="1" t="n">
        <v>45983</v>
      </c>
      <c r="D341" t="inlineStr">
        <is>
          <t>DALARNAS LÄN</t>
        </is>
      </c>
      <c r="E341" t="inlineStr">
        <is>
          <t>ÄLVDALEN</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39064-2021</t>
        </is>
      </c>
      <c r="B342" s="1" t="n">
        <v>44411</v>
      </c>
      <c r="C342" s="1" t="n">
        <v>45983</v>
      </c>
      <c r="D342" t="inlineStr">
        <is>
          <t>DALARNAS LÄN</t>
        </is>
      </c>
      <c r="E342" t="inlineStr">
        <is>
          <t>ÄLVDALEN</t>
        </is>
      </c>
      <c r="F342" t="inlineStr">
        <is>
          <t>Övriga statliga verk och myndigheter</t>
        </is>
      </c>
      <c r="G342" t="n">
        <v>4.5</v>
      </c>
      <c r="H342" t="n">
        <v>0</v>
      </c>
      <c r="I342" t="n">
        <v>0</v>
      </c>
      <c r="J342" t="n">
        <v>0</v>
      </c>
      <c r="K342" t="n">
        <v>0</v>
      </c>
      <c r="L342" t="n">
        <v>0</v>
      </c>
      <c r="M342" t="n">
        <v>0</v>
      </c>
      <c r="N342" t="n">
        <v>0</v>
      </c>
      <c r="O342" t="n">
        <v>0</v>
      </c>
      <c r="P342" t="n">
        <v>0</v>
      </c>
      <c r="Q342" t="n">
        <v>0</v>
      </c>
      <c r="R342" s="2" t="inlineStr"/>
    </row>
    <row r="343" ht="15" customHeight="1">
      <c r="A343" t="inlineStr">
        <is>
          <t>A 51058-2025</t>
        </is>
      </c>
      <c r="B343" s="1" t="n">
        <v>45947.44518518518</v>
      </c>
      <c r="C343" s="1" t="n">
        <v>45983</v>
      </c>
      <c r="D343" t="inlineStr">
        <is>
          <t>DALARNAS LÄN</t>
        </is>
      </c>
      <c r="E343" t="inlineStr">
        <is>
          <t>ÄLVDALEN</t>
        </is>
      </c>
      <c r="G343" t="n">
        <v>3.8</v>
      </c>
      <c r="H343" t="n">
        <v>0</v>
      </c>
      <c r="I343" t="n">
        <v>0</v>
      </c>
      <c r="J343" t="n">
        <v>0</v>
      </c>
      <c r="K343" t="n">
        <v>0</v>
      </c>
      <c r="L343" t="n">
        <v>0</v>
      </c>
      <c r="M343" t="n">
        <v>0</v>
      </c>
      <c r="N343" t="n">
        <v>0</v>
      </c>
      <c r="O343" t="n">
        <v>0</v>
      </c>
      <c r="P343" t="n">
        <v>0</v>
      </c>
      <c r="Q343" t="n">
        <v>0</v>
      </c>
      <c r="R343" s="2" t="inlineStr"/>
    </row>
    <row r="344" ht="15" customHeight="1">
      <c r="A344" t="inlineStr">
        <is>
          <t>A 27739-2025</t>
        </is>
      </c>
      <c r="B344" s="1" t="n">
        <v>45815.49082175926</v>
      </c>
      <c r="C344" s="1" t="n">
        <v>45983</v>
      </c>
      <c r="D344" t="inlineStr">
        <is>
          <t>DALARNAS LÄN</t>
        </is>
      </c>
      <c r="E344" t="inlineStr">
        <is>
          <t>ÄLVDALEN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51392-2025</t>
        </is>
      </c>
      <c r="B345" s="1" t="n">
        <v>45950.46956018519</v>
      </c>
      <c r="C345" s="1" t="n">
        <v>45983</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3904-2024</t>
        </is>
      </c>
      <c r="B346" s="1" t="n">
        <v>45322</v>
      </c>
      <c r="C346" s="1" t="n">
        <v>45983</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50314-2025</t>
        </is>
      </c>
      <c r="B347" s="1" t="n">
        <v>45944.44439814815</v>
      </c>
      <c r="C347" s="1" t="n">
        <v>45983</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51915-2025</t>
        </is>
      </c>
      <c r="B348" s="1" t="n">
        <v>45952.47706018519</v>
      </c>
      <c r="C348" s="1" t="n">
        <v>45983</v>
      </c>
      <c r="D348" t="inlineStr">
        <is>
          <t>DALARNAS LÄN</t>
        </is>
      </c>
      <c r="E348" t="inlineStr">
        <is>
          <t>ÄLVDALEN</t>
        </is>
      </c>
      <c r="F348" t="inlineStr">
        <is>
          <t>Allmännings- och besparingsskogar</t>
        </is>
      </c>
      <c r="G348" t="n">
        <v>66.7</v>
      </c>
      <c r="H348" t="n">
        <v>0</v>
      </c>
      <c r="I348" t="n">
        <v>0</v>
      </c>
      <c r="J348" t="n">
        <v>0</v>
      </c>
      <c r="K348" t="n">
        <v>0</v>
      </c>
      <c r="L348" t="n">
        <v>0</v>
      </c>
      <c r="M348" t="n">
        <v>0</v>
      </c>
      <c r="N348" t="n">
        <v>0</v>
      </c>
      <c r="O348" t="n">
        <v>0</v>
      </c>
      <c r="P348" t="n">
        <v>0</v>
      </c>
      <c r="Q348" t="n">
        <v>0</v>
      </c>
      <c r="R348" s="2" t="inlineStr"/>
    </row>
    <row r="349" ht="15" customHeight="1">
      <c r="A349" t="inlineStr">
        <is>
          <t>A 27918-2025</t>
        </is>
      </c>
      <c r="B349" s="1" t="n">
        <v>45817.48231481481</v>
      </c>
      <c r="C349" s="1" t="n">
        <v>45983</v>
      </c>
      <c r="D349" t="inlineStr">
        <is>
          <t>DALARNAS LÄN</t>
        </is>
      </c>
      <c r="E349" t="inlineStr">
        <is>
          <t>ÄLVDALEN</t>
        </is>
      </c>
      <c r="G349" t="n">
        <v>5.6</v>
      </c>
      <c r="H349" t="n">
        <v>0</v>
      </c>
      <c r="I349" t="n">
        <v>0</v>
      </c>
      <c r="J349" t="n">
        <v>0</v>
      </c>
      <c r="K349" t="n">
        <v>0</v>
      </c>
      <c r="L349" t="n">
        <v>0</v>
      </c>
      <c r="M349" t="n">
        <v>0</v>
      </c>
      <c r="N349" t="n">
        <v>0</v>
      </c>
      <c r="O349" t="n">
        <v>0</v>
      </c>
      <c r="P349" t="n">
        <v>0</v>
      </c>
      <c r="Q349" t="n">
        <v>0</v>
      </c>
      <c r="R349" s="2" t="inlineStr"/>
    </row>
    <row r="350" ht="15" customHeight="1">
      <c r="A350" t="inlineStr">
        <is>
          <t>A 52469-2022</t>
        </is>
      </c>
      <c r="B350" s="1" t="n">
        <v>44874</v>
      </c>
      <c r="C350" s="1" t="n">
        <v>45983</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30411-2024</t>
        </is>
      </c>
      <c r="B351" s="1" t="n">
        <v>45491.62447916667</v>
      </c>
      <c r="C351" s="1" t="n">
        <v>45983</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45983</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28838-2025</t>
        </is>
      </c>
      <c r="B353" s="1" t="n">
        <v>45820.56359953704</v>
      </c>
      <c r="C353" s="1" t="n">
        <v>45983</v>
      </c>
      <c r="D353" t="inlineStr">
        <is>
          <t>DALARNAS LÄN</t>
        </is>
      </c>
      <c r="E353" t="inlineStr">
        <is>
          <t>ÄLVDALEN</t>
        </is>
      </c>
      <c r="F353" t="inlineStr">
        <is>
          <t>Allmännings- och besparingsskogar</t>
        </is>
      </c>
      <c r="G353" t="n">
        <v>7.5</v>
      </c>
      <c r="H353" t="n">
        <v>0</v>
      </c>
      <c r="I353" t="n">
        <v>0</v>
      </c>
      <c r="J353" t="n">
        <v>0</v>
      </c>
      <c r="K353" t="n">
        <v>0</v>
      </c>
      <c r="L353" t="n">
        <v>0</v>
      </c>
      <c r="M353" t="n">
        <v>0</v>
      </c>
      <c r="N353" t="n">
        <v>0</v>
      </c>
      <c r="O353" t="n">
        <v>0</v>
      </c>
      <c r="P353" t="n">
        <v>0</v>
      </c>
      <c r="Q353" t="n">
        <v>0</v>
      </c>
      <c r="R353" s="2" t="inlineStr"/>
    </row>
    <row r="354" ht="15" customHeight="1">
      <c r="A354" t="inlineStr">
        <is>
          <t>A 28844-2025</t>
        </is>
      </c>
      <c r="B354" s="1" t="n">
        <v>45820.57053240741</v>
      </c>
      <c r="C354" s="1" t="n">
        <v>45983</v>
      </c>
      <c r="D354" t="inlineStr">
        <is>
          <t>DALARNAS LÄN</t>
        </is>
      </c>
      <c r="E354" t="inlineStr">
        <is>
          <t>ÄLVDALEN</t>
        </is>
      </c>
      <c r="F354" t="inlineStr">
        <is>
          <t>Allmännings- och besparingsskogar</t>
        </is>
      </c>
      <c r="G354" t="n">
        <v>1.3</v>
      </c>
      <c r="H354" t="n">
        <v>0</v>
      </c>
      <c r="I354" t="n">
        <v>0</v>
      </c>
      <c r="J354" t="n">
        <v>0</v>
      </c>
      <c r="K354" t="n">
        <v>0</v>
      </c>
      <c r="L354" t="n">
        <v>0</v>
      </c>
      <c r="M354" t="n">
        <v>0</v>
      </c>
      <c r="N354" t="n">
        <v>0</v>
      </c>
      <c r="O354" t="n">
        <v>0</v>
      </c>
      <c r="P354" t="n">
        <v>0</v>
      </c>
      <c r="Q354" t="n">
        <v>0</v>
      </c>
      <c r="R354" s="2" t="inlineStr"/>
    </row>
    <row r="355" ht="15" customHeight="1">
      <c r="A355" t="inlineStr">
        <is>
          <t>A 28842-2025</t>
        </is>
      </c>
      <c r="B355" s="1" t="n">
        <v>45820.56780092593</v>
      </c>
      <c r="C355" s="1" t="n">
        <v>45983</v>
      </c>
      <c r="D355" t="inlineStr">
        <is>
          <t>DALARNAS LÄN</t>
        </is>
      </c>
      <c r="E355" t="inlineStr">
        <is>
          <t>ÄLVDALEN</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52072-2025</t>
        </is>
      </c>
      <c r="B356" s="1" t="n">
        <v>45952.64829861111</v>
      </c>
      <c r="C356" s="1" t="n">
        <v>45983</v>
      </c>
      <c r="D356" t="inlineStr">
        <is>
          <t>DALARNAS LÄN</t>
        </is>
      </c>
      <c r="E356" t="inlineStr">
        <is>
          <t>ÄLVDALEN</t>
        </is>
      </c>
      <c r="F356" t="inlineStr">
        <is>
          <t>Allmännings- och besparingsskogar</t>
        </is>
      </c>
      <c r="G356" t="n">
        <v>54.2</v>
      </c>
      <c r="H356" t="n">
        <v>0</v>
      </c>
      <c r="I356" t="n">
        <v>0</v>
      </c>
      <c r="J356" t="n">
        <v>0</v>
      </c>
      <c r="K356" t="n">
        <v>0</v>
      </c>
      <c r="L356" t="n">
        <v>0</v>
      </c>
      <c r="M356" t="n">
        <v>0</v>
      </c>
      <c r="N356" t="n">
        <v>0</v>
      </c>
      <c r="O356" t="n">
        <v>0</v>
      </c>
      <c r="P356" t="n">
        <v>0</v>
      </c>
      <c r="Q356" t="n">
        <v>0</v>
      </c>
      <c r="R356" s="2" t="inlineStr"/>
    </row>
    <row r="357" ht="15" customHeight="1">
      <c r="A357" t="inlineStr">
        <is>
          <t>A 43900-2024</t>
        </is>
      </c>
      <c r="B357" s="1" t="n">
        <v>45572.41975694444</v>
      </c>
      <c r="C357" s="1" t="n">
        <v>45983</v>
      </c>
      <c r="D357" t="inlineStr">
        <is>
          <t>DALARNAS LÄN</t>
        </is>
      </c>
      <c r="E357" t="inlineStr">
        <is>
          <t>ÄLVDALEN</t>
        </is>
      </c>
      <c r="F357" t="inlineStr">
        <is>
          <t>Bergvik skog väst AB</t>
        </is>
      </c>
      <c r="G357" t="n">
        <v>7.3</v>
      </c>
      <c r="H357" t="n">
        <v>0</v>
      </c>
      <c r="I357" t="n">
        <v>0</v>
      </c>
      <c r="J357" t="n">
        <v>0</v>
      </c>
      <c r="K357" t="n">
        <v>0</v>
      </c>
      <c r="L357" t="n">
        <v>0</v>
      </c>
      <c r="M357" t="n">
        <v>0</v>
      </c>
      <c r="N357" t="n">
        <v>0</v>
      </c>
      <c r="O357" t="n">
        <v>0</v>
      </c>
      <c r="P357" t="n">
        <v>0</v>
      </c>
      <c r="Q357" t="n">
        <v>0</v>
      </c>
      <c r="R357" s="2" t="inlineStr"/>
    </row>
    <row r="358" ht="15" customHeight="1">
      <c r="A358" t="inlineStr">
        <is>
          <t>A 52033-2025</t>
        </is>
      </c>
      <c r="B358" s="1" t="n">
        <v>45952.6122337963</v>
      </c>
      <c r="C358" s="1" t="n">
        <v>45983</v>
      </c>
      <c r="D358" t="inlineStr">
        <is>
          <t>DALARNAS LÄN</t>
        </is>
      </c>
      <c r="E358" t="inlineStr">
        <is>
          <t>ÄLVDALEN</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43039-2025</t>
        </is>
      </c>
      <c r="B359" s="1" t="n">
        <v>45909.55166666667</v>
      </c>
      <c r="C359" s="1" t="n">
        <v>45983</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43602-2025</t>
        </is>
      </c>
      <c r="B360" s="1" t="n">
        <v>45911.66576388889</v>
      </c>
      <c r="C360" s="1" t="n">
        <v>45983</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43342-2025</t>
        </is>
      </c>
      <c r="B361" s="1" t="n">
        <v>45910.7628125</v>
      </c>
      <c r="C361" s="1" t="n">
        <v>45983</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51975-2025</t>
        </is>
      </c>
      <c r="B362" s="1" t="n">
        <v>45952</v>
      </c>
      <c r="C362" s="1" t="n">
        <v>45983</v>
      </c>
      <c r="D362" t="inlineStr">
        <is>
          <t>DALARNAS LÄN</t>
        </is>
      </c>
      <c r="E362" t="inlineStr">
        <is>
          <t>ÄLVDALEN</t>
        </is>
      </c>
      <c r="F362" t="inlineStr">
        <is>
          <t>Allmännings- och besparingsskogar</t>
        </is>
      </c>
      <c r="G362" t="n">
        <v>3.5</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45983</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59108-2022</t>
        </is>
      </c>
      <c r="B364" s="1" t="n">
        <v>44904</v>
      </c>
      <c r="C364" s="1" t="n">
        <v>45983</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30032-2025</t>
        </is>
      </c>
      <c r="B365" s="1" t="n">
        <v>45826.56873842593</v>
      </c>
      <c r="C365" s="1" t="n">
        <v>45983</v>
      </c>
      <c r="D365" t="inlineStr">
        <is>
          <t>DALARNAS LÄN</t>
        </is>
      </c>
      <c r="E365" t="inlineStr">
        <is>
          <t>ÄLVDALEN</t>
        </is>
      </c>
      <c r="G365" t="n">
        <v>5.5</v>
      </c>
      <c r="H365" t="n">
        <v>0</v>
      </c>
      <c r="I365" t="n">
        <v>0</v>
      </c>
      <c r="J365" t="n">
        <v>0</v>
      </c>
      <c r="K365" t="n">
        <v>0</v>
      </c>
      <c r="L365" t="n">
        <v>0</v>
      </c>
      <c r="M365" t="n">
        <v>0</v>
      </c>
      <c r="N365" t="n">
        <v>0</v>
      </c>
      <c r="O365" t="n">
        <v>0</v>
      </c>
      <c r="P365" t="n">
        <v>0</v>
      </c>
      <c r="Q365" t="n">
        <v>0</v>
      </c>
      <c r="R365" s="2" t="inlineStr"/>
    </row>
    <row r="366" ht="15" customHeight="1">
      <c r="A366" t="inlineStr">
        <is>
          <t>A 43514-2025</t>
        </is>
      </c>
      <c r="B366" s="1" t="n">
        <v>45911.56475694444</v>
      </c>
      <c r="C366" s="1" t="n">
        <v>45983</v>
      </c>
      <c r="D366" t="inlineStr">
        <is>
          <t>DALARNAS LÄN</t>
        </is>
      </c>
      <c r="E366" t="inlineStr">
        <is>
          <t>ÄLVDALEN</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43581-2025</t>
        </is>
      </c>
      <c r="B367" s="1" t="n">
        <v>45911.64846064815</v>
      </c>
      <c r="C367" s="1" t="n">
        <v>45983</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43585-2025</t>
        </is>
      </c>
      <c r="B368" s="1" t="n">
        <v>45911.65087962963</v>
      </c>
      <c r="C368" s="1" t="n">
        <v>45983</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45983</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45983</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52152-2025</t>
        </is>
      </c>
      <c r="B371" s="1" t="n">
        <v>45953.34563657407</v>
      </c>
      <c r="C371" s="1" t="n">
        <v>45983</v>
      </c>
      <c r="D371" t="inlineStr">
        <is>
          <t>DALARNAS LÄN</t>
        </is>
      </c>
      <c r="E371" t="inlineStr">
        <is>
          <t>ÄLVDALEN</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49723-2023</t>
        </is>
      </c>
      <c r="B372" s="1" t="n">
        <v>45212</v>
      </c>
      <c r="C372" s="1" t="n">
        <v>45983</v>
      </c>
      <c r="D372" t="inlineStr">
        <is>
          <t>DALARNAS LÄN</t>
        </is>
      </c>
      <c r="E372" t="inlineStr">
        <is>
          <t>ÄLVDALEN</t>
        </is>
      </c>
      <c r="F372" t="inlineStr">
        <is>
          <t>Bergvik skog väst AB</t>
        </is>
      </c>
      <c r="G372" t="n">
        <v>5</v>
      </c>
      <c r="H372" t="n">
        <v>0</v>
      </c>
      <c r="I372" t="n">
        <v>0</v>
      </c>
      <c r="J372" t="n">
        <v>0</v>
      </c>
      <c r="K372" t="n">
        <v>0</v>
      </c>
      <c r="L372" t="n">
        <v>0</v>
      </c>
      <c r="M372" t="n">
        <v>0</v>
      </c>
      <c r="N372" t="n">
        <v>0</v>
      </c>
      <c r="O372" t="n">
        <v>0</v>
      </c>
      <c r="P372" t="n">
        <v>0</v>
      </c>
      <c r="Q372" t="n">
        <v>0</v>
      </c>
      <c r="R372" s="2" t="inlineStr"/>
    </row>
    <row r="373" ht="15" customHeight="1">
      <c r="A373" t="inlineStr">
        <is>
          <t>A 43903-2024</t>
        </is>
      </c>
      <c r="B373" s="1" t="n">
        <v>45572</v>
      </c>
      <c r="C373" s="1" t="n">
        <v>45983</v>
      </c>
      <c r="D373" t="inlineStr">
        <is>
          <t>DALARNAS LÄN</t>
        </is>
      </c>
      <c r="E373" t="inlineStr">
        <is>
          <t>ÄLVDALEN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5885-2024</t>
        </is>
      </c>
      <c r="B374" s="1" t="n">
        <v>45335</v>
      </c>
      <c r="C374" s="1" t="n">
        <v>45983</v>
      </c>
      <c r="D374" t="inlineStr">
        <is>
          <t>DALARNAS LÄN</t>
        </is>
      </c>
      <c r="E374" t="inlineStr">
        <is>
          <t>ÄLVDALEN</t>
        </is>
      </c>
      <c r="G374" t="n">
        <v>0.8</v>
      </c>
      <c r="H374" t="n">
        <v>0</v>
      </c>
      <c r="I374" t="n">
        <v>0</v>
      </c>
      <c r="J374" t="n">
        <v>0</v>
      </c>
      <c r="K374" t="n">
        <v>0</v>
      </c>
      <c r="L374" t="n">
        <v>0</v>
      </c>
      <c r="M374" t="n">
        <v>0</v>
      </c>
      <c r="N374" t="n">
        <v>0</v>
      </c>
      <c r="O374" t="n">
        <v>0</v>
      </c>
      <c r="P374" t="n">
        <v>0</v>
      </c>
      <c r="Q374" t="n">
        <v>0</v>
      </c>
      <c r="R374" s="2" t="inlineStr"/>
    </row>
    <row r="375" ht="15" customHeight="1">
      <c r="A375" t="inlineStr">
        <is>
          <t>A 8492-2025</t>
        </is>
      </c>
      <c r="B375" s="1" t="n">
        <v>45709.50980324074</v>
      </c>
      <c r="C375" s="1" t="n">
        <v>45983</v>
      </c>
      <c r="D375" t="inlineStr">
        <is>
          <t>DALARNAS LÄN</t>
        </is>
      </c>
      <c r="E375" t="inlineStr">
        <is>
          <t>ÄLVDALEN</t>
        </is>
      </c>
      <c r="G375" t="n">
        <v>1.4</v>
      </c>
      <c r="H375" t="n">
        <v>0</v>
      </c>
      <c r="I375" t="n">
        <v>0</v>
      </c>
      <c r="J375" t="n">
        <v>0</v>
      </c>
      <c r="K375" t="n">
        <v>0</v>
      </c>
      <c r="L375" t="n">
        <v>0</v>
      </c>
      <c r="M375" t="n">
        <v>0</v>
      </c>
      <c r="N375" t="n">
        <v>0</v>
      </c>
      <c r="O375" t="n">
        <v>0</v>
      </c>
      <c r="P375" t="n">
        <v>0</v>
      </c>
      <c r="Q375" t="n">
        <v>0</v>
      </c>
      <c r="R375" s="2" t="inlineStr"/>
    </row>
    <row r="376" ht="15" customHeight="1">
      <c r="A376" t="inlineStr">
        <is>
          <t>A 47087-2024</t>
        </is>
      </c>
      <c r="B376" s="1" t="n">
        <v>45586.50946759259</v>
      </c>
      <c r="C376" s="1" t="n">
        <v>45983</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30502-2025</t>
        </is>
      </c>
      <c r="B377" s="1" t="n">
        <v>45830.82903935185</v>
      </c>
      <c r="C377" s="1" t="n">
        <v>45983</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43998-2025</t>
        </is>
      </c>
      <c r="B378" s="1" t="n">
        <v>45915</v>
      </c>
      <c r="C378" s="1" t="n">
        <v>45983</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31796-2025</t>
        </is>
      </c>
      <c r="B379" s="1" t="n">
        <v>45834.54943287037</v>
      </c>
      <c r="C379" s="1" t="n">
        <v>45983</v>
      </c>
      <c r="D379" t="inlineStr">
        <is>
          <t>DALARNAS LÄN</t>
        </is>
      </c>
      <c r="E379" t="inlineStr">
        <is>
          <t>ÄLVDALEN</t>
        </is>
      </c>
      <c r="G379" t="n">
        <v>65.5</v>
      </c>
      <c r="H379" t="n">
        <v>0</v>
      </c>
      <c r="I379" t="n">
        <v>0</v>
      </c>
      <c r="J379" t="n">
        <v>0</v>
      </c>
      <c r="K379" t="n">
        <v>0</v>
      </c>
      <c r="L379" t="n">
        <v>0</v>
      </c>
      <c r="M379" t="n">
        <v>0</v>
      </c>
      <c r="N379" t="n">
        <v>0</v>
      </c>
      <c r="O379" t="n">
        <v>0</v>
      </c>
      <c r="P379" t="n">
        <v>0</v>
      </c>
      <c r="Q379" t="n">
        <v>0</v>
      </c>
      <c r="R379" s="2" t="inlineStr"/>
    </row>
    <row r="380" ht="15" customHeight="1">
      <c r="A380" t="inlineStr">
        <is>
          <t>A 59209-2022</t>
        </is>
      </c>
      <c r="B380" s="1" t="n">
        <v>44904</v>
      </c>
      <c r="C380" s="1" t="n">
        <v>45983</v>
      </c>
      <c r="D380" t="inlineStr">
        <is>
          <t>DALARNAS LÄN</t>
        </is>
      </c>
      <c r="E380" t="inlineStr">
        <is>
          <t>ÄLVDALEN</t>
        </is>
      </c>
      <c r="G380" t="n">
        <v>2.6</v>
      </c>
      <c r="H380" t="n">
        <v>0</v>
      </c>
      <c r="I380" t="n">
        <v>0</v>
      </c>
      <c r="J380" t="n">
        <v>0</v>
      </c>
      <c r="K380" t="n">
        <v>0</v>
      </c>
      <c r="L380" t="n">
        <v>0</v>
      </c>
      <c r="M380" t="n">
        <v>0</v>
      </c>
      <c r="N380" t="n">
        <v>0</v>
      </c>
      <c r="O380" t="n">
        <v>0</v>
      </c>
      <c r="P380" t="n">
        <v>0</v>
      </c>
      <c r="Q380" t="n">
        <v>0</v>
      </c>
      <c r="R380" s="2" t="inlineStr"/>
    </row>
    <row r="381" ht="15" customHeight="1">
      <c r="A381" t="inlineStr">
        <is>
          <t>A 32063-2025</t>
        </is>
      </c>
      <c r="B381" s="1" t="n">
        <v>45835.44703703704</v>
      </c>
      <c r="C381" s="1" t="n">
        <v>45983</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32668-2025</t>
        </is>
      </c>
      <c r="B382" s="1" t="n">
        <v>45838.69678240741</v>
      </c>
      <c r="C382" s="1" t="n">
        <v>45983</v>
      </c>
      <c r="D382" t="inlineStr">
        <is>
          <t>DALARNAS LÄN</t>
        </is>
      </c>
      <c r="E382" t="inlineStr">
        <is>
          <t>ÄLVDALEN</t>
        </is>
      </c>
      <c r="F382" t="inlineStr">
        <is>
          <t>Övriga Aktiebolag</t>
        </is>
      </c>
      <c r="G382" t="n">
        <v>29.5</v>
      </c>
      <c r="H382" t="n">
        <v>0</v>
      </c>
      <c r="I382" t="n">
        <v>0</v>
      </c>
      <c r="J382" t="n">
        <v>0</v>
      </c>
      <c r="K382" t="n">
        <v>0</v>
      </c>
      <c r="L382" t="n">
        <v>0</v>
      </c>
      <c r="M382" t="n">
        <v>0</v>
      </c>
      <c r="N382" t="n">
        <v>0</v>
      </c>
      <c r="O382" t="n">
        <v>0</v>
      </c>
      <c r="P382" t="n">
        <v>0</v>
      </c>
      <c r="Q382" t="n">
        <v>0</v>
      </c>
      <c r="R382" s="2" t="inlineStr"/>
    </row>
    <row r="383" ht="15" customHeight="1">
      <c r="A383" t="inlineStr">
        <is>
          <t>A 54493-2023</t>
        </is>
      </c>
      <c r="B383" s="1" t="n">
        <v>45233.50606481481</v>
      </c>
      <c r="C383" s="1" t="n">
        <v>45983</v>
      </c>
      <c r="D383" t="inlineStr">
        <is>
          <t>DALARNAS LÄN</t>
        </is>
      </c>
      <c r="E383" t="inlineStr">
        <is>
          <t>ÄLVDALEN</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45155-2023</t>
        </is>
      </c>
      <c r="B384" s="1" t="n">
        <v>45187</v>
      </c>
      <c r="C384" s="1" t="n">
        <v>45983</v>
      </c>
      <c r="D384" t="inlineStr">
        <is>
          <t>DALARNAS LÄN</t>
        </is>
      </c>
      <c r="E384" t="inlineStr">
        <is>
          <t>ÄLVDALEN</t>
        </is>
      </c>
      <c r="G384" t="n">
        <v>40.1</v>
      </c>
      <c r="H384" t="n">
        <v>0</v>
      </c>
      <c r="I384" t="n">
        <v>0</v>
      </c>
      <c r="J384" t="n">
        <v>0</v>
      </c>
      <c r="K384" t="n">
        <v>0</v>
      </c>
      <c r="L384" t="n">
        <v>0</v>
      </c>
      <c r="M384" t="n">
        <v>0</v>
      </c>
      <c r="N384" t="n">
        <v>0</v>
      </c>
      <c r="O384" t="n">
        <v>0</v>
      </c>
      <c r="P384" t="n">
        <v>0</v>
      </c>
      <c r="Q384" t="n">
        <v>0</v>
      </c>
      <c r="R384" s="2" t="inlineStr"/>
    </row>
    <row r="385" ht="15" customHeight="1">
      <c r="A385" t="inlineStr">
        <is>
          <t>A 53319-2025</t>
        </is>
      </c>
      <c r="B385" s="1" t="n">
        <v>45959.35554398148</v>
      </c>
      <c r="C385" s="1" t="n">
        <v>45983</v>
      </c>
      <c r="D385" t="inlineStr">
        <is>
          <t>DALARNAS LÄN</t>
        </is>
      </c>
      <c r="E385" t="inlineStr">
        <is>
          <t>ÄLVDALEN</t>
        </is>
      </c>
      <c r="G385" t="n">
        <v>3.8</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45983</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54114-2025</t>
        </is>
      </c>
      <c r="B387" s="1" t="n">
        <v>45964.44096064815</v>
      </c>
      <c r="C387" s="1" t="n">
        <v>45983</v>
      </c>
      <c r="D387" t="inlineStr">
        <is>
          <t>DALARNAS LÄN</t>
        </is>
      </c>
      <c r="E387" t="inlineStr">
        <is>
          <t>ÄLVDALEN</t>
        </is>
      </c>
      <c r="F387" t="inlineStr">
        <is>
          <t>Bergvik skog väst AB</t>
        </is>
      </c>
      <c r="G387" t="n">
        <v>3.8</v>
      </c>
      <c r="H387" t="n">
        <v>0</v>
      </c>
      <c r="I387" t="n">
        <v>0</v>
      </c>
      <c r="J387" t="n">
        <v>0</v>
      </c>
      <c r="K387" t="n">
        <v>0</v>
      </c>
      <c r="L387" t="n">
        <v>0</v>
      </c>
      <c r="M387" t="n">
        <v>0</v>
      </c>
      <c r="N387" t="n">
        <v>0</v>
      </c>
      <c r="O387" t="n">
        <v>0</v>
      </c>
      <c r="P387" t="n">
        <v>0</v>
      </c>
      <c r="Q387" t="n">
        <v>0</v>
      </c>
      <c r="R387" s="2" t="inlineStr"/>
    </row>
    <row r="388" ht="15" customHeight="1">
      <c r="A388" t="inlineStr">
        <is>
          <t>A 19588-2025</t>
        </is>
      </c>
      <c r="B388" s="1" t="n">
        <v>45770</v>
      </c>
      <c r="C388" s="1" t="n">
        <v>45983</v>
      </c>
      <c r="D388" t="inlineStr">
        <is>
          <t>DALARNAS LÄN</t>
        </is>
      </c>
      <c r="E388" t="inlineStr">
        <is>
          <t>ÄLVDALEN</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7917-2025</t>
        </is>
      </c>
      <c r="B389" s="1" t="n">
        <v>45707.35225694445</v>
      </c>
      <c r="C389" s="1" t="n">
        <v>45983</v>
      </c>
      <c r="D389" t="inlineStr">
        <is>
          <t>DALARNAS LÄN</t>
        </is>
      </c>
      <c r="E389" t="inlineStr">
        <is>
          <t>ÄLVDALEN</t>
        </is>
      </c>
      <c r="G389" t="n">
        <v>4.2</v>
      </c>
      <c r="H389" t="n">
        <v>0</v>
      </c>
      <c r="I389" t="n">
        <v>0</v>
      </c>
      <c r="J389" t="n">
        <v>0</v>
      </c>
      <c r="K389" t="n">
        <v>0</v>
      </c>
      <c r="L389" t="n">
        <v>0</v>
      </c>
      <c r="M389" t="n">
        <v>0</v>
      </c>
      <c r="N389" t="n">
        <v>0</v>
      </c>
      <c r="O389" t="n">
        <v>0</v>
      </c>
      <c r="P389" t="n">
        <v>0</v>
      </c>
      <c r="Q389" t="n">
        <v>0</v>
      </c>
      <c r="R389" s="2" t="inlineStr"/>
    </row>
    <row r="390" ht="15" customHeight="1">
      <c r="A390" t="inlineStr">
        <is>
          <t>A 7937-2025</t>
        </is>
      </c>
      <c r="B390" s="1" t="n">
        <v>45707.3953125</v>
      </c>
      <c r="C390" s="1" t="n">
        <v>45983</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45173-2025</t>
        </is>
      </c>
      <c r="B391" s="1" t="n">
        <v>45919.51228009259</v>
      </c>
      <c r="C391" s="1" t="n">
        <v>45983</v>
      </c>
      <c r="D391" t="inlineStr">
        <is>
          <t>DALARNAS LÄN</t>
        </is>
      </c>
      <c r="E391" t="inlineStr">
        <is>
          <t>ÄLVDALEN</t>
        </is>
      </c>
      <c r="F391" t="inlineStr">
        <is>
          <t>Allmännings- och besparingsskogar</t>
        </is>
      </c>
      <c r="G391" t="n">
        <v>40.5</v>
      </c>
      <c r="H391" t="n">
        <v>0</v>
      </c>
      <c r="I391" t="n">
        <v>0</v>
      </c>
      <c r="J391" t="n">
        <v>0</v>
      </c>
      <c r="K391" t="n">
        <v>0</v>
      </c>
      <c r="L391" t="n">
        <v>0</v>
      </c>
      <c r="M391" t="n">
        <v>0</v>
      </c>
      <c r="N391" t="n">
        <v>0</v>
      </c>
      <c r="O391" t="n">
        <v>0</v>
      </c>
      <c r="P391" t="n">
        <v>0</v>
      </c>
      <c r="Q391" t="n">
        <v>0</v>
      </c>
      <c r="R391" s="2" t="inlineStr"/>
    </row>
    <row r="392" ht="15" customHeight="1">
      <c r="A392" t="inlineStr">
        <is>
          <t>A 39283-2024</t>
        </is>
      </c>
      <c r="B392" s="1" t="n">
        <v>45551.36314814815</v>
      </c>
      <c r="C392" s="1" t="n">
        <v>45983</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34314-2025</t>
        </is>
      </c>
      <c r="B393" s="1" t="n">
        <v>45846</v>
      </c>
      <c r="C393" s="1" t="n">
        <v>45983</v>
      </c>
      <c r="D393" t="inlineStr">
        <is>
          <t>DALARNAS LÄN</t>
        </is>
      </c>
      <c r="E393" t="inlineStr">
        <is>
          <t>ÄLVDALEN</t>
        </is>
      </c>
      <c r="F393" t="inlineStr">
        <is>
          <t>Bergvik skog väst AB</t>
        </is>
      </c>
      <c r="G393" t="n">
        <v>6</v>
      </c>
      <c r="H393" t="n">
        <v>0</v>
      </c>
      <c r="I393" t="n">
        <v>0</v>
      </c>
      <c r="J393" t="n">
        <v>0</v>
      </c>
      <c r="K393" t="n">
        <v>0</v>
      </c>
      <c r="L393" t="n">
        <v>0</v>
      </c>
      <c r="M393" t="n">
        <v>0</v>
      </c>
      <c r="N393" t="n">
        <v>0</v>
      </c>
      <c r="O393" t="n">
        <v>0</v>
      </c>
      <c r="P393" t="n">
        <v>0</v>
      </c>
      <c r="Q393" t="n">
        <v>0</v>
      </c>
      <c r="R393" s="2" t="inlineStr"/>
    </row>
    <row r="394" ht="15" customHeight="1">
      <c r="A394" t="inlineStr">
        <is>
          <t>A 54840-2025</t>
        </is>
      </c>
      <c r="B394" s="1" t="n">
        <v>45966.68414351852</v>
      </c>
      <c r="C394" s="1" t="n">
        <v>45983</v>
      </c>
      <c r="D394" t="inlineStr">
        <is>
          <t>DALARNAS LÄN</t>
        </is>
      </c>
      <c r="E394" t="inlineStr">
        <is>
          <t>ÄLVDALEN</t>
        </is>
      </c>
      <c r="G394" t="n">
        <v>16.3</v>
      </c>
      <c r="H394" t="n">
        <v>0</v>
      </c>
      <c r="I394" t="n">
        <v>0</v>
      </c>
      <c r="J394" t="n">
        <v>0</v>
      </c>
      <c r="K394" t="n">
        <v>0</v>
      </c>
      <c r="L394" t="n">
        <v>0</v>
      </c>
      <c r="M394" t="n">
        <v>0</v>
      </c>
      <c r="N394" t="n">
        <v>0</v>
      </c>
      <c r="O394" t="n">
        <v>0</v>
      </c>
      <c r="P394" t="n">
        <v>0</v>
      </c>
      <c r="Q394" t="n">
        <v>0</v>
      </c>
      <c r="R394" s="2" t="inlineStr"/>
    </row>
    <row r="395" ht="15" customHeight="1">
      <c r="A395" t="inlineStr">
        <is>
          <t>A 7576-2024</t>
        </is>
      </c>
      <c r="B395" s="1" t="n">
        <v>45348.47555555555</v>
      </c>
      <c r="C395" s="1" t="n">
        <v>45983</v>
      </c>
      <c r="D395" t="inlineStr">
        <is>
          <t>DALARNAS LÄN</t>
        </is>
      </c>
      <c r="E395" t="inlineStr">
        <is>
          <t>ÄLVDALEN</t>
        </is>
      </c>
      <c r="G395" t="n">
        <v>11.1</v>
      </c>
      <c r="H395" t="n">
        <v>0</v>
      </c>
      <c r="I395" t="n">
        <v>0</v>
      </c>
      <c r="J395" t="n">
        <v>0</v>
      </c>
      <c r="K395" t="n">
        <v>0</v>
      </c>
      <c r="L395" t="n">
        <v>0</v>
      </c>
      <c r="M395" t="n">
        <v>0</v>
      </c>
      <c r="N395" t="n">
        <v>0</v>
      </c>
      <c r="O395" t="n">
        <v>0</v>
      </c>
      <c r="P395" t="n">
        <v>0</v>
      </c>
      <c r="Q395" t="n">
        <v>0</v>
      </c>
      <c r="R395" s="2" t="inlineStr"/>
    </row>
    <row r="396" ht="15" customHeight="1">
      <c r="A396" t="inlineStr">
        <is>
          <t>A 34739-2025</t>
        </is>
      </c>
      <c r="B396" s="1" t="n">
        <v>45848.60682870371</v>
      </c>
      <c r="C396" s="1" t="n">
        <v>45983</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34778-2025</t>
        </is>
      </c>
      <c r="B397" s="1" t="n">
        <v>45848.66840277778</v>
      </c>
      <c r="C397" s="1" t="n">
        <v>45983</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34697-2025</t>
        </is>
      </c>
      <c r="B398" s="1" t="n">
        <v>45848.46181712963</v>
      </c>
      <c r="C398" s="1" t="n">
        <v>45983</v>
      </c>
      <c r="D398" t="inlineStr">
        <is>
          <t>DALARNAS LÄN</t>
        </is>
      </c>
      <c r="E398" t="inlineStr">
        <is>
          <t>ÄLVDALEN</t>
        </is>
      </c>
      <c r="F398" t="inlineStr">
        <is>
          <t>Allmännings- och besparingsskogar</t>
        </is>
      </c>
      <c r="G398" t="n">
        <v>7.8</v>
      </c>
      <c r="H398" t="n">
        <v>0</v>
      </c>
      <c r="I398" t="n">
        <v>0</v>
      </c>
      <c r="J398" t="n">
        <v>0</v>
      </c>
      <c r="K398" t="n">
        <v>0</v>
      </c>
      <c r="L398" t="n">
        <v>0</v>
      </c>
      <c r="M398" t="n">
        <v>0</v>
      </c>
      <c r="N398" t="n">
        <v>0</v>
      </c>
      <c r="O398" t="n">
        <v>0</v>
      </c>
      <c r="P398" t="n">
        <v>0</v>
      </c>
      <c r="Q398" t="n">
        <v>0</v>
      </c>
      <c r="R398" s="2" t="inlineStr"/>
    </row>
    <row r="399" ht="15" customHeight="1">
      <c r="A399" t="inlineStr">
        <is>
          <t>A 34705-2025</t>
        </is>
      </c>
      <c r="B399" s="1" t="n">
        <v>45848.49012731481</v>
      </c>
      <c r="C399" s="1" t="n">
        <v>45983</v>
      </c>
      <c r="D399" t="inlineStr">
        <is>
          <t>DALARNAS LÄN</t>
        </is>
      </c>
      <c r="E399" t="inlineStr">
        <is>
          <t>ÄLVDALEN</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34645-2025</t>
        </is>
      </c>
      <c r="B400" s="1" t="n">
        <v>45848.33440972222</v>
      </c>
      <c r="C400" s="1" t="n">
        <v>45983</v>
      </c>
      <c r="D400" t="inlineStr">
        <is>
          <t>DALARNAS LÄN</t>
        </is>
      </c>
      <c r="E400" t="inlineStr">
        <is>
          <t>ÄLVDALEN</t>
        </is>
      </c>
      <c r="G400" t="n">
        <v>7.1</v>
      </c>
      <c r="H400" t="n">
        <v>0</v>
      </c>
      <c r="I400" t="n">
        <v>0</v>
      </c>
      <c r="J400" t="n">
        <v>0</v>
      </c>
      <c r="K400" t="n">
        <v>0</v>
      </c>
      <c r="L400" t="n">
        <v>0</v>
      </c>
      <c r="M400" t="n">
        <v>0</v>
      </c>
      <c r="N400" t="n">
        <v>0</v>
      </c>
      <c r="O400" t="n">
        <v>0</v>
      </c>
      <c r="P400" t="n">
        <v>0</v>
      </c>
      <c r="Q400" t="n">
        <v>0</v>
      </c>
      <c r="R400" s="2" t="inlineStr"/>
    </row>
    <row r="401" ht="15" customHeight="1">
      <c r="A401" t="inlineStr">
        <is>
          <t>A 62315-2022</t>
        </is>
      </c>
      <c r="B401" s="1" t="n">
        <v>44916</v>
      </c>
      <c r="C401" s="1" t="n">
        <v>45983</v>
      </c>
      <c r="D401" t="inlineStr">
        <is>
          <t>DALARNAS LÄN</t>
        </is>
      </c>
      <c r="E401" t="inlineStr">
        <is>
          <t>ÄLVDALEN</t>
        </is>
      </c>
      <c r="G401" t="n">
        <v>2.1</v>
      </c>
      <c r="H401" t="n">
        <v>0</v>
      </c>
      <c r="I401" t="n">
        <v>0</v>
      </c>
      <c r="J401" t="n">
        <v>0</v>
      </c>
      <c r="K401" t="n">
        <v>0</v>
      </c>
      <c r="L401" t="n">
        <v>0</v>
      </c>
      <c r="M401" t="n">
        <v>0</v>
      </c>
      <c r="N401" t="n">
        <v>0</v>
      </c>
      <c r="O401" t="n">
        <v>0</v>
      </c>
      <c r="P401" t="n">
        <v>0</v>
      </c>
      <c r="Q401" t="n">
        <v>0</v>
      </c>
      <c r="R401" s="2" t="inlineStr"/>
    </row>
    <row r="402" ht="15" customHeight="1">
      <c r="A402" t="inlineStr">
        <is>
          <t>A 34526-2025</t>
        </is>
      </c>
      <c r="B402" s="1" t="n">
        <v>45847.47820601852</v>
      </c>
      <c r="C402" s="1" t="n">
        <v>45983</v>
      </c>
      <c r="D402" t="inlineStr">
        <is>
          <t>DALARNAS LÄN</t>
        </is>
      </c>
      <c r="E402" t="inlineStr">
        <is>
          <t>ÄLVDALEN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34850-2025</t>
        </is>
      </c>
      <c r="B403" s="1" t="n">
        <v>45849.42398148148</v>
      </c>
      <c r="C403" s="1" t="n">
        <v>45983</v>
      </c>
      <c r="D403" t="inlineStr">
        <is>
          <t>DALARNAS LÄN</t>
        </is>
      </c>
      <c r="E403" t="inlineStr">
        <is>
          <t>ÄLVDALEN</t>
        </is>
      </c>
      <c r="F403" t="inlineStr">
        <is>
          <t>Allmännings- och besparingsskogar</t>
        </is>
      </c>
      <c r="G403" t="n">
        <v>12.1</v>
      </c>
      <c r="H403" t="n">
        <v>0</v>
      </c>
      <c r="I403" t="n">
        <v>0</v>
      </c>
      <c r="J403" t="n">
        <v>0</v>
      </c>
      <c r="K403" t="n">
        <v>0</v>
      </c>
      <c r="L403" t="n">
        <v>0</v>
      </c>
      <c r="M403" t="n">
        <v>0</v>
      </c>
      <c r="N403" t="n">
        <v>0</v>
      </c>
      <c r="O403" t="n">
        <v>0</v>
      </c>
      <c r="P403" t="n">
        <v>0</v>
      </c>
      <c r="Q403" t="n">
        <v>0</v>
      </c>
      <c r="R403" s="2" t="inlineStr"/>
    </row>
    <row r="404" ht="15" customHeight="1">
      <c r="A404" t="inlineStr">
        <is>
          <t>A 34914-2025</t>
        </is>
      </c>
      <c r="B404" s="1" t="n">
        <v>45849.54108796296</v>
      </c>
      <c r="C404" s="1" t="n">
        <v>45983</v>
      </c>
      <c r="D404" t="inlineStr">
        <is>
          <t>DALARNAS LÄN</t>
        </is>
      </c>
      <c r="E404" t="inlineStr">
        <is>
          <t>ÄLVDALEN</t>
        </is>
      </c>
      <c r="F404" t="inlineStr">
        <is>
          <t>Allmännings- och besparingsskogar</t>
        </is>
      </c>
      <c r="G404" t="n">
        <v>19.2</v>
      </c>
      <c r="H404" t="n">
        <v>0</v>
      </c>
      <c r="I404" t="n">
        <v>0</v>
      </c>
      <c r="J404" t="n">
        <v>0</v>
      </c>
      <c r="K404" t="n">
        <v>0</v>
      </c>
      <c r="L404" t="n">
        <v>0</v>
      </c>
      <c r="M404" t="n">
        <v>0</v>
      </c>
      <c r="N404" t="n">
        <v>0</v>
      </c>
      <c r="O404" t="n">
        <v>0</v>
      </c>
      <c r="P404" t="n">
        <v>0</v>
      </c>
      <c r="Q404" t="n">
        <v>0</v>
      </c>
      <c r="R404" s="2" t="inlineStr"/>
    </row>
    <row r="405" ht="15" customHeight="1">
      <c r="A405" t="inlineStr">
        <is>
          <t>A 1790-2024</t>
        </is>
      </c>
      <c r="B405" s="1" t="n">
        <v>45307.5731712963</v>
      </c>
      <c r="C405" s="1" t="n">
        <v>45983</v>
      </c>
      <c r="D405" t="inlineStr">
        <is>
          <t>DALARNAS LÄN</t>
        </is>
      </c>
      <c r="E405" t="inlineStr">
        <is>
          <t>ÄLVDALEN</t>
        </is>
      </c>
      <c r="G405" t="n">
        <v>1.9</v>
      </c>
      <c r="H405" t="n">
        <v>0</v>
      </c>
      <c r="I405" t="n">
        <v>0</v>
      </c>
      <c r="J405" t="n">
        <v>0</v>
      </c>
      <c r="K405" t="n">
        <v>0</v>
      </c>
      <c r="L405" t="n">
        <v>0</v>
      </c>
      <c r="M405" t="n">
        <v>0</v>
      </c>
      <c r="N405" t="n">
        <v>0</v>
      </c>
      <c r="O405" t="n">
        <v>0</v>
      </c>
      <c r="P405" t="n">
        <v>0</v>
      </c>
      <c r="Q405" t="n">
        <v>0</v>
      </c>
      <c r="R405" s="2" t="inlineStr"/>
    </row>
    <row r="406" ht="15" customHeight="1">
      <c r="A406" t="inlineStr">
        <is>
          <t>A 46409-2025</t>
        </is>
      </c>
      <c r="B406" s="1" t="n">
        <v>45925.56752314815</v>
      </c>
      <c r="C406" s="1" t="n">
        <v>45983</v>
      </c>
      <c r="D406" t="inlineStr">
        <is>
          <t>DALARNAS LÄN</t>
        </is>
      </c>
      <c r="E406" t="inlineStr">
        <is>
          <t>ÄLVDALEN</t>
        </is>
      </c>
      <c r="G406" t="n">
        <v>2.6</v>
      </c>
      <c r="H406" t="n">
        <v>0</v>
      </c>
      <c r="I406" t="n">
        <v>0</v>
      </c>
      <c r="J406" t="n">
        <v>0</v>
      </c>
      <c r="K406" t="n">
        <v>0</v>
      </c>
      <c r="L406" t="n">
        <v>0</v>
      </c>
      <c r="M406" t="n">
        <v>0</v>
      </c>
      <c r="N406" t="n">
        <v>0</v>
      </c>
      <c r="O406" t="n">
        <v>0</v>
      </c>
      <c r="P406" t="n">
        <v>0</v>
      </c>
      <c r="Q406" t="n">
        <v>0</v>
      </c>
      <c r="R406" s="2" t="inlineStr"/>
    </row>
    <row r="407" ht="15" customHeight="1">
      <c r="A407" t="inlineStr">
        <is>
          <t>A 27187-2025</t>
        </is>
      </c>
      <c r="B407" s="1" t="n">
        <v>45812</v>
      </c>
      <c r="C407" s="1" t="n">
        <v>45983</v>
      </c>
      <c r="D407" t="inlineStr">
        <is>
          <t>DALARNAS LÄN</t>
        </is>
      </c>
      <c r="E407" t="inlineStr">
        <is>
          <t>ÄLVDALEN</t>
        </is>
      </c>
      <c r="F407" t="inlineStr">
        <is>
          <t>Allmännings- och besparingsskogar</t>
        </is>
      </c>
      <c r="G407" t="n">
        <v>3</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45983</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52167-2024</t>
        </is>
      </c>
      <c r="B409" s="1" t="n">
        <v>45608.53949074074</v>
      </c>
      <c r="C409" s="1" t="n">
        <v>45983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55176-2025</t>
        </is>
      </c>
      <c r="B410" s="1" t="n">
        <v>45968.51841435185</v>
      </c>
      <c r="C410" s="1" t="n">
        <v>45983</v>
      </c>
      <c r="D410" t="inlineStr">
        <is>
          <t>DALARNAS LÄN</t>
        </is>
      </c>
      <c r="E410" t="inlineStr">
        <is>
          <t>ÄLVDALEN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35993-2025</t>
        </is>
      </c>
      <c r="B411" s="1" t="n">
        <v>45863.48056712963</v>
      </c>
      <c r="C411" s="1" t="n">
        <v>45983</v>
      </c>
      <c r="D411" t="inlineStr">
        <is>
          <t>DALARNAS LÄN</t>
        </is>
      </c>
      <c r="E411" t="inlineStr">
        <is>
          <t>ÄLVDALEN</t>
        </is>
      </c>
      <c r="F411" t="inlineStr">
        <is>
          <t>Bergvik skog öst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47018-2025</t>
        </is>
      </c>
      <c r="B412" s="1" t="n">
        <v>45929.57569444444</v>
      </c>
      <c r="C412" s="1" t="n">
        <v>45983</v>
      </c>
      <c r="D412" t="inlineStr">
        <is>
          <t>DALARNAS LÄN</t>
        </is>
      </c>
      <c r="E412" t="inlineStr">
        <is>
          <t>ÄLVDALEN</t>
        </is>
      </c>
      <c r="F412" t="inlineStr">
        <is>
          <t>Allmännings- och besparingsskogar</t>
        </is>
      </c>
      <c r="G412" t="n">
        <v>3.4</v>
      </c>
      <c r="H412" t="n">
        <v>0</v>
      </c>
      <c r="I412" t="n">
        <v>0</v>
      </c>
      <c r="J412" t="n">
        <v>0</v>
      </c>
      <c r="K412" t="n">
        <v>0</v>
      </c>
      <c r="L412" t="n">
        <v>0</v>
      </c>
      <c r="M412" t="n">
        <v>0</v>
      </c>
      <c r="N412" t="n">
        <v>0</v>
      </c>
      <c r="O412" t="n">
        <v>0</v>
      </c>
      <c r="P412" t="n">
        <v>0</v>
      </c>
      <c r="Q412" t="n">
        <v>0</v>
      </c>
      <c r="R412" s="2" t="inlineStr"/>
    </row>
    <row r="413" ht="15" customHeight="1">
      <c r="A413" t="inlineStr">
        <is>
          <t>A 30799-2021</t>
        </is>
      </c>
      <c r="B413" s="1" t="n">
        <v>44365.51483796296</v>
      </c>
      <c r="C413" s="1" t="n">
        <v>45983</v>
      </c>
      <c r="D413" t="inlineStr">
        <is>
          <t>DALARNAS LÄN</t>
        </is>
      </c>
      <c r="E413" t="inlineStr">
        <is>
          <t>ÄLVDALEN</t>
        </is>
      </c>
      <c r="G413" t="n">
        <v>1.2</v>
      </c>
      <c r="H413" t="n">
        <v>0</v>
      </c>
      <c r="I413" t="n">
        <v>0</v>
      </c>
      <c r="J413" t="n">
        <v>0</v>
      </c>
      <c r="K413" t="n">
        <v>0</v>
      </c>
      <c r="L413" t="n">
        <v>0</v>
      </c>
      <c r="M413" t="n">
        <v>0</v>
      </c>
      <c r="N413" t="n">
        <v>0</v>
      </c>
      <c r="O413" t="n">
        <v>0</v>
      </c>
      <c r="P413" t="n">
        <v>0</v>
      </c>
      <c r="Q413" t="n">
        <v>0</v>
      </c>
      <c r="R413" s="2" t="inlineStr"/>
    </row>
    <row r="414" ht="15" customHeight="1">
      <c r="A414" t="inlineStr">
        <is>
          <t>A 46882-2025</t>
        </is>
      </c>
      <c r="B414" s="1" t="n">
        <v>45929.36357638889</v>
      </c>
      <c r="C414" s="1" t="n">
        <v>45983</v>
      </c>
      <c r="D414" t="inlineStr">
        <is>
          <t>DALARNAS LÄN</t>
        </is>
      </c>
      <c r="E414" t="inlineStr">
        <is>
          <t>ÄLVDALEN</t>
        </is>
      </c>
      <c r="F414" t="inlineStr">
        <is>
          <t>Allmännings- och besparingsskogar</t>
        </is>
      </c>
      <c r="G414" t="n">
        <v>4.9</v>
      </c>
      <c r="H414" t="n">
        <v>0</v>
      </c>
      <c r="I414" t="n">
        <v>0</v>
      </c>
      <c r="J414" t="n">
        <v>0</v>
      </c>
      <c r="K414" t="n">
        <v>0</v>
      </c>
      <c r="L414" t="n">
        <v>0</v>
      </c>
      <c r="M414" t="n">
        <v>0</v>
      </c>
      <c r="N414" t="n">
        <v>0</v>
      </c>
      <c r="O414" t="n">
        <v>0</v>
      </c>
      <c r="P414" t="n">
        <v>0</v>
      </c>
      <c r="Q414" t="n">
        <v>0</v>
      </c>
      <c r="R414" s="2" t="inlineStr"/>
    </row>
    <row r="415" ht="15" customHeight="1">
      <c r="A415" t="inlineStr">
        <is>
          <t>A 59444-2024</t>
        </is>
      </c>
      <c r="B415" s="1" t="n">
        <v>45638.45292824074</v>
      </c>
      <c r="C415" s="1" t="n">
        <v>45983</v>
      </c>
      <c r="D415" t="inlineStr">
        <is>
          <t>DALARNAS LÄN</t>
        </is>
      </c>
      <c r="E415" t="inlineStr">
        <is>
          <t>ÄLVDALEN</t>
        </is>
      </c>
      <c r="G415" t="n">
        <v>3.9</v>
      </c>
      <c r="H415" t="n">
        <v>0</v>
      </c>
      <c r="I415" t="n">
        <v>0</v>
      </c>
      <c r="J415" t="n">
        <v>0</v>
      </c>
      <c r="K415" t="n">
        <v>0</v>
      </c>
      <c r="L415" t="n">
        <v>0</v>
      </c>
      <c r="M415" t="n">
        <v>0</v>
      </c>
      <c r="N415" t="n">
        <v>0</v>
      </c>
      <c r="O415" t="n">
        <v>0</v>
      </c>
      <c r="P415" t="n">
        <v>0</v>
      </c>
      <c r="Q415" t="n">
        <v>0</v>
      </c>
      <c r="R415" s="2" t="inlineStr"/>
    </row>
    <row r="416" ht="15" customHeight="1">
      <c r="A416" t="inlineStr">
        <is>
          <t>A 59483-2024</t>
        </is>
      </c>
      <c r="B416" s="1" t="n">
        <v>45638.52847222222</v>
      </c>
      <c r="C416" s="1" t="n">
        <v>45983</v>
      </c>
      <c r="D416" t="inlineStr">
        <is>
          <t>DALARNAS LÄN</t>
        </is>
      </c>
      <c r="E416" t="inlineStr">
        <is>
          <t>ÄLVDALEN</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19578-2025</t>
        </is>
      </c>
      <c r="B417" s="1" t="n">
        <v>45770</v>
      </c>
      <c r="C417" s="1" t="n">
        <v>45983</v>
      </c>
      <c r="D417" t="inlineStr">
        <is>
          <t>DALARNAS LÄN</t>
        </is>
      </c>
      <c r="E417" t="inlineStr">
        <is>
          <t>ÄLVDALEN</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19583-2025</t>
        </is>
      </c>
      <c r="B418" s="1" t="n">
        <v>45770</v>
      </c>
      <c r="C418" s="1" t="n">
        <v>45983</v>
      </c>
      <c r="D418" t="inlineStr">
        <is>
          <t>DALARNAS LÄN</t>
        </is>
      </c>
      <c r="E418" t="inlineStr">
        <is>
          <t>ÄLVDALEN</t>
        </is>
      </c>
      <c r="F418" t="inlineStr">
        <is>
          <t>Sveaskog</t>
        </is>
      </c>
      <c r="G418" t="n">
        <v>24.1</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45983</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61072-2024</t>
        </is>
      </c>
      <c r="B420" s="1" t="n">
        <v>45645.50583333334</v>
      </c>
      <c r="C420" s="1" t="n">
        <v>45983</v>
      </c>
      <c r="D420" t="inlineStr">
        <is>
          <t>DALARNAS LÄN</t>
        </is>
      </c>
      <c r="E420" t="inlineStr">
        <is>
          <t>ÄLVDALEN</t>
        </is>
      </c>
      <c r="G420" t="n">
        <v>3.9</v>
      </c>
      <c r="H420" t="n">
        <v>0</v>
      </c>
      <c r="I420" t="n">
        <v>0</v>
      </c>
      <c r="J420" t="n">
        <v>0</v>
      </c>
      <c r="K420" t="n">
        <v>0</v>
      </c>
      <c r="L420" t="n">
        <v>0</v>
      </c>
      <c r="M420" t="n">
        <v>0</v>
      </c>
      <c r="N420" t="n">
        <v>0</v>
      </c>
      <c r="O420" t="n">
        <v>0</v>
      </c>
      <c r="P420" t="n">
        <v>0</v>
      </c>
      <c r="Q420" t="n">
        <v>0</v>
      </c>
      <c r="R420" s="2" t="inlineStr"/>
    </row>
    <row r="421" ht="15" customHeight="1">
      <c r="A421" t="inlineStr">
        <is>
          <t>A 17558-2024</t>
        </is>
      </c>
      <c r="B421" s="1" t="n">
        <v>45415.66295138889</v>
      </c>
      <c r="C421" s="1" t="n">
        <v>45983</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36830-2025</t>
        </is>
      </c>
      <c r="B422" s="1" t="n">
        <v>45874.34365740741</v>
      </c>
      <c r="C422" s="1" t="n">
        <v>45983</v>
      </c>
      <c r="D422" t="inlineStr">
        <is>
          <t>DALARNAS LÄN</t>
        </is>
      </c>
      <c r="E422" t="inlineStr">
        <is>
          <t>ÄLVDALEN</t>
        </is>
      </c>
      <c r="F422" t="inlineStr">
        <is>
          <t>Bergvik skog väst AB</t>
        </is>
      </c>
      <c r="G422" t="n">
        <v>5</v>
      </c>
      <c r="H422" t="n">
        <v>0</v>
      </c>
      <c r="I422" t="n">
        <v>0</v>
      </c>
      <c r="J422" t="n">
        <v>0</v>
      </c>
      <c r="K422" t="n">
        <v>0</v>
      </c>
      <c r="L422" t="n">
        <v>0</v>
      </c>
      <c r="M422" t="n">
        <v>0</v>
      </c>
      <c r="N422" t="n">
        <v>0</v>
      </c>
      <c r="O422" t="n">
        <v>0</v>
      </c>
      <c r="P422" t="n">
        <v>0</v>
      </c>
      <c r="Q422" t="n">
        <v>0</v>
      </c>
      <c r="R422" s="2" t="inlineStr"/>
    </row>
    <row r="423" ht="15" customHeight="1">
      <c r="A423" t="inlineStr">
        <is>
          <t>A 55981-2025</t>
        </is>
      </c>
      <c r="B423" s="1" t="n">
        <v>45973.53064814815</v>
      </c>
      <c r="C423" s="1" t="n">
        <v>45983</v>
      </c>
      <c r="D423" t="inlineStr">
        <is>
          <t>DALARNAS LÄN</t>
        </is>
      </c>
      <c r="E423" t="inlineStr">
        <is>
          <t>ÄLVDALEN</t>
        </is>
      </c>
      <c r="G423" t="n">
        <v>12.2</v>
      </c>
      <c r="H423" t="n">
        <v>0</v>
      </c>
      <c r="I423" t="n">
        <v>0</v>
      </c>
      <c r="J423" t="n">
        <v>0</v>
      </c>
      <c r="K423" t="n">
        <v>0</v>
      </c>
      <c r="L423" t="n">
        <v>0</v>
      </c>
      <c r="M423" t="n">
        <v>0</v>
      </c>
      <c r="N423" t="n">
        <v>0</v>
      </c>
      <c r="O423" t="n">
        <v>0</v>
      </c>
      <c r="P423" t="n">
        <v>0</v>
      </c>
      <c r="Q423" t="n">
        <v>0</v>
      </c>
      <c r="R423" s="2" t="inlineStr"/>
    </row>
    <row r="424" ht="15" customHeight="1">
      <c r="A424" t="inlineStr">
        <is>
          <t>A 47692-2025</t>
        </is>
      </c>
      <c r="B424" s="1" t="n">
        <v>45931.59818287037</v>
      </c>
      <c r="C424" s="1" t="n">
        <v>45983</v>
      </c>
      <c r="D424" t="inlineStr">
        <is>
          <t>DALARNAS LÄN</t>
        </is>
      </c>
      <c r="E424" t="inlineStr">
        <is>
          <t>ÄLVDALEN</t>
        </is>
      </c>
      <c r="G424" t="n">
        <v>0.4</v>
      </c>
      <c r="H424" t="n">
        <v>0</v>
      </c>
      <c r="I424" t="n">
        <v>0</v>
      </c>
      <c r="J424" t="n">
        <v>0</v>
      </c>
      <c r="K424" t="n">
        <v>0</v>
      </c>
      <c r="L424" t="n">
        <v>0</v>
      </c>
      <c r="M424" t="n">
        <v>0</v>
      </c>
      <c r="N424" t="n">
        <v>0</v>
      </c>
      <c r="O424" t="n">
        <v>0</v>
      </c>
      <c r="P424" t="n">
        <v>0</v>
      </c>
      <c r="Q424" t="n">
        <v>0</v>
      </c>
      <c r="R424" s="2" t="inlineStr"/>
    </row>
    <row r="425" ht="15" customHeight="1">
      <c r="A425" t="inlineStr">
        <is>
          <t>A 31332-2023</t>
        </is>
      </c>
      <c r="B425" s="1" t="n">
        <v>45114</v>
      </c>
      <c r="C425" s="1" t="n">
        <v>45983</v>
      </c>
      <c r="D425" t="inlineStr">
        <is>
          <t>DALARNAS LÄN</t>
        </is>
      </c>
      <c r="E425" t="inlineStr">
        <is>
          <t>ÄLVDALEN</t>
        </is>
      </c>
      <c r="F425" t="inlineStr">
        <is>
          <t>Övriga statliga verk och myndigheter</t>
        </is>
      </c>
      <c r="G425" t="n">
        <v>0.5</v>
      </c>
      <c r="H425" t="n">
        <v>0</v>
      </c>
      <c r="I425" t="n">
        <v>0</v>
      </c>
      <c r="J425" t="n">
        <v>0</v>
      </c>
      <c r="K425" t="n">
        <v>0</v>
      </c>
      <c r="L425" t="n">
        <v>0</v>
      </c>
      <c r="M425" t="n">
        <v>0</v>
      </c>
      <c r="N425" t="n">
        <v>0</v>
      </c>
      <c r="O425" t="n">
        <v>0</v>
      </c>
      <c r="P425" t="n">
        <v>0</v>
      </c>
      <c r="Q425" t="n">
        <v>0</v>
      </c>
      <c r="R425" s="2" t="inlineStr"/>
    </row>
    <row r="426" ht="15" customHeight="1">
      <c r="A426" t="inlineStr">
        <is>
          <t>A 55919-2025</t>
        </is>
      </c>
      <c r="B426" s="1" t="n">
        <v>45973.41636574074</v>
      </c>
      <c r="C426" s="1" t="n">
        <v>45983</v>
      </c>
      <c r="D426" t="inlineStr">
        <is>
          <t>DALARNAS LÄN</t>
        </is>
      </c>
      <c r="E426" t="inlineStr">
        <is>
          <t>ÄLVDALEN</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45983</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22454-2021</t>
        </is>
      </c>
      <c r="B428" s="1" t="n">
        <v>44326</v>
      </c>
      <c r="C428" s="1" t="n">
        <v>45983</v>
      </c>
      <c r="D428" t="inlineStr">
        <is>
          <t>DALARNAS LÄN</t>
        </is>
      </c>
      <c r="E428" t="inlineStr">
        <is>
          <t>ÄLVDALEN</t>
        </is>
      </c>
      <c r="F428" t="inlineStr">
        <is>
          <t>Allmännings- och besparingsskogar</t>
        </is>
      </c>
      <c r="G428" t="n">
        <v>4.3</v>
      </c>
      <c r="H428" t="n">
        <v>0</v>
      </c>
      <c r="I428" t="n">
        <v>0</v>
      </c>
      <c r="J428" t="n">
        <v>0</v>
      </c>
      <c r="K428" t="n">
        <v>0</v>
      </c>
      <c r="L428" t="n">
        <v>0</v>
      </c>
      <c r="M428" t="n">
        <v>0</v>
      </c>
      <c r="N428" t="n">
        <v>0</v>
      </c>
      <c r="O428" t="n">
        <v>0</v>
      </c>
      <c r="P428" t="n">
        <v>0</v>
      </c>
      <c r="Q428" t="n">
        <v>0</v>
      </c>
      <c r="R428" s="2" t="inlineStr"/>
    </row>
    <row r="429" ht="15" customHeight="1">
      <c r="A429" t="inlineStr">
        <is>
          <t>A 15952-2021</t>
        </is>
      </c>
      <c r="B429" s="1" t="n">
        <v>44286</v>
      </c>
      <c r="C429" s="1" t="n">
        <v>45983</v>
      </c>
      <c r="D429" t="inlineStr">
        <is>
          <t>DALARNAS LÄN</t>
        </is>
      </c>
      <c r="E429" t="inlineStr">
        <is>
          <t>ÄLVDALEN</t>
        </is>
      </c>
      <c r="F429" t="inlineStr">
        <is>
          <t>Övriga statliga verk och myndigheter</t>
        </is>
      </c>
      <c r="G429" t="n">
        <v>6.6</v>
      </c>
      <c r="H429" t="n">
        <v>0</v>
      </c>
      <c r="I429" t="n">
        <v>0</v>
      </c>
      <c r="J429" t="n">
        <v>0</v>
      </c>
      <c r="K429" t="n">
        <v>0</v>
      </c>
      <c r="L429" t="n">
        <v>0</v>
      </c>
      <c r="M429" t="n">
        <v>0</v>
      </c>
      <c r="N429" t="n">
        <v>0</v>
      </c>
      <c r="O429" t="n">
        <v>0</v>
      </c>
      <c r="P429" t="n">
        <v>0</v>
      </c>
      <c r="Q429" t="n">
        <v>0</v>
      </c>
      <c r="R429" s="2" t="inlineStr"/>
    </row>
    <row r="430" ht="15" customHeight="1">
      <c r="A430" t="inlineStr">
        <is>
          <t>A 43990-2024</t>
        </is>
      </c>
      <c r="B430" s="1" t="n">
        <v>45572</v>
      </c>
      <c r="C430" s="1" t="n">
        <v>45983</v>
      </c>
      <c r="D430" t="inlineStr">
        <is>
          <t>DALARNAS LÄN</t>
        </is>
      </c>
      <c r="E430" t="inlineStr">
        <is>
          <t>ÄLVDALEN</t>
        </is>
      </c>
      <c r="F430" t="inlineStr">
        <is>
          <t>Kommuner</t>
        </is>
      </c>
      <c r="G430" t="n">
        <v>0</v>
      </c>
      <c r="H430" t="n">
        <v>0</v>
      </c>
      <c r="I430" t="n">
        <v>0</v>
      </c>
      <c r="J430" t="n">
        <v>0</v>
      </c>
      <c r="K430" t="n">
        <v>0</v>
      </c>
      <c r="L430" t="n">
        <v>0</v>
      </c>
      <c r="M430" t="n">
        <v>0</v>
      </c>
      <c r="N430" t="n">
        <v>0</v>
      </c>
      <c r="O430" t="n">
        <v>0</v>
      </c>
      <c r="P430" t="n">
        <v>0</v>
      </c>
      <c r="Q430" t="n">
        <v>0</v>
      </c>
      <c r="R430" s="2" t="inlineStr"/>
    </row>
    <row r="431" ht="15" customHeight="1">
      <c r="A431" t="inlineStr">
        <is>
          <t>A 61070-2024</t>
        </is>
      </c>
      <c r="B431" s="1" t="n">
        <v>45645.50170138889</v>
      </c>
      <c r="C431" s="1" t="n">
        <v>45983</v>
      </c>
      <c r="D431" t="inlineStr">
        <is>
          <t>DALARNAS LÄN</t>
        </is>
      </c>
      <c r="E431" t="inlineStr">
        <is>
          <t>ÄLVDALEN</t>
        </is>
      </c>
      <c r="G431" t="n">
        <v>5.6</v>
      </c>
      <c r="H431" t="n">
        <v>0</v>
      </c>
      <c r="I431" t="n">
        <v>0</v>
      </c>
      <c r="J431" t="n">
        <v>0</v>
      </c>
      <c r="K431" t="n">
        <v>0</v>
      </c>
      <c r="L431" t="n">
        <v>0</v>
      </c>
      <c r="M431" t="n">
        <v>0</v>
      </c>
      <c r="N431" t="n">
        <v>0</v>
      </c>
      <c r="O431" t="n">
        <v>0</v>
      </c>
      <c r="P431" t="n">
        <v>0</v>
      </c>
      <c r="Q431" t="n">
        <v>0</v>
      </c>
      <c r="R431" s="2" t="inlineStr"/>
    </row>
    <row r="432" ht="15" customHeight="1">
      <c r="A432" t="inlineStr">
        <is>
          <t>A 48017-2025</t>
        </is>
      </c>
      <c r="B432" s="1" t="n">
        <v>45932.64740740741</v>
      </c>
      <c r="C432" s="1" t="n">
        <v>45983</v>
      </c>
      <c r="D432" t="inlineStr">
        <is>
          <t>DALARNAS LÄN</t>
        </is>
      </c>
      <c r="E432" t="inlineStr">
        <is>
          <t>ÄLVDALEN</t>
        </is>
      </c>
      <c r="G432" t="n">
        <v>4.5</v>
      </c>
      <c r="H432" t="n">
        <v>0</v>
      </c>
      <c r="I432" t="n">
        <v>0</v>
      </c>
      <c r="J432" t="n">
        <v>0</v>
      </c>
      <c r="K432" t="n">
        <v>0</v>
      </c>
      <c r="L432" t="n">
        <v>0</v>
      </c>
      <c r="M432" t="n">
        <v>0</v>
      </c>
      <c r="N432" t="n">
        <v>0</v>
      </c>
      <c r="O432" t="n">
        <v>0</v>
      </c>
      <c r="P432" t="n">
        <v>0</v>
      </c>
      <c r="Q432" t="n">
        <v>0</v>
      </c>
      <c r="R432" s="2" t="inlineStr"/>
    </row>
    <row r="433" ht="15" customHeight="1">
      <c r="A433" t="inlineStr">
        <is>
          <t>A 19761-2021</t>
        </is>
      </c>
      <c r="B433" s="1" t="n">
        <v>44309</v>
      </c>
      <c r="C433" s="1" t="n">
        <v>45983</v>
      </c>
      <c r="D433" t="inlineStr">
        <is>
          <t>DALARNAS LÄN</t>
        </is>
      </c>
      <c r="E433" t="inlineStr">
        <is>
          <t>ÄLVDALEN</t>
        </is>
      </c>
      <c r="G433" t="n">
        <v>4.3</v>
      </c>
      <c r="H433" t="n">
        <v>0</v>
      </c>
      <c r="I433" t="n">
        <v>0</v>
      </c>
      <c r="J433" t="n">
        <v>0</v>
      </c>
      <c r="K433" t="n">
        <v>0</v>
      </c>
      <c r="L433" t="n">
        <v>0</v>
      </c>
      <c r="M433" t="n">
        <v>0</v>
      </c>
      <c r="N433" t="n">
        <v>0</v>
      </c>
      <c r="O433" t="n">
        <v>0</v>
      </c>
      <c r="P433" t="n">
        <v>0</v>
      </c>
      <c r="Q433" t="n">
        <v>0</v>
      </c>
      <c r="R433" s="2" t="inlineStr"/>
    </row>
    <row r="434" ht="15" customHeight="1">
      <c r="A434" t="inlineStr">
        <is>
          <t>A 37186-2025</t>
        </is>
      </c>
      <c r="B434" s="1" t="n">
        <v>45875.63905092593</v>
      </c>
      <c r="C434" s="1" t="n">
        <v>45983</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29713-2022</t>
        </is>
      </c>
      <c r="B435" s="1" t="n">
        <v>44755</v>
      </c>
      <c r="C435" s="1" t="n">
        <v>45983</v>
      </c>
      <c r="D435" t="inlineStr">
        <is>
          <t>DALARNAS LÄN</t>
        </is>
      </c>
      <c r="E435" t="inlineStr">
        <is>
          <t>ÄLVDALEN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55982-2025</t>
        </is>
      </c>
      <c r="B436" s="1" t="n">
        <v>45973.54251157407</v>
      </c>
      <c r="C436" s="1" t="n">
        <v>45983</v>
      </c>
      <c r="D436" t="inlineStr">
        <is>
          <t>DALARNAS LÄN</t>
        </is>
      </c>
      <c r="E436" t="inlineStr">
        <is>
          <t>ÄLVDALEN</t>
        </is>
      </c>
      <c r="G436" t="n">
        <v>10</v>
      </c>
      <c r="H436" t="n">
        <v>0</v>
      </c>
      <c r="I436" t="n">
        <v>0</v>
      </c>
      <c r="J436" t="n">
        <v>0</v>
      </c>
      <c r="K436" t="n">
        <v>0</v>
      </c>
      <c r="L436" t="n">
        <v>0</v>
      </c>
      <c r="M436" t="n">
        <v>0</v>
      </c>
      <c r="N436" t="n">
        <v>0</v>
      </c>
      <c r="O436" t="n">
        <v>0</v>
      </c>
      <c r="P436" t="n">
        <v>0</v>
      </c>
      <c r="Q436" t="n">
        <v>0</v>
      </c>
      <c r="R436" s="2" t="inlineStr"/>
    </row>
    <row r="437" ht="15" customHeight="1">
      <c r="A437" t="inlineStr">
        <is>
          <t>A 47707-2025</t>
        </is>
      </c>
      <c r="B437" s="1" t="n">
        <v>45931.6125462963</v>
      </c>
      <c r="C437" s="1" t="n">
        <v>45983</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627-2025</t>
        </is>
      </c>
      <c r="B438" s="1" t="n">
        <v>45660</v>
      </c>
      <c r="C438" s="1" t="n">
        <v>45983</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56252-2025</t>
        </is>
      </c>
      <c r="B439" s="1" t="n">
        <v>45974.56061342593</v>
      </c>
      <c r="C439" s="1" t="n">
        <v>45983</v>
      </c>
      <c r="D439" t="inlineStr">
        <is>
          <t>DALARNAS LÄN</t>
        </is>
      </c>
      <c r="E439" t="inlineStr">
        <is>
          <t>ÄLVDALEN</t>
        </is>
      </c>
      <c r="G439" t="n">
        <v>1.4</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45983</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45983</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48197-2025</t>
        </is>
      </c>
      <c r="B442" s="1" t="n">
        <v>45933.47471064814</v>
      </c>
      <c r="C442" s="1" t="n">
        <v>45983</v>
      </c>
      <c r="D442" t="inlineStr">
        <is>
          <t>DALARNAS LÄN</t>
        </is>
      </c>
      <c r="E442" t="inlineStr">
        <is>
          <t>ÄLVDALEN</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15251-2021</t>
        </is>
      </c>
      <c r="B443" s="1" t="n">
        <v>44284</v>
      </c>
      <c r="C443" s="1" t="n">
        <v>45983</v>
      </c>
      <c r="D443" t="inlineStr">
        <is>
          <t>DALARNAS LÄN</t>
        </is>
      </c>
      <c r="E443" t="inlineStr">
        <is>
          <t>ÄLVDALEN</t>
        </is>
      </c>
      <c r="G443" t="n">
        <v>6.1</v>
      </c>
      <c r="H443" t="n">
        <v>0</v>
      </c>
      <c r="I443" t="n">
        <v>0</v>
      </c>
      <c r="J443" t="n">
        <v>0</v>
      </c>
      <c r="K443" t="n">
        <v>0</v>
      </c>
      <c r="L443" t="n">
        <v>0</v>
      </c>
      <c r="M443" t="n">
        <v>0</v>
      </c>
      <c r="N443" t="n">
        <v>0</v>
      </c>
      <c r="O443" t="n">
        <v>0</v>
      </c>
      <c r="P443" t="n">
        <v>0</v>
      </c>
      <c r="Q443" t="n">
        <v>0</v>
      </c>
      <c r="R443" s="2" t="inlineStr"/>
    </row>
    <row r="444" ht="15" customHeight="1">
      <c r="A444" t="inlineStr">
        <is>
          <t>A 47081-2023</t>
        </is>
      </c>
      <c r="B444" s="1" t="n">
        <v>45201.61148148148</v>
      </c>
      <c r="C444" s="1" t="n">
        <v>45983</v>
      </c>
      <c r="D444" t="inlineStr">
        <is>
          <t>DALARNAS LÄN</t>
        </is>
      </c>
      <c r="E444" t="inlineStr">
        <is>
          <t>ÄLVDALEN</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37873-2025</t>
        </is>
      </c>
      <c r="B445" s="1" t="n">
        <v>45881</v>
      </c>
      <c r="C445" s="1" t="n">
        <v>45983</v>
      </c>
      <c r="D445" t="inlineStr">
        <is>
          <t>DALARNAS LÄN</t>
        </is>
      </c>
      <c r="E445" t="inlineStr">
        <is>
          <t>ÄLVDALEN</t>
        </is>
      </c>
      <c r="F445" t="inlineStr">
        <is>
          <t>Övriga Aktiebolag</t>
        </is>
      </c>
      <c r="G445" t="n">
        <v>40.7</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45983</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54219-2025</t>
        </is>
      </c>
      <c r="B447" s="1" t="n">
        <v>45964</v>
      </c>
      <c r="C447" s="1" t="n">
        <v>45983</v>
      </c>
      <c r="D447" t="inlineStr">
        <is>
          <t>DALARNAS LÄN</t>
        </is>
      </c>
      <c r="E447" t="inlineStr">
        <is>
          <t>ÄLVDALEN</t>
        </is>
      </c>
      <c r="G447" t="n">
        <v>11.5</v>
      </c>
      <c r="H447" t="n">
        <v>0</v>
      </c>
      <c r="I447" t="n">
        <v>0</v>
      </c>
      <c r="J447" t="n">
        <v>0</v>
      </c>
      <c r="K447" t="n">
        <v>0</v>
      </c>
      <c r="L447" t="n">
        <v>0</v>
      </c>
      <c r="M447" t="n">
        <v>0</v>
      </c>
      <c r="N447" t="n">
        <v>0</v>
      </c>
      <c r="O447" t="n">
        <v>0</v>
      </c>
      <c r="P447" t="n">
        <v>0</v>
      </c>
      <c r="Q447" t="n">
        <v>0</v>
      </c>
      <c r="R447" s="2" t="inlineStr"/>
    </row>
    <row r="448" ht="15" customHeight="1">
      <c r="A448" t="inlineStr">
        <is>
          <t>A 56501-2025</t>
        </is>
      </c>
      <c r="B448" s="1" t="n">
        <v>45975.43454861111</v>
      </c>
      <c r="C448" s="1" t="n">
        <v>45983</v>
      </c>
      <c r="D448" t="inlineStr">
        <is>
          <t>DALARNAS LÄN</t>
        </is>
      </c>
      <c r="E448" t="inlineStr">
        <is>
          <t>ÄLVDALEN</t>
        </is>
      </c>
      <c r="G448" t="n">
        <v>14.9</v>
      </c>
      <c r="H448" t="n">
        <v>0</v>
      </c>
      <c r="I448" t="n">
        <v>0</v>
      </c>
      <c r="J448" t="n">
        <v>0</v>
      </c>
      <c r="K448" t="n">
        <v>0</v>
      </c>
      <c r="L448" t="n">
        <v>0</v>
      </c>
      <c r="M448" t="n">
        <v>0</v>
      </c>
      <c r="N448" t="n">
        <v>0</v>
      </c>
      <c r="O448" t="n">
        <v>0</v>
      </c>
      <c r="P448" t="n">
        <v>0</v>
      </c>
      <c r="Q448" t="n">
        <v>0</v>
      </c>
      <c r="R448" s="2" t="inlineStr"/>
    </row>
    <row r="449" ht="15" customHeight="1">
      <c r="A449" t="inlineStr">
        <is>
          <t>A 56939-2025</t>
        </is>
      </c>
      <c r="B449" s="1" t="n">
        <v>45978.6218287037</v>
      </c>
      <c r="C449" s="1" t="n">
        <v>45983</v>
      </c>
      <c r="D449" t="inlineStr">
        <is>
          <t>DALARNAS LÄN</t>
        </is>
      </c>
      <c r="E449" t="inlineStr">
        <is>
          <t>ÄLVDALEN</t>
        </is>
      </c>
      <c r="F449" t="inlineStr">
        <is>
          <t>Allmännings- och besparingsskogar</t>
        </is>
      </c>
      <c r="G449" t="n">
        <v>27.1</v>
      </c>
      <c r="H449" t="n">
        <v>0</v>
      </c>
      <c r="I449" t="n">
        <v>0</v>
      </c>
      <c r="J449" t="n">
        <v>0</v>
      </c>
      <c r="K449" t="n">
        <v>0</v>
      </c>
      <c r="L449" t="n">
        <v>0</v>
      </c>
      <c r="M449" t="n">
        <v>0</v>
      </c>
      <c r="N449" t="n">
        <v>0</v>
      </c>
      <c r="O449" t="n">
        <v>0</v>
      </c>
      <c r="P449" t="n">
        <v>0</v>
      </c>
      <c r="Q449" t="n">
        <v>0</v>
      </c>
      <c r="R449" s="2" t="inlineStr"/>
    </row>
    <row r="450" ht="15" customHeight="1">
      <c r="A450" t="inlineStr">
        <is>
          <t>A 9719-2023</t>
        </is>
      </c>
      <c r="B450" s="1" t="n">
        <v>44978</v>
      </c>
      <c r="C450" s="1" t="n">
        <v>45983</v>
      </c>
      <c r="D450" t="inlineStr">
        <is>
          <t>DALARNAS LÄN</t>
        </is>
      </c>
      <c r="E450" t="inlineStr">
        <is>
          <t>ÄLVDALEN</t>
        </is>
      </c>
      <c r="G450" t="n">
        <v>20.2</v>
      </c>
      <c r="H450" t="n">
        <v>0</v>
      </c>
      <c r="I450" t="n">
        <v>0</v>
      </c>
      <c r="J450" t="n">
        <v>0</v>
      </c>
      <c r="K450" t="n">
        <v>0</v>
      </c>
      <c r="L450" t="n">
        <v>0</v>
      </c>
      <c r="M450" t="n">
        <v>0</v>
      </c>
      <c r="N450" t="n">
        <v>0</v>
      </c>
      <c r="O450" t="n">
        <v>0</v>
      </c>
      <c r="P450" t="n">
        <v>0</v>
      </c>
      <c r="Q450" t="n">
        <v>0</v>
      </c>
      <c r="R450" s="2" t="inlineStr"/>
    </row>
    <row r="451" ht="15" customHeight="1">
      <c r="A451" t="inlineStr">
        <is>
          <t>A 37874-2025</t>
        </is>
      </c>
      <c r="B451" s="1" t="n">
        <v>45881</v>
      </c>
      <c r="C451" s="1" t="n">
        <v>45983</v>
      </c>
      <c r="D451" t="inlineStr">
        <is>
          <t>DALARNAS LÄN</t>
        </is>
      </c>
      <c r="E451" t="inlineStr">
        <is>
          <t>ÄLVDALEN</t>
        </is>
      </c>
      <c r="F451" t="inlineStr">
        <is>
          <t>Övriga Aktiebolag</t>
        </is>
      </c>
      <c r="G451" t="n">
        <v>33.5</v>
      </c>
      <c r="H451" t="n">
        <v>0</v>
      </c>
      <c r="I451" t="n">
        <v>0</v>
      </c>
      <c r="J451" t="n">
        <v>0</v>
      </c>
      <c r="K451" t="n">
        <v>0</v>
      </c>
      <c r="L451" t="n">
        <v>0</v>
      </c>
      <c r="M451" t="n">
        <v>0</v>
      </c>
      <c r="N451" t="n">
        <v>0</v>
      </c>
      <c r="O451" t="n">
        <v>0</v>
      </c>
      <c r="P451" t="n">
        <v>0</v>
      </c>
      <c r="Q451" t="n">
        <v>0</v>
      </c>
      <c r="R451" s="2" t="inlineStr"/>
    </row>
    <row r="452" ht="15" customHeight="1">
      <c r="A452" t="inlineStr">
        <is>
          <t>A 40003-2022</t>
        </is>
      </c>
      <c r="B452" s="1" t="n">
        <v>44820.36509259259</v>
      </c>
      <c r="C452" s="1" t="n">
        <v>45983</v>
      </c>
      <c r="D452" t="inlineStr">
        <is>
          <t>DALARNAS LÄN</t>
        </is>
      </c>
      <c r="E452" t="inlineStr">
        <is>
          <t>ÄLVDALEN</t>
        </is>
      </c>
      <c r="G452" t="n">
        <v>1.2</v>
      </c>
      <c r="H452" t="n">
        <v>0</v>
      </c>
      <c r="I452" t="n">
        <v>0</v>
      </c>
      <c r="J452" t="n">
        <v>0</v>
      </c>
      <c r="K452" t="n">
        <v>0</v>
      </c>
      <c r="L452" t="n">
        <v>0</v>
      </c>
      <c r="M452" t="n">
        <v>0</v>
      </c>
      <c r="N452" t="n">
        <v>0</v>
      </c>
      <c r="O452" t="n">
        <v>0</v>
      </c>
      <c r="P452" t="n">
        <v>0</v>
      </c>
      <c r="Q452" t="n">
        <v>0</v>
      </c>
      <c r="R452" s="2" t="inlineStr"/>
    </row>
    <row r="453" ht="15" customHeight="1">
      <c r="A453" t="inlineStr">
        <is>
          <t>A 48849-2022</t>
        </is>
      </c>
      <c r="B453" s="1" t="n">
        <v>44859</v>
      </c>
      <c r="C453" s="1" t="n">
        <v>45983</v>
      </c>
      <c r="D453" t="inlineStr">
        <is>
          <t>DALARNAS LÄN</t>
        </is>
      </c>
      <c r="E453" t="inlineStr">
        <is>
          <t>ÄLVDALEN</t>
        </is>
      </c>
      <c r="F453" t="inlineStr">
        <is>
          <t>Allmännings- och besparingsskogar</t>
        </is>
      </c>
      <c r="G453" t="n">
        <v>2.4</v>
      </c>
      <c r="H453" t="n">
        <v>0</v>
      </c>
      <c r="I453" t="n">
        <v>0</v>
      </c>
      <c r="J453" t="n">
        <v>0</v>
      </c>
      <c r="K453" t="n">
        <v>0</v>
      </c>
      <c r="L453" t="n">
        <v>0</v>
      </c>
      <c r="M453" t="n">
        <v>0</v>
      </c>
      <c r="N453" t="n">
        <v>0</v>
      </c>
      <c r="O453" t="n">
        <v>0</v>
      </c>
      <c r="P453" t="n">
        <v>0</v>
      </c>
      <c r="Q453" t="n">
        <v>0</v>
      </c>
      <c r="R453" s="2" t="inlineStr"/>
    </row>
    <row r="454" ht="15" customHeight="1">
      <c r="A454" t="inlineStr">
        <is>
          <t>A 33099-2023</t>
        </is>
      </c>
      <c r="B454" s="1" t="n">
        <v>45114</v>
      </c>
      <c r="C454" s="1" t="n">
        <v>45983</v>
      </c>
      <c r="D454" t="inlineStr">
        <is>
          <t>DALARNAS LÄN</t>
        </is>
      </c>
      <c r="E454" t="inlineStr">
        <is>
          <t>ÄLVDALEN</t>
        </is>
      </c>
      <c r="G454" t="n">
        <v>3.5</v>
      </c>
      <c r="H454" t="n">
        <v>0</v>
      </c>
      <c r="I454" t="n">
        <v>0</v>
      </c>
      <c r="J454" t="n">
        <v>0</v>
      </c>
      <c r="K454" t="n">
        <v>0</v>
      </c>
      <c r="L454" t="n">
        <v>0</v>
      </c>
      <c r="M454" t="n">
        <v>0</v>
      </c>
      <c r="N454" t="n">
        <v>0</v>
      </c>
      <c r="O454" t="n">
        <v>0</v>
      </c>
      <c r="P454" t="n">
        <v>0</v>
      </c>
      <c r="Q454" t="n">
        <v>0</v>
      </c>
      <c r="R454" s="2" t="inlineStr"/>
    </row>
    <row r="455" ht="15" customHeight="1">
      <c r="A455" t="inlineStr">
        <is>
          <t>A 52483-2023</t>
        </is>
      </c>
      <c r="B455" s="1" t="n">
        <v>45225</v>
      </c>
      <c r="C455" s="1" t="n">
        <v>45983</v>
      </c>
      <c r="D455" t="inlineStr">
        <is>
          <t>DALARNAS LÄN</t>
        </is>
      </c>
      <c r="E455" t="inlineStr">
        <is>
          <t>ÄLVDALEN</t>
        </is>
      </c>
      <c r="F455" t="inlineStr">
        <is>
          <t>Allmännings- och besparingsskogar</t>
        </is>
      </c>
      <c r="G455" t="n">
        <v>30.9</v>
      </c>
      <c r="H455" t="n">
        <v>0</v>
      </c>
      <c r="I455" t="n">
        <v>0</v>
      </c>
      <c r="J455" t="n">
        <v>0</v>
      </c>
      <c r="K455" t="n">
        <v>0</v>
      </c>
      <c r="L455" t="n">
        <v>0</v>
      </c>
      <c r="M455" t="n">
        <v>0</v>
      </c>
      <c r="N455" t="n">
        <v>0</v>
      </c>
      <c r="O455" t="n">
        <v>0</v>
      </c>
      <c r="P455" t="n">
        <v>0</v>
      </c>
      <c r="Q455" t="n">
        <v>0</v>
      </c>
      <c r="R455" s="2" t="inlineStr"/>
      <c r="U455">
        <f>HYPERLINK("https://klasma.github.io/Logging_2039/knärot/A 52483-2023 karta knärot.png", "A 52483-2023")</f>
        <v/>
      </c>
      <c r="V455">
        <f>HYPERLINK("https://klasma.github.io/Logging_2039/klagomål/A 52483-2023 FSC-klagomål.docx", "A 52483-2023")</f>
        <v/>
      </c>
      <c r="W455">
        <f>HYPERLINK("https://klasma.github.io/Logging_2039/klagomålsmail/A 52483-2023 FSC-klagomål mail.docx", "A 52483-2023")</f>
        <v/>
      </c>
      <c r="X455">
        <f>HYPERLINK("https://klasma.github.io/Logging_2039/tillsyn/A 52483-2023 tillsynsbegäran.docx", "A 52483-2023")</f>
        <v/>
      </c>
      <c r="Y455">
        <f>HYPERLINK("https://klasma.github.io/Logging_2039/tillsynsmail/A 52483-2023 tillsynsbegäran mail.docx", "A 52483-2023")</f>
        <v/>
      </c>
    </row>
    <row r="456" ht="15" customHeight="1">
      <c r="A456" t="inlineStr">
        <is>
          <t>A 48135-2025</t>
        </is>
      </c>
      <c r="B456" s="1" t="n">
        <v>45933.37452546296</v>
      </c>
      <c r="C456" s="1" t="n">
        <v>45983</v>
      </c>
      <c r="D456" t="inlineStr">
        <is>
          <t>DALARNAS LÄN</t>
        </is>
      </c>
      <c r="E456" t="inlineStr">
        <is>
          <t>ÄLVDALEN</t>
        </is>
      </c>
      <c r="G456" t="n">
        <v>2.4</v>
      </c>
      <c r="H456" t="n">
        <v>0</v>
      </c>
      <c r="I456" t="n">
        <v>0</v>
      </c>
      <c r="J456" t="n">
        <v>0</v>
      </c>
      <c r="K456" t="n">
        <v>0</v>
      </c>
      <c r="L456" t="n">
        <v>0</v>
      </c>
      <c r="M456" t="n">
        <v>0</v>
      </c>
      <c r="N456" t="n">
        <v>0</v>
      </c>
      <c r="O456" t="n">
        <v>0</v>
      </c>
      <c r="P456" t="n">
        <v>0</v>
      </c>
      <c r="Q456" t="n">
        <v>0</v>
      </c>
      <c r="R456" s="2" t="inlineStr"/>
    </row>
    <row r="457" ht="15" customHeight="1">
      <c r="A457" t="inlineStr">
        <is>
          <t>A 36593-2023</t>
        </is>
      </c>
      <c r="B457" s="1" t="n">
        <v>45153.47732638889</v>
      </c>
      <c r="C457" s="1" t="n">
        <v>45983</v>
      </c>
      <c r="D457" t="inlineStr">
        <is>
          <t>DALARNAS LÄN</t>
        </is>
      </c>
      <c r="E457" t="inlineStr">
        <is>
          <t>ÄLVDALEN</t>
        </is>
      </c>
      <c r="G457" t="n">
        <v>0.9</v>
      </c>
      <c r="H457" t="n">
        <v>0</v>
      </c>
      <c r="I457" t="n">
        <v>0</v>
      </c>
      <c r="J457" t="n">
        <v>0</v>
      </c>
      <c r="K457" t="n">
        <v>0</v>
      </c>
      <c r="L457" t="n">
        <v>0</v>
      </c>
      <c r="M457" t="n">
        <v>0</v>
      </c>
      <c r="N457" t="n">
        <v>0</v>
      </c>
      <c r="O457" t="n">
        <v>0</v>
      </c>
      <c r="P457" t="n">
        <v>0</v>
      </c>
      <c r="Q457" t="n">
        <v>0</v>
      </c>
      <c r="R457" s="2" t="inlineStr"/>
    </row>
    <row r="458" ht="15" customHeight="1">
      <c r="A458" t="inlineStr">
        <is>
          <t>A 38814-2025</t>
        </is>
      </c>
      <c r="B458" s="1" t="n">
        <v>45887</v>
      </c>
      <c r="C458" s="1" t="n">
        <v>45983</v>
      </c>
      <c r="D458" t="inlineStr">
        <is>
          <t>DALARNAS LÄN</t>
        </is>
      </c>
      <c r="E458" t="inlineStr">
        <is>
          <t>ÄLVDALEN</t>
        </is>
      </c>
      <c r="G458" t="n">
        <v>1.9</v>
      </c>
      <c r="H458" t="n">
        <v>0</v>
      </c>
      <c r="I458" t="n">
        <v>0</v>
      </c>
      <c r="J458" t="n">
        <v>0</v>
      </c>
      <c r="K458" t="n">
        <v>0</v>
      </c>
      <c r="L458" t="n">
        <v>0</v>
      </c>
      <c r="M458" t="n">
        <v>0</v>
      </c>
      <c r="N458" t="n">
        <v>0</v>
      </c>
      <c r="O458" t="n">
        <v>0</v>
      </c>
      <c r="P458" t="n">
        <v>0</v>
      </c>
      <c r="Q458" t="n">
        <v>0</v>
      </c>
      <c r="R458" s="2" t="inlineStr"/>
    </row>
    <row r="459" ht="15" customHeight="1">
      <c r="A459" t="inlineStr">
        <is>
          <t>A 8538-2025</t>
        </is>
      </c>
      <c r="B459" s="1" t="n">
        <v>45709.59030092593</v>
      </c>
      <c r="C459" s="1" t="n">
        <v>45983</v>
      </c>
      <c r="D459" t="inlineStr">
        <is>
          <t>DALARNAS LÄN</t>
        </is>
      </c>
      <c r="E459" t="inlineStr">
        <is>
          <t>ÄLVDALEN</t>
        </is>
      </c>
      <c r="F459" t="inlineStr">
        <is>
          <t>Allmännings- och besparingsskogar</t>
        </is>
      </c>
      <c r="G459" t="n">
        <v>0.6</v>
      </c>
      <c r="H459" t="n">
        <v>0</v>
      </c>
      <c r="I459" t="n">
        <v>0</v>
      </c>
      <c r="J459" t="n">
        <v>0</v>
      </c>
      <c r="K459" t="n">
        <v>0</v>
      </c>
      <c r="L459" t="n">
        <v>0</v>
      </c>
      <c r="M459" t="n">
        <v>0</v>
      </c>
      <c r="N459" t="n">
        <v>0</v>
      </c>
      <c r="O459" t="n">
        <v>0</v>
      </c>
      <c r="P459" t="n">
        <v>0</v>
      </c>
      <c r="Q459" t="n">
        <v>0</v>
      </c>
      <c r="R459" s="2" t="inlineStr"/>
    </row>
    <row r="460" ht="15" customHeight="1">
      <c r="A460" t="inlineStr">
        <is>
          <t>A 36284-2024</t>
        </is>
      </c>
      <c r="B460" s="1" t="n">
        <v>45534.5897337963</v>
      </c>
      <c r="C460" s="1" t="n">
        <v>45983</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54632-2021</t>
        </is>
      </c>
      <c r="B461" s="1" t="n">
        <v>44473</v>
      </c>
      <c r="C461" s="1" t="n">
        <v>45983</v>
      </c>
      <c r="D461" t="inlineStr">
        <is>
          <t>DALARNAS LÄN</t>
        </is>
      </c>
      <c r="E461" t="inlineStr">
        <is>
          <t>ÄLVDALEN</t>
        </is>
      </c>
      <c r="G461" t="n">
        <v>0.5</v>
      </c>
      <c r="H461" t="n">
        <v>0</v>
      </c>
      <c r="I461" t="n">
        <v>0</v>
      </c>
      <c r="J461" t="n">
        <v>0</v>
      </c>
      <c r="K461" t="n">
        <v>0</v>
      </c>
      <c r="L461" t="n">
        <v>0</v>
      </c>
      <c r="M461" t="n">
        <v>0</v>
      </c>
      <c r="N461" t="n">
        <v>0</v>
      </c>
      <c r="O461" t="n">
        <v>0</v>
      </c>
      <c r="P461" t="n">
        <v>0</v>
      </c>
      <c r="Q461" t="n">
        <v>0</v>
      </c>
      <c r="R461" s="2" t="inlineStr"/>
      <c r="T461">
        <f>HYPERLINK("https://klasma.github.io/Logging_2039/kartor/A 54632-2021 karta.png", "A 54632-2021")</f>
        <v/>
      </c>
      <c r="V461">
        <f>HYPERLINK("https://klasma.github.io/Logging_2039/klagomål/A 54632-2021 FSC-klagomål.docx", "A 54632-2021")</f>
        <v/>
      </c>
      <c r="W461">
        <f>HYPERLINK("https://klasma.github.io/Logging_2039/klagomålsmail/A 54632-2021 FSC-klagomål mail.docx", "A 54632-2021")</f>
        <v/>
      </c>
      <c r="X461">
        <f>HYPERLINK("https://klasma.github.io/Logging_2039/tillsyn/A 54632-2021 tillsynsbegäran.docx", "A 54632-2021")</f>
        <v/>
      </c>
      <c r="Y461">
        <f>HYPERLINK("https://klasma.github.io/Logging_2039/tillsynsmail/A 54632-2021 tillsynsbegäran mail.docx", "A 54632-2021")</f>
        <v/>
      </c>
    </row>
    <row r="462" ht="15" customHeight="1">
      <c r="A462" t="inlineStr">
        <is>
          <t>A 57510-2025</t>
        </is>
      </c>
      <c r="B462" s="1" t="n">
        <v>45980.60502314815</v>
      </c>
      <c r="C462" s="1" t="n">
        <v>45983</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57095-2025</t>
        </is>
      </c>
      <c r="B463" s="1" t="n">
        <v>45979.43158564815</v>
      </c>
      <c r="C463" s="1" t="n">
        <v>45983</v>
      </c>
      <c r="D463" t="inlineStr">
        <is>
          <t>DALARNAS LÄN</t>
        </is>
      </c>
      <c r="E463" t="inlineStr">
        <is>
          <t>ÄLVDALEN</t>
        </is>
      </c>
      <c r="F463" t="inlineStr">
        <is>
          <t>Allmännings- och besparingsskogar</t>
        </is>
      </c>
      <c r="G463" t="n">
        <v>6.8</v>
      </c>
      <c r="H463" t="n">
        <v>0</v>
      </c>
      <c r="I463" t="n">
        <v>0</v>
      </c>
      <c r="J463" t="n">
        <v>0</v>
      </c>
      <c r="K463" t="n">
        <v>0</v>
      </c>
      <c r="L463" t="n">
        <v>0</v>
      </c>
      <c r="M463" t="n">
        <v>0</v>
      </c>
      <c r="N463" t="n">
        <v>0</v>
      </c>
      <c r="O463" t="n">
        <v>0</v>
      </c>
      <c r="P463" t="n">
        <v>0</v>
      </c>
      <c r="Q463" t="n">
        <v>0</v>
      </c>
      <c r="R463" s="2" t="inlineStr"/>
    </row>
    <row r="464" ht="15" customHeight="1">
      <c r="A464" t="inlineStr">
        <is>
          <t>A 19587-2025</t>
        </is>
      </c>
      <c r="B464" s="1" t="n">
        <v>45770.56820601852</v>
      </c>
      <c r="C464" s="1" t="n">
        <v>45983</v>
      </c>
      <c r="D464" t="inlineStr">
        <is>
          <t>DALARNAS LÄN</t>
        </is>
      </c>
      <c r="E464" t="inlineStr">
        <is>
          <t>ÄLVDALEN</t>
        </is>
      </c>
      <c r="F464" t="inlineStr">
        <is>
          <t>Allmännings- och besparingsskogar</t>
        </is>
      </c>
      <c r="G464" t="n">
        <v>1.4</v>
      </c>
      <c r="H464" t="n">
        <v>0</v>
      </c>
      <c r="I464" t="n">
        <v>0</v>
      </c>
      <c r="J464" t="n">
        <v>0</v>
      </c>
      <c r="K464" t="n">
        <v>0</v>
      </c>
      <c r="L464" t="n">
        <v>0</v>
      </c>
      <c r="M464" t="n">
        <v>0</v>
      </c>
      <c r="N464" t="n">
        <v>0</v>
      </c>
      <c r="O464" t="n">
        <v>0</v>
      </c>
      <c r="P464" t="n">
        <v>0</v>
      </c>
      <c r="Q464" t="n">
        <v>0</v>
      </c>
      <c r="R464" s="2" t="inlineStr"/>
    </row>
    <row r="465" ht="15" customHeight="1">
      <c r="A465" t="inlineStr">
        <is>
          <t>A 747-2025</t>
        </is>
      </c>
      <c r="B465" s="1" t="n">
        <v>45665.43965277778</v>
      </c>
      <c r="C465" s="1" t="n">
        <v>45983</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3196-2025</t>
        </is>
      </c>
      <c r="B466" s="1" t="n">
        <v>45679.42957175926</v>
      </c>
      <c r="C466" s="1" t="n">
        <v>45983</v>
      </c>
      <c r="D466" t="inlineStr">
        <is>
          <t>DALARNAS LÄN</t>
        </is>
      </c>
      <c r="E466" t="inlineStr">
        <is>
          <t>ÄLVDALEN</t>
        </is>
      </c>
      <c r="G466" t="n">
        <v>5.2</v>
      </c>
      <c r="H466" t="n">
        <v>0</v>
      </c>
      <c r="I466" t="n">
        <v>0</v>
      </c>
      <c r="J466" t="n">
        <v>0</v>
      </c>
      <c r="K466" t="n">
        <v>0</v>
      </c>
      <c r="L466" t="n">
        <v>0</v>
      </c>
      <c r="M466" t="n">
        <v>0</v>
      </c>
      <c r="N466" t="n">
        <v>0</v>
      </c>
      <c r="O466" t="n">
        <v>0</v>
      </c>
      <c r="P466" t="n">
        <v>0</v>
      </c>
      <c r="Q466" t="n">
        <v>0</v>
      </c>
      <c r="R466" s="2" t="inlineStr"/>
    </row>
    <row r="467" ht="15" customHeight="1">
      <c r="A467" t="inlineStr">
        <is>
          <t>A 19182-2023</t>
        </is>
      </c>
      <c r="B467" s="1" t="n">
        <v>45048</v>
      </c>
      <c r="C467" s="1" t="n">
        <v>45983</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52249-2022</t>
        </is>
      </c>
      <c r="B468" s="1" t="n">
        <v>44873</v>
      </c>
      <c r="C468" s="1" t="n">
        <v>45983</v>
      </c>
      <c r="D468" t="inlineStr">
        <is>
          <t>DALARNAS LÄN</t>
        </is>
      </c>
      <c r="E468" t="inlineStr">
        <is>
          <t>ÄLVDALEN</t>
        </is>
      </c>
      <c r="F468" t="inlineStr">
        <is>
          <t>Sveaskog</t>
        </is>
      </c>
      <c r="G468" t="n">
        <v>0.4</v>
      </c>
      <c r="H468" t="n">
        <v>0</v>
      </c>
      <c r="I468" t="n">
        <v>0</v>
      </c>
      <c r="J468" t="n">
        <v>0</v>
      </c>
      <c r="K468" t="n">
        <v>0</v>
      </c>
      <c r="L468" t="n">
        <v>0</v>
      </c>
      <c r="M468" t="n">
        <v>0</v>
      </c>
      <c r="N468" t="n">
        <v>0</v>
      </c>
      <c r="O468" t="n">
        <v>0</v>
      </c>
      <c r="P468" t="n">
        <v>0</v>
      </c>
      <c r="Q468" t="n">
        <v>0</v>
      </c>
      <c r="R468" s="2" t="inlineStr"/>
    </row>
    <row r="469" ht="15" customHeight="1">
      <c r="A469" t="inlineStr">
        <is>
          <t>A 6230-2024</t>
        </is>
      </c>
      <c r="B469" s="1" t="n">
        <v>45337</v>
      </c>
      <c r="C469" s="1" t="n">
        <v>45983</v>
      </c>
      <c r="D469" t="inlineStr">
        <is>
          <t>DALARNAS LÄN</t>
        </is>
      </c>
      <c r="E469" t="inlineStr">
        <is>
          <t>ÄLVDALEN</t>
        </is>
      </c>
      <c r="G469" t="n">
        <v>6.2</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45983</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68383-2021</t>
        </is>
      </c>
      <c r="B471" s="1" t="n">
        <v>44529</v>
      </c>
      <c r="C471" s="1" t="n">
        <v>45983</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30225-2023</t>
        </is>
      </c>
      <c r="B472" s="1" t="n">
        <v>45110.64971064815</v>
      </c>
      <c r="C472" s="1" t="n">
        <v>45983</v>
      </c>
      <c r="D472" t="inlineStr">
        <is>
          <t>DALARNAS LÄN</t>
        </is>
      </c>
      <c r="E472" t="inlineStr">
        <is>
          <t>ÄLVDALEN</t>
        </is>
      </c>
      <c r="F472" t="inlineStr">
        <is>
          <t>Allmännings- och besparingsskogar</t>
        </is>
      </c>
      <c r="G472" t="n">
        <v>0.6</v>
      </c>
      <c r="H472" t="n">
        <v>0</v>
      </c>
      <c r="I472" t="n">
        <v>0</v>
      </c>
      <c r="J472" t="n">
        <v>0</v>
      </c>
      <c r="K472" t="n">
        <v>0</v>
      </c>
      <c r="L472" t="n">
        <v>0</v>
      </c>
      <c r="M472" t="n">
        <v>0</v>
      </c>
      <c r="N472" t="n">
        <v>0</v>
      </c>
      <c r="O472" t="n">
        <v>0</v>
      </c>
      <c r="P472" t="n">
        <v>0</v>
      </c>
      <c r="Q472" t="n">
        <v>0</v>
      </c>
      <c r="R472" s="2" t="inlineStr"/>
    </row>
    <row r="473" ht="15" customHeight="1">
      <c r="A473" t="inlineStr">
        <is>
          <t>A 19567-2025</t>
        </is>
      </c>
      <c r="B473" s="1" t="n">
        <v>45770.5349537037</v>
      </c>
      <c r="C473" s="1" t="n">
        <v>45983</v>
      </c>
      <c r="D473" t="inlineStr">
        <is>
          <t>DALARNAS LÄN</t>
        </is>
      </c>
      <c r="E473" t="inlineStr">
        <is>
          <t>ÄLVDALEN</t>
        </is>
      </c>
      <c r="F473" t="inlineStr">
        <is>
          <t>Allmännings- och besparingsskogar</t>
        </is>
      </c>
      <c r="G473" t="n">
        <v>3.7</v>
      </c>
      <c r="H473" t="n">
        <v>0</v>
      </c>
      <c r="I473" t="n">
        <v>0</v>
      </c>
      <c r="J473" t="n">
        <v>0</v>
      </c>
      <c r="K473" t="n">
        <v>0</v>
      </c>
      <c r="L473" t="n">
        <v>0</v>
      </c>
      <c r="M473" t="n">
        <v>0</v>
      </c>
      <c r="N473" t="n">
        <v>0</v>
      </c>
      <c r="O473" t="n">
        <v>0</v>
      </c>
      <c r="P473" t="n">
        <v>0</v>
      </c>
      <c r="Q473" t="n">
        <v>0</v>
      </c>
      <c r="R473" s="2" t="inlineStr"/>
    </row>
    <row r="474" ht="15" customHeight="1">
      <c r="A474" t="inlineStr">
        <is>
          <t>A 57980-2025</t>
        </is>
      </c>
      <c r="B474" s="1" t="n">
        <v>45982.40280092593</v>
      </c>
      <c r="C474" s="1" t="n">
        <v>45983</v>
      </c>
      <c r="D474" t="inlineStr">
        <is>
          <t>DALARNAS LÄN</t>
        </is>
      </c>
      <c r="E474" t="inlineStr">
        <is>
          <t>ÄLVDALEN</t>
        </is>
      </c>
      <c r="G474" t="n">
        <v>1</v>
      </c>
      <c r="H474" t="n">
        <v>0</v>
      </c>
      <c r="I474" t="n">
        <v>0</v>
      </c>
      <c r="J474" t="n">
        <v>0</v>
      </c>
      <c r="K474" t="n">
        <v>0</v>
      </c>
      <c r="L474" t="n">
        <v>0</v>
      </c>
      <c r="M474" t="n">
        <v>0</v>
      </c>
      <c r="N474" t="n">
        <v>0</v>
      </c>
      <c r="O474" t="n">
        <v>0</v>
      </c>
      <c r="P474" t="n">
        <v>0</v>
      </c>
      <c r="Q474" t="n">
        <v>0</v>
      </c>
      <c r="R474" s="2" t="inlineStr"/>
    </row>
    <row r="475" ht="15" customHeight="1">
      <c r="A475" t="inlineStr">
        <is>
          <t>A 70140-2021</t>
        </is>
      </c>
      <c r="B475" s="1" t="n">
        <v>44533</v>
      </c>
      <c r="C475" s="1" t="n">
        <v>45983</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32031-2023</t>
        </is>
      </c>
      <c r="B476" s="1" t="n">
        <v>45107</v>
      </c>
      <c r="C476" s="1" t="n">
        <v>45983</v>
      </c>
      <c r="D476" t="inlineStr">
        <is>
          <t>DALARNAS LÄN</t>
        </is>
      </c>
      <c r="E476" t="inlineStr">
        <is>
          <t>ÄLVDALEN</t>
        </is>
      </c>
      <c r="G476" t="n">
        <v>2.7</v>
      </c>
      <c r="H476" t="n">
        <v>0</v>
      </c>
      <c r="I476" t="n">
        <v>0</v>
      </c>
      <c r="J476" t="n">
        <v>0</v>
      </c>
      <c r="K476" t="n">
        <v>0</v>
      </c>
      <c r="L476" t="n">
        <v>0</v>
      </c>
      <c r="M476" t="n">
        <v>0</v>
      </c>
      <c r="N476" t="n">
        <v>0</v>
      </c>
      <c r="O476" t="n">
        <v>0</v>
      </c>
      <c r="P476" t="n">
        <v>0</v>
      </c>
      <c r="Q476" t="n">
        <v>0</v>
      </c>
      <c r="R476" s="2" t="inlineStr"/>
    </row>
    <row r="477" ht="15" customHeight="1">
      <c r="A477" t="inlineStr">
        <is>
          <t>A 45122-2023</t>
        </is>
      </c>
      <c r="B477" s="1" t="n">
        <v>45191.44871527778</v>
      </c>
      <c r="C477" s="1" t="n">
        <v>45983</v>
      </c>
      <c r="D477" t="inlineStr">
        <is>
          <t>DALARNAS LÄN</t>
        </is>
      </c>
      <c r="E477" t="inlineStr">
        <is>
          <t>ÄLVDALEN</t>
        </is>
      </c>
      <c r="G477" t="n">
        <v>2.7</v>
      </c>
      <c r="H477" t="n">
        <v>0</v>
      </c>
      <c r="I477" t="n">
        <v>0</v>
      </c>
      <c r="J477" t="n">
        <v>0</v>
      </c>
      <c r="K477" t="n">
        <v>0</v>
      </c>
      <c r="L477" t="n">
        <v>0</v>
      </c>
      <c r="M477" t="n">
        <v>0</v>
      </c>
      <c r="N477" t="n">
        <v>0</v>
      </c>
      <c r="O477" t="n">
        <v>0</v>
      </c>
      <c r="P477" t="n">
        <v>0</v>
      </c>
      <c r="Q477" t="n">
        <v>0</v>
      </c>
      <c r="R477" s="2" t="inlineStr"/>
    </row>
    <row r="478" ht="15" customHeight="1">
      <c r="A478" t="inlineStr">
        <is>
          <t>A 47743-2024</t>
        </is>
      </c>
      <c r="B478" s="1" t="n">
        <v>45588.52550925926</v>
      </c>
      <c r="C478" s="1" t="n">
        <v>45983</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45983</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60793-2022</t>
        </is>
      </c>
      <c r="B480" s="1" t="n">
        <v>44911</v>
      </c>
      <c r="C480" s="1" t="n">
        <v>45983</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33-2021</t>
        </is>
      </c>
      <c r="B481" s="1" t="n">
        <v>44198</v>
      </c>
      <c r="C481" s="1" t="n">
        <v>45983</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42332-2023</t>
        </is>
      </c>
      <c r="B482" s="1" t="n">
        <v>45175</v>
      </c>
      <c r="C482" s="1" t="n">
        <v>45983</v>
      </c>
      <c r="D482" t="inlineStr">
        <is>
          <t>DALARNAS LÄN</t>
        </is>
      </c>
      <c r="E482" t="inlineStr">
        <is>
          <t>ÄLVDALEN</t>
        </is>
      </c>
      <c r="G482" t="n">
        <v>2.7</v>
      </c>
      <c r="H482" t="n">
        <v>0</v>
      </c>
      <c r="I482" t="n">
        <v>0</v>
      </c>
      <c r="J482" t="n">
        <v>0</v>
      </c>
      <c r="K482" t="n">
        <v>0</v>
      </c>
      <c r="L482" t="n">
        <v>0</v>
      </c>
      <c r="M482" t="n">
        <v>0</v>
      </c>
      <c r="N482" t="n">
        <v>0</v>
      </c>
      <c r="O482" t="n">
        <v>0</v>
      </c>
      <c r="P482" t="n">
        <v>0</v>
      </c>
      <c r="Q482" t="n">
        <v>0</v>
      </c>
      <c r="R482" s="2" t="inlineStr"/>
    </row>
    <row r="483" ht="15" customHeight="1">
      <c r="A483" t="inlineStr">
        <is>
          <t>A 59177-2023</t>
        </is>
      </c>
      <c r="B483" s="1" t="n">
        <v>45253</v>
      </c>
      <c r="C483" s="1" t="n">
        <v>45983</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41158-2024</t>
        </is>
      </c>
      <c r="B484" s="1" t="n">
        <v>45559.47958333333</v>
      </c>
      <c r="C484" s="1" t="n">
        <v>45983</v>
      </c>
      <c r="D484" t="inlineStr">
        <is>
          <t>DALARNAS LÄN</t>
        </is>
      </c>
      <c r="E484" t="inlineStr">
        <is>
          <t>ÄLVDALEN</t>
        </is>
      </c>
      <c r="G484" t="n">
        <v>5.6</v>
      </c>
      <c r="H484" t="n">
        <v>0</v>
      </c>
      <c r="I484" t="n">
        <v>0</v>
      </c>
      <c r="J484" t="n">
        <v>0</v>
      </c>
      <c r="K484" t="n">
        <v>0</v>
      </c>
      <c r="L484" t="n">
        <v>0</v>
      </c>
      <c r="M484" t="n">
        <v>0</v>
      </c>
      <c r="N484" t="n">
        <v>0</v>
      </c>
      <c r="O484" t="n">
        <v>0</v>
      </c>
      <c r="P484" t="n">
        <v>0</v>
      </c>
      <c r="Q484" t="n">
        <v>0</v>
      </c>
      <c r="R484" s="2" t="inlineStr"/>
    </row>
    <row r="485" ht="15" customHeight="1">
      <c r="A485" t="inlineStr">
        <is>
          <t>A 30985-2023</t>
        </is>
      </c>
      <c r="B485" s="1" t="n">
        <v>45113</v>
      </c>
      <c r="C485" s="1" t="n">
        <v>45983</v>
      </c>
      <c r="D485" t="inlineStr">
        <is>
          <t>DALARNAS LÄN</t>
        </is>
      </c>
      <c r="E485" t="inlineStr">
        <is>
          <t>ÄLVDALEN</t>
        </is>
      </c>
      <c r="F485" t="inlineStr">
        <is>
          <t>Allmännings- och besparingsskogar</t>
        </is>
      </c>
      <c r="G485" t="n">
        <v>2.9</v>
      </c>
      <c r="H485" t="n">
        <v>0</v>
      </c>
      <c r="I485" t="n">
        <v>0</v>
      </c>
      <c r="J485" t="n">
        <v>0</v>
      </c>
      <c r="K485" t="n">
        <v>0</v>
      </c>
      <c r="L485" t="n">
        <v>0</v>
      </c>
      <c r="M485" t="n">
        <v>0</v>
      </c>
      <c r="N485" t="n">
        <v>0</v>
      </c>
      <c r="O485" t="n">
        <v>0</v>
      </c>
      <c r="P485" t="n">
        <v>0</v>
      </c>
      <c r="Q485" t="n">
        <v>0</v>
      </c>
      <c r="R485" s="2" t="inlineStr"/>
    </row>
    <row r="486" ht="15" customHeight="1">
      <c r="A486" t="inlineStr">
        <is>
          <t>A 14938-2023</t>
        </is>
      </c>
      <c r="B486" s="1" t="n">
        <v>45015</v>
      </c>
      <c r="C486" s="1" t="n">
        <v>45983</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56487-2024</t>
        </is>
      </c>
      <c r="B487" s="1" t="n">
        <v>45625.48621527778</v>
      </c>
      <c r="C487" s="1" t="n">
        <v>45983</v>
      </c>
      <c r="D487" t="inlineStr">
        <is>
          <t>DALARNAS LÄN</t>
        </is>
      </c>
      <c r="E487" t="inlineStr">
        <is>
          <t>ÄLVDALEN</t>
        </is>
      </c>
      <c r="F487" t="inlineStr">
        <is>
          <t>Allmännings- och besparingsskogar</t>
        </is>
      </c>
      <c r="G487" t="n">
        <v>5.6</v>
      </c>
      <c r="H487" t="n">
        <v>0</v>
      </c>
      <c r="I487" t="n">
        <v>0</v>
      </c>
      <c r="J487" t="n">
        <v>0</v>
      </c>
      <c r="K487" t="n">
        <v>0</v>
      </c>
      <c r="L487" t="n">
        <v>0</v>
      </c>
      <c r="M487" t="n">
        <v>0</v>
      </c>
      <c r="N487" t="n">
        <v>0</v>
      </c>
      <c r="O487" t="n">
        <v>0</v>
      </c>
      <c r="P487" t="n">
        <v>0</v>
      </c>
      <c r="Q487" t="n">
        <v>0</v>
      </c>
      <c r="R487" s="2" t="inlineStr"/>
    </row>
    <row r="488" ht="15" customHeight="1">
      <c r="A488" t="inlineStr">
        <is>
          <t>A 60265-2021</t>
        </is>
      </c>
      <c r="B488" s="1" t="n">
        <v>44495.68053240741</v>
      </c>
      <c r="C488" s="1" t="n">
        <v>45983</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5826-2023</t>
        </is>
      </c>
      <c r="B489" s="1" t="n">
        <v>44963.52038194444</v>
      </c>
      <c r="C489" s="1" t="n">
        <v>45983</v>
      </c>
      <c r="D489" t="inlineStr">
        <is>
          <t>DALARNAS LÄN</t>
        </is>
      </c>
      <c r="E489" t="inlineStr">
        <is>
          <t>ÄLVDALEN</t>
        </is>
      </c>
      <c r="G489" t="n">
        <v>1.7</v>
      </c>
      <c r="H489" t="n">
        <v>0</v>
      </c>
      <c r="I489" t="n">
        <v>0</v>
      </c>
      <c r="J489" t="n">
        <v>0</v>
      </c>
      <c r="K489" t="n">
        <v>0</v>
      </c>
      <c r="L489" t="n">
        <v>0</v>
      </c>
      <c r="M489" t="n">
        <v>0</v>
      </c>
      <c r="N489" t="n">
        <v>0</v>
      </c>
      <c r="O489" t="n">
        <v>0</v>
      </c>
      <c r="P489" t="n">
        <v>0</v>
      </c>
      <c r="Q489" t="n">
        <v>0</v>
      </c>
      <c r="R489" s="2" t="inlineStr"/>
    </row>
    <row r="490" ht="15" customHeight="1">
      <c r="A490" t="inlineStr">
        <is>
          <t>A 5567-2021</t>
        </is>
      </c>
      <c r="B490" s="1" t="n">
        <v>44230</v>
      </c>
      <c r="C490" s="1" t="n">
        <v>45983</v>
      </c>
      <c r="D490" t="inlineStr">
        <is>
          <t>DALARNAS LÄN</t>
        </is>
      </c>
      <c r="E490" t="inlineStr">
        <is>
          <t>ÄLVDALEN</t>
        </is>
      </c>
      <c r="F490" t="inlineStr">
        <is>
          <t>Övriga statliga verk och myndigheter</t>
        </is>
      </c>
      <c r="G490" t="n">
        <v>29.1</v>
      </c>
      <c r="H490" t="n">
        <v>0</v>
      </c>
      <c r="I490" t="n">
        <v>0</v>
      </c>
      <c r="J490" t="n">
        <v>0</v>
      </c>
      <c r="K490" t="n">
        <v>0</v>
      </c>
      <c r="L490" t="n">
        <v>0</v>
      </c>
      <c r="M490" t="n">
        <v>0</v>
      </c>
      <c r="N490" t="n">
        <v>0</v>
      </c>
      <c r="O490" t="n">
        <v>0</v>
      </c>
      <c r="P490" t="n">
        <v>0</v>
      </c>
      <c r="Q490" t="n">
        <v>0</v>
      </c>
      <c r="R490" s="2" t="inlineStr"/>
    </row>
    <row r="491" ht="15" customHeight="1">
      <c r="A491" t="inlineStr">
        <is>
          <t>A 30987-2023</t>
        </is>
      </c>
      <c r="B491" s="1" t="n">
        <v>45113</v>
      </c>
      <c r="C491" s="1" t="n">
        <v>45983</v>
      </c>
      <c r="D491" t="inlineStr">
        <is>
          <t>DALARNAS LÄN</t>
        </is>
      </c>
      <c r="E491" t="inlineStr">
        <is>
          <t>ÄLVDALEN</t>
        </is>
      </c>
      <c r="F491" t="inlineStr">
        <is>
          <t>Allmännings- och besparingsskogar</t>
        </is>
      </c>
      <c r="G491" t="n">
        <v>3.8</v>
      </c>
      <c r="H491" t="n">
        <v>0</v>
      </c>
      <c r="I491" t="n">
        <v>0</v>
      </c>
      <c r="J491" t="n">
        <v>0</v>
      </c>
      <c r="K491" t="n">
        <v>0</v>
      </c>
      <c r="L491" t="n">
        <v>0</v>
      </c>
      <c r="M491" t="n">
        <v>0</v>
      </c>
      <c r="N491" t="n">
        <v>0</v>
      </c>
      <c r="O491" t="n">
        <v>0</v>
      </c>
      <c r="P491" t="n">
        <v>0</v>
      </c>
      <c r="Q491" t="n">
        <v>0</v>
      </c>
      <c r="R491" s="2" t="inlineStr"/>
    </row>
    <row r="492" ht="15" customHeight="1">
      <c r="A492" t="inlineStr">
        <is>
          <t>A 47080-2024</t>
        </is>
      </c>
      <c r="B492" s="1" t="n">
        <v>45586.50578703704</v>
      </c>
      <c r="C492" s="1" t="n">
        <v>45983</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2377-2024</t>
        </is>
      </c>
      <c r="B493" s="1" t="n">
        <v>45310.63633101852</v>
      </c>
      <c r="C493" s="1" t="n">
        <v>45983</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2384-2024</t>
        </is>
      </c>
      <c r="B494" s="1" t="n">
        <v>45310.65099537037</v>
      </c>
      <c r="C494" s="1" t="n">
        <v>45983</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5883-2024</t>
        </is>
      </c>
      <c r="B495" s="1" t="n">
        <v>45335.69585648148</v>
      </c>
      <c r="C495" s="1" t="n">
        <v>45983</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63079-2021</t>
        </is>
      </c>
      <c r="B496" s="1" t="n">
        <v>44505.56753472222</v>
      </c>
      <c r="C496" s="1" t="n">
        <v>45983</v>
      </c>
      <c r="D496" t="inlineStr">
        <is>
          <t>DALARNAS LÄN</t>
        </is>
      </c>
      <c r="E496" t="inlineStr">
        <is>
          <t>ÄLVDALEN</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74324-2021</t>
        </is>
      </c>
      <c r="B497" s="1" t="n">
        <v>44558</v>
      </c>
      <c r="C497" s="1" t="n">
        <v>45983</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47525-2024</t>
        </is>
      </c>
      <c r="B498" s="1" t="n">
        <v>45587.6328587963</v>
      </c>
      <c r="C498" s="1" t="n">
        <v>45983</v>
      </c>
      <c r="D498" t="inlineStr">
        <is>
          <t>DALARNAS LÄN</t>
        </is>
      </c>
      <c r="E498" t="inlineStr">
        <is>
          <t>ÄLVDALEN</t>
        </is>
      </c>
      <c r="F498" t="inlineStr">
        <is>
          <t>Bergvik skog väst AB</t>
        </is>
      </c>
      <c r="G498" t="n">
        <v>4.6</v>
      </c>
      <c r="H498" t="n">
        <v>0</v>
      </c>
      <c r="I498" t="n">
        <v>0</v>
      </c>
      <c r="J498" t="n">
        <v>0</v>
      </c>
      <c r="K498" t="n">
        <v>0</v>
      </c>
      <c r="L498" t="n">
        <v>0</v>
      </c>
      <c r="M498" t="n">
        <v>0</v>
      </c>
      <c r="N498" t="n">
        <v>0</v>
      </c>
      <c r="O498" t="n">
        <v>0</v>
      </c>
      <c r="P498" t="n">
        <v>0</v>
      </c>
      <c r="Q498" t="n">
        <v>0</v>
      </c>
      <c r="R498" s="2" t="inlineStr"/>
    </row>
    <row r="499" ht="15" customHeight="1">
      <c r="A499" t="inlineStr">
        <is>
          <t>A 34835-2023</t>
        </is>
      </c>
      <c r="B499" s="1" t="n">
        <v>45141</v>
      </c>
      <c r="C499" s="1" t="n">
        <v>45983</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629-2025</t>
        </is>
      </c>
      <c r="B500" s="1" t="n">
        <v>45660</v>
      </c>
      <c r="C500" s="1" t="n">
        <v>45983</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17051-2023</t>
        </is>
      </c>
      <c r="B501" s="1" t="n">
        <v>45034</v>
      </c>
      <c r="C501" s="1" t="n">
        <v>45983</v>
      </c>
      <c r="D501" t="inlineStr">
        <is>
          <t>DALARNAS LÄN</t>
        </is>
      </c>
      <c r="E501" t="inlineStr">
        <is>
          <t>ÄLVDALEN</t>
        </is>
      </c>
      <c r="G501" t="n">
        <v>4.2</v>
      </c>
      <c r="H501" t="n">
        <v>0</v>
      </c>
      <c r="I501" t="n">
        <v>0</v>
      </c>
      <c r="J501" t="n">
        <v>0</v>
      </c>
      <c r="K501" t="n">
        <v>0</v>
      </c>
      <c r="L501" t="n">
        <v>0</v>
      </c>
      <c r="M501" t="n">
        <v>0</v>
      </c>
      <c r="N501" t="n">
        <v>0</v>
      </c>
      <c r="O501" t="n">
        <v>0</v>
      </c>
      <c r="P501" t="n">
        <v>0</v>
      </c>
      <c r="Q501" t="n">
        <v>0</v>
      </c>
      <c r="R501" s="2" t="inlineStr"/>
    </row>
    <row r="502" ht="15" customHeight="1">
      <c r="A502" t="inlineStr">
        <is>
          <t>A 47666-2024</t>
        </is>
      </c>
      <c r="B502" s="1" t="n">
        <v>45588.39283564815</v>
      </c>
      <c r="C502" s="1" t="n">
        <v>45983</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47071-2023</t>
        </is>
      </c>
      <c r="B503" s="1" t="n">
        <v>45201.60141203704</v>
      </c>
      <c r="C503" s="1" t="n">
        <v>45983</v>
      </c>
      <c r="D503" t="inlineStr">
        <is>
          <t>DALARNAS LÄN</t>
        </is>
      </c>
      <c r="E503" t="inlineStr">
        <is>
          <t>ÄLVDALEN</t>
        </is>
      </c>
      <c r="F503" t="inlineStr">
        <is>
          <t>Bergvik skog väst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50056-2024</t>
        </is>
      </c>
      <c r="B504" s="1" t="n">
        <v>45600.34134259259</v>
      </c>
      <c r="C504" s="1" t="n">
        <v>45983</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62314-2022</t>
        </is>
      </c>
      <c r="B505" s="1" t="n">
        <v>44916</v>
      </c>
      <c r="C505" s="1" t="n">
        <v>45983</v>
      </c>
      <c r="D505" t="inlineStr">
        <is>
          <t>DALARNAS LÄN</t>
        </is>
      </c>
      <c r="E505" t="inlineStr">
        <is>
          <t>ÄLVDALEN</t>
        </is>
      </c>
      <c r="G505" t="n">
        <v>2.7</v>
      </c>
      <c r="H505" t="n">
        <v>0</v>
      </c>
      <c r="I505" t="n">
        <v>0</v>
      </c>
      <c r="J505" t="n">
        <v>0</v>
      </c>
      <c r="K505" t="n">
        <v>0</v>
      </c>
      <c r="L505" t="n">
        <v>0</v>
      </c>
      <c r="M505" t="n">
        <v>0</v>
      </c>
      <c r="N505" t="n">
        <v>0</v>
      </c>
      <c r="O505" t="n">
        <v>0</v>
      </c>
      <c r="P505" t="n">
        <v>0</v>
      </c>
      <c r="Q505" t="n">
        <v>0</v>
      </c>
      <c r="R505" s="2" t="inlineStr"/>
    </row>
    <row r="506" ht="15" customHeight="1">
      <c r="A506" t="inlineStr">
        <is>
          <t>A 47751-2024</t>
        </is>
      </c>
      <c r="B506" s="1" t="n">
        <v>45588.53628472222</v>
      </c>
      <c r="C506" s="1" t="n">
        <v>45983</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32352-2023</t>
        </is>
      </c>
      <c r="B507" s="1" t="n">
        <v>45120</v>
      </c>
      <c r="C507" s="1" t="n">
        <v>45983</v>
      </c>
      <c r="D507" t="inlineStr">
        <is>
          <t>DALARNAS LÄN</t>
        </is>
      </c>
      <c r="E507" t="inlineStr">
        <is>
          <t>ÄLVDALEN</t>
        </is>
      </c>
      <c r="G507" t="n">
        <v>2</v>
      </c>
      <c r="H507" t="n">
        <v>0</v>
      </c>
      <c r="I507" t="n">
        <v>0</v>
      </c>
      <c r="J507" t="n">
        <v>0</v>
      </c>
      <c r="K507" t="n">
        <v>0</v>
      </c>
      <c r="L507" t="n">
        <v>0</v>
      </c>
      <c r="M507" t="n">
        <v>0</v>
      </c>
      <c r="N507" t="n">
        <v>0</v>
      </c>
      <c r="O507" t="n">
        <v>0</v>
      </c>
      <c r="P507" t="n">
        <v>0</v>
      </c>
      <c r="Q507" t="n">
        <v>0</v>
      </c>
      <c r="R507" s="2" t="inlineStr"/>
    </row>
    <row r="508" ht="15" customHeight="1">
      <c r="A508" t="inlineStr">
        <is>
          <t>A 47877-2023</t>
        </is>
      </c>
      <c r="B508" s="1" t="n">
        <v>45204</v>
      </c>
      <c r="C508" s="1" t="n">
        <v>45983</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33107-2023</t>
        </is>
      </c>
      <c r="B509" s="1" t="n">
        <v>45114</v>
      </c>
      <c r="C509" s="1" t="n">
        <v>45983</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713-2022</t>
        </is>
      </c>
      <c r="B510" s="1" t="n">
        <v>44568</v>
      </c>
      <c r="C510" s="1" t="n">
        <v>45983</v>
      </c>
      <c r="D510" t="inlineStr">
        <is>
          <t>DALARNAS LÄN</t>
        </is>
      </c>
      <c r="E510" t="inlineStr">
        <is>
          <t>ÄLVDALEN</t>
        </is>
      </c>
      <c r="G510" t="n">
        <v>1.6</v>
      </c>
      <c r="H510" t="n">
        <v>0</v>
      </c>
      <c r="I510" t="n">
        <v>0</v>
      </c>
      <c r="J510" t="n">
        <v>0</v>
      </c>
      <c r="K510" t="n">
        <v>0</v>
      </c>
      <c r="L510" t="n">
        <v>0</v>
      </c>
      <c r="M510" t="n">
        <v>0</v>
      </c>
      <c r="N510" t="n">
        <v>0</v>
      </c>
      <c r="O510" t="n">
        <v>0</v>
      </c>
      <c r="P510" t="n">
        <v>0</v>
      </c>
      <c r="Q510" t="n">
        <v>0</v>
      </c>
      <c r="R510" s="2" t="inlineStr"/>
    </row>
    <row r="511" ht="15" customHeight="1">
      <c r="A511" t="inlineStr">
        <is>
          <t>A 59478-2024</t>
        </is>
      </c>
      <c r="B511" s="1" t="n">
        <v>45638.52181712963</v>
      </c>
      <c r="C511" s="1" t="n">
        <v>45983</v>
      </c>
      <c r="D511" t="inlineStr">
        <is>
          <t>DALARNAS LÄN</t>
        </is>
      </c>
      <c r="E511" t="inlineStr">
        <is>
          <t>ÄLVDALEN</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32187-2024</t>
        </is>
      </c>
      <c r="B512" s="1" t="n">
        <v>45511.64925925926</v>
      </c>
      <c r="C512" s="1" t="n">
        <v>45983</v>
      </c>
      <c r="D512" t="inlineStr">
        <is>
          <t>DALARNAS LÄN</t>
        </is>
      </c>
      <c r="E512" t="inlineStr">
        <is>
          <t>ÄLVDALEN</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760-2025</t>
        </is>
      </c>
      <c r="B513" s="1" t="n">
        <v>45665.44936342593</v>
      </c>
      <c r="C513" s="1" t="n">
        <v>45983</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777-2025</t>
        </is>
      </c>
      <c r="B514" s="1" t="n">
        <v>45665.47403935185</v>
      </c>
      <c r="C514" s="1" t="n">
        <v>45983</v>
      </c>
      <c r="D514" t="inlineStr">
        <is>
          <t>DALARNAS LÄN</t>
        </is>
      </c>
      <c r="E514" t="inlineStr">
        <is>
          <t>ÄLVDALEN</t>
        </is>
      </c>
      <c r="G514" t="n">
        <v>2.4</v>
      </c>
      <c r="H514" t="n">
        <v>0</v>
      </c>
      <c r="I514" t="n">
        <v>0</v>
      </c>
      <c r="J514" t="n">
        <v>0</v>
      </c>
      <c r="K514" t="n">
        <v>0</v>
      </c>
      <c r="L514" t="n">
        <v>0</v>
      </c>
      <c r="M514" t="n">
        <v>0</v>
      </c>
      <c r="N514" t="n">
        <v>0</v>
      </c>
      <c r="O514" t="n">
        <v>0</v>
      </c>
      <c r="P514" t="n">
        <v>0</v>
      </c>
      <c r="Q514" t="n">
        <v>0</v>
      </c>
      <c r="R514" s="2" t="inlineStr"/>
    </row>
    <row r="515" ht="15" customHeight="1">
      <c r="A515" t="inlineStr">
        <is>
          <t>A 54076-2024</t>
        </is>
      </c>
      <c r="B515" s="1" t="n">
        <v>45616</v>
      </c>
      <c r="C515" s="1" t="n">
        <v>45983</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57665-2024</t>
        </is>
      </c>
      <c r="B516" s="1" t="n">
        <v>45630.62005787037</v>
      </c>
      <c r="C516" s="1" t="n">
        <v>45983</v>
      </c>
      <c r="D516" t="inlineStr">
        <is>
          <t>DALARNAS LÄN</t>
        </is>
      </c>
      <c r="E516" t="inlineStr">
        <is>
          <t>ÄLVDALEN</t>
        </is>
      </c>
      <c r="F516" t="inlineStr">
        <is>
          <t>Allmännings- och besparingsskogar</t>
        </is>
      </c>
      <c r="G516" t="n">
        <v>2</v>
      </c>
      <c r="H516" t="n">
        <v>0</v>
      </c>
      <c r="I516" t="n">
        <v>0</v>
      </c>
      <c r="J516" t="n">
        <v>0</v>
      </c>
      <c r="K516" t="n">
        <v>0</v>
      </c>
      <c r="L516" t="n">
        <v>0</v>
      </c>
      <c r="M516" t="n">
        <v>0</v>
      </c>
      <c r="N516" t="n">
        <v>0</v>
      </c>
      <c r="O516" t="n">
        <v>0</v>
      </c>
      <c r="P516" t="n">
        <v>0</v>
      </c>
      <c r="Q516" t="n">
        <v>0</v>
      </c>
      <c r="R516" s="2" t="inlineStr"/>
    </row>
    <row r="517" ht="15" customHeight="1">
      <c r="A517" t="inlineStr">
        <is>
          <t>A 74322-2021</t>
        </is>
      </c>
      <c r="B517" s="1" t="n">
        <v>44558</v>
      </c>
      <c r="C517" s="1" t="n">
        <v>45983</v>
      </c>
      <c r="D517" t="inlineStr">
        <is>
          <t>DALARNAS LÄN</t>
        </is>
      </c>
      <c r="E517" t="inlineStr">
        <is>
          <t>ÄLVDALEN</t>
        </is>
      </c>
      <c r="G517" t="n">
        <v>1.2</v>
      </c>
      <c r="H517" t="n">
        <v>0</v>
      </c>
      <c r="I517" t="n">
        <v>0</v>
      </c>
      <c r="J517" t="n">
        <v>0</v>
      </c>
      <c r="K517" t="n">
        <v>0</v>
      </c>
      <c r="L517" t="n">
        <v>0</v>
      </c>
      <c r="M517" t="n">
        <v>0</v>
      </c>
      <c r="N517" t="n">
        <v>0</v>
      </c>
      <c r="O517" t="n">
        <v>0</v>
      </c>
      <c r="P517" t="n">
        <v>0</v>
      </c>
      <c r="Q517" t="n">
        <v>0</v>
      </c>
      <c r="R517" s="2" t="inlineStr"/>
    </row>
    <row r="518" ht="15" customHeight="1">
      <c r="A518" t="inlineStr">
        <is>
          <t>A 30414-2024</t>
        </is>
      </c>
      <c r="B518" s="1" t="n">
        <v>45491.63538194444</v>
      </c>
      <c r="C518" s="1" t="n">
        <v>45983</v>
      </c>
      <c r="D518" t="inlineStr">
        <is>
          <t>DALARNAS LÄN</t>
        </is>
      </c>
      <c r="E518" t="inlineStr">
        <is>
          <t>ÄLVDALEN</t>
        </is>
      </c>
      <c r="G518" t="n">
        <v>0.7</v>
      </c>
      <c r="H518" t="n">
        <v>0</v>
      </c>
      <c r="I518" t="n">
        <v>0</v>
      </c>
      <c r="J518" t="n">
        <v>0</v>
      </c>
      <c r="K518" t="n">
        <v>0</v>
      </c>
      <c r="L518" t="n">
        <v>0</v>
      </c>
      <c r="M518" t="n">
        <v>0</v>
      </c>
      <c r="N518" t="n">
        <v>0</v>
      </c>
      <c r="O518" t="n">
        <v>0</v>
      </c>
      <c r="P518" t="n">
        <v>0</v>
      </c>
      <c r="Q518" t="n">
        <v>0</v>
      </c>
      <c r="R518" s="2" t="inlineStr"/>
    </row>
    <row r="519" ht="15" customHeight="1">
      <c r="A519" t="inlineStr">
        <is>
          <t>A 59545-2024</t>
        </is>
      </c>
      <c r="B519" s="1" t="n">
        <v>45638.62018518519</v>
      </c>
      <c r="C519" s="1" t="n">
        <v>45983</v>
      </c>
      <c r="D519" t="inlineStr">
        <is>
          <t>DALARNAS LÄN</t>
        </is>
      </c>
      <c r="E519" t="inlineStr">
        <is>
          <t>ÄLVDALEN</t>
        </is>
      </c>
      <c r="G519" t="n">
        <v>7.9</v>
      </c>
      <c r="H519" t="n">
        <v>0</v>
      </c>
      <c r="I519" t="n">
        <v>0</v>
      </c>
      <c r="J519" t="n">
        <v>0</v>
      </c>
      <c r="K519" t="n">
        <v>0</v>
      </c>
      <c r="L519" t="n">
        <v>0</v>
      </c>
      <c r="M519" t="n">
        <v>0</v>
      </c>
      <c r="N519" t="n">
        <v>0</v>
      </c>
      <c r="O519" t="n">
        <v>0</v>
      </c>
      <c r="P519" t="n">
        <v>0</v>
      </c>
      <c r="Q519" t="n">
        <v>0</v>
      </c>
      <c r="R519" s="2" t="inlineStr"/>
    </row>
    <row r="520" ht="15" customHeight="1">
      <c r="A520" t="inlineStr">
        <is>
          <t>A 13000-2022</t>
        </is>
      </c>
      <c r="B520" s="1" t="n">
        <v>44643.44597222222</v>
      </c>
      <c r="C520" s="1" t="n">
        <v>45983</v>
      </c>
      <c r="D520" t="inlineStr">
        <is>
          <t>DALARNAS LÄN</t>
        </is>
      </c>
      <c r="E520" t="inlineStr">
        <is>
          <t>ÄLVDALEN</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23999-2024</t>
        </is>
      </c>
      <c r="B521" s="1" t="n">
        <v>45456.37555555555</v>
      </c>
      <c r="C521" s="1" t="n">
        <v>45983</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24002-2024</t>
        </is>
      </c>
      <c r="B522" s="1" t="n">
        <v>45456.3827662037</v>
      </c>
      <c r="C522" s="1" t="n">
        <v>45983</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32359-2024</t>
        </is>
      </c>
      <c r="B523" s="1" t="n">
        <v>45512.56623842593</v>
      </c>
      <c r="C523" s="1" t="n">
        <v>45983</v>
      </c>
      <c r="D523" t="inlineStr">
        <is>
          <t>DALARNAS LÄN</t>
        </is>
      </c>
      <c r="E523" t="inlineStr">
        <is>
          <t>ÄLVDALEN</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15759-2024</t>
        </is>
      </c>
      <c r="B524" s="1" t="n">
        <v>45404</v>
      </c>
      <c r="C524" s="1" t="n">
        <v>45983</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56222-2023</t>
        </is>
      </c>
      <c r="B525" s="1" t="n">
        <v>45240</v>
      </c>
      <c r="C525" s="1" t="n">
        <v>45983</v>
      </c>
      <c r="D525" t="inlineStr">
        <is>
          <t>DALARNAS LÄN</t>
        </is>
      </c>
      <c r="E525" t="inlineStr">
        <is>
          <t>ÄLVDALEN</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56224-2023</t>
        </is>
      </c>
      <c r="B526" s="1" t="n">
        <v>45240</v>
      </c>
      <c r="C526" s="1" t="n">
        <v>45983</v>
      </c>
      <c r="D526" t="inlineStr">
        <is>
          <t>DALARNAS LÄN</t>
        </is>
      </c>
      <c r="E526" t="inlineStr">
        <is>
          <t>ÄLVDALEN</t>
        </is>
      </c>
      <c r="F526" t="inlineStr">
        <is>
          <t>Övriga Aktiebolag</t>
        </is>
      </c>
      <c r="G526" t="n">
        <v>10.9</v>
      </c>
      <c r="H526" t="n">
        <v>0</v>
      </c>
      <c r="I526" t="n">
        <v>0</v>
      </c>
      <c r="J526" t="n">
        <v>0</v>
      </c>
      <c r="K526" t="n">
        <v>0</v>
      </c>
      <c r="L526" t="n">
        <v>0</v>
      </c>
      <c r="M526" t="n">
        <v>0</v>
      </c>
      <c r="N526" t="n">
        <v>0</v>
      </c>
      <c r="O526" t="n">
        <v>0</v>
      </c>
      <c r="P526" t="n">
        <v>0</v>
      </c>
      <c r="Q526" t="n">
        <v>0</v>
      </c>
      <c r="R526" s="2" t="inlineStr"/>
    </row>
    <row r="527" ht="15" customHeight="1">
      <c r="A527" t="inlineStr">
        <is>
          <t>A 8192-2025</t>
        </is>
      </c>
      <c r="B527" s="1" t="n">
        <v>45708.41151620371</v>
      </c>
      <c r="C527" s="1" t="n">
        <v>45983</v>
      </c>
      <c r="D527" t="inlineStr">
        <is>
          <t>DALARNAS LÄN</t>
        </is>
      </c>
      <c r="E527" t="inlineStr">
        <is>
          <t>ÄLVDALEN</t>
        </is>
      </c>
      <c r="F527" t="inlineStr">
        <is>
          <t>Allmännings- och besparingsskogar</t>
        </is>
      </c>
      <c r="G527" t="n">
        <v>15.1</v>
      </c>
      <c r="H527" t="n">
        <v>0</v>
      </c>
      <c r="I527" t="n">
        <v>0</v>
      </c>
      <c r="J527" t="n">
        <v>0</v>
      </c>
      <c r="K527" t="n">
        <v>0</v>
      </c>
      <c r="L527" t="n">
        <v>0</v>
      </c>
      <c r="M527" t="n">
        <v>0</v>
      </c>
      <c r="N527" t="n">
        <v>0</v>
      </c>
      <c r="O527" t="n">
        <v>0</v>
      </c>
      <c r="P527" t="n">
        <v>0</v>
      </c>
      <c r="Q527" t="n">
        <v>0</v>
      </c>
      <c r="R527" s="2" t="inlineStr"/>
    </row>
    <row r="528" ht="15" customHeight="1">
      <c r="A528" t="inlineStr">
        <is>
          <t>A 46011-2023</t>
        </is>
      </c>
      <c r="B528" s="1" t="n">
        <v>45196.38245370371</v>
      </c>
      <c r="C528" s="1" t="n">
        <v>45983</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41004-2023</t>
        </is>
      </c>
      <c r="B529" s="1" t="n">
        <v>45173</v>
      </c>
      <c r="C529" s="1" t="n">
        <v>45983</v>
      </c>
      <c r="D529" t="inlineStr">
        <is>
          <t>DALARNAS LÄN</t>
        </is>
      </c>
      <c r="E529" t="inlineStr">
        <is>
          <t>ÄLVDALEN</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49203-2023</t>
        </is>
      </c>
      <c r="B530" s="1" t="n">
        <v>45210</v>
      </c>
      <c r="C530" s="1" t="n">
        <v>45983</v>
      </c>
      <c r="D530" t="inlineStr">
        <is>
          <t>DALARNAS LÄN</t>
        </is>
      </c>
      <c r="E530" t="inlineStr">
        <is>
          <t>ÄLVDALEN</t>
        </is>
      </c>
      <c r="F530" t="inlineStr">
        <is>
          <t>Bergvik skog väst AB</t>
        </is>
      </c>
      <c r="G530" t="n">
        <v>18.2</v>
      </c>
      <c r="H530" t="n">
        <v>0</v>
      </c>
      <c r="I530" t="n">
        <v>0</v>
      </c>
      <c r="J530" t="n">
        <v>0</v>
      </c>
      <c r="K530" t="n">
        <v>0</v>
      </c>
      <c r="L530" t="n">
        <v>0</v>
      </c>
      <c r="M530" t="n">
        <v>0</v>
      </c>
      <c r="N530" t="n">
        <v>0</v>
      </c>
      <c r="O530" t="n">
        <v>0</v>
      </c>
      <c r="P530" t="n">
        <v>0</v>
      </c>
      <c r="Q530" t="n">
        <v>0</v>
      </c>
      <c r="R530" s="2" t="inlineStr"/>
    </row>
    <row r="531" ht="15" customHeight="1">
      <c r="A531" t="inlineStr">
        <is>
          <t>A 6675-2025</t>
        </is>
      </c>
      <c r="B531" s="1" t="n">
        <v>45700.47643518518</v>
      </c>
      <c r="C531" s="1" t="n">
        <v>45983</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5583-2025</t>
        </is>
      </c>
      <c r="B532" s="1" t="n">
        <v>45693.55244212963</v>
      </c>
      <c r="C532" s="1" t="n">
        <v>45983</v>
      </c>
      <c r="D532" t="inlineStr">
        <is>
          <t>DALARNAS LÄN</t>
        </is>
      </c>
      <c r="E532" t="inlineStr">
        <is>
          <t>ÄLVDALEN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24009-2024</t>
        </is>
      </c>
      <c r="B533" s="1" t="n">
        <v>45456.40030092592</v>
      </c>
      <c r="C533" s="1" t="n">
        <v>45983</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36640-2023</t>
        </is>
      </c>
      <c r="B534" s="1" t="n">
        <v>45153.54498842593</v>
      </c>
      <c r="C534" s="1" t="n">
        <v>45983</v>
      </c>
      <c r="D534" t="inlineStr">
        <is>
          <t>DALARNAS LÄN</t>
        </is>
      </c>
      <c r="E534" t="inlineStr">
        <is>
          <t>ÄLVDALEN</t>
        </is>
      </c>
      <c r="G534" t="n">
        <v>2.3</v>
      </c>
      <c r="H534" t="n">
        <v>0</v>
      </c>
      <c r="I534" t="n">
        <v>0</v>
      </c>
      <c r="J534" t="n">
        <v>0</v>
      </c>
      <c r="K534" t="n">
        <v>0</v>
      </c>
      <c r="L534" t="n">
        <v>0</v>
      </c>
      <c r="M534" t="n">
        <v>0</v>
      </c>
      <c r="N534" t="n">
        <v>0</v>
      </c>
      <c r="O534" t="n">
        <v>0</v>
      </c>
      <c r="P534" t="n">
        <v>0</v>
      </c>
      <c r="Q534" t="n">
        <v>0</v>
      </c>
      <c r="R534" s="2" t="inlineStr"/>
    </row>
    <row r="535" ht="15" customHeight="1">
      <c r="A535" t="inlineStr">
        <is>
          <t>A 7913-2025</t>
        </is>
      </c>
      <c r="B535" s="1" t="n">
        <v>45707.34497685185</v>
      </c>
      <c r="C535" s="1" t="n">
        <v>45983</v>
      </c>
      <c r="D535" t="inlineStr">
        <is>
          <t>DALARNAS LÄN</t>
        </is>
      </c>
      <c r="E535" t="inlineStr">
        <is>
          <t>ÄLVDALEN</t>
        </is>
      </c>
      <c r="F535" t="inlineStr">
        <is>
          <t>Allmännings- och besparingsskogar</t>
        </is>
      </c>
      <c r="G535" t="n">
        <v>7.5</v>
      </c>
      <c r="H535" t="n">
        <v>0</v>
      </c>
      <c r="I535" t="n">
        <v>0</v>
      </c>
      <c r="J535" t="n">
        <v>0</v>
      </c>
      <c r="K535" t="n">
        <v>0</v>
      </c>
      <c r="L535" t="n">
        <v>0</v>
      </c>
      <c r="M535" t="n">
        <v>0</v>
      </c>
      <c r="N535" t="n">
        <v>0</v>
      </c>
      <c r="O535" t="n">
        <v>0</v>
      </c>
      <c r="P535" t="n">
        <v>0</v>
      </c>
      <c r="Q535" t="n">
        <v>0</v>
      </c>
      <c r="R535" s="2" t="inlineStr"/>
    </row>
    <row r="536" ht="15" customHeight="1">
      <c r="A536" t="inlineStr">
        <is>
          <t>A 42649-2023</t>
        </is>
      </c>
      <c r="B536" s="1" t="n">
        <v>45181.53310185186</v>
      </c>
      <c r="C536" s="1" t="n">
        <v>45983</v>
      </c>
      <c r="D536" t="inlineStr">
        <is>
          <t>DALARNAS LÄN</t>
        </is>
      </c>
      <c r="E536" t="inlineStr">
        <is>
          <t>ÄLVDALEN</t>
        </is>
      </c>
      <c r="G536" t="n">
        <v>5.3</v>
      </c>
      <c r="H536" t="n">
        <v>0</v>
      </c>
      <c r="I536" t="n">
        <v>0</v>
      </c>
      <c r="J536" t="n">
        <v>0</v>
      </c>
      <c r="K536" t="n">
        <v>0</v>
      </c>
      <c r="L536" t="n">
        <v>0</v>
      </c>
      <c r="M536" t="n">
        <v>0</v>
      </c>
      <c r="N536" t="n">
        <v>0</v>
      </c>
      <c r="O536" t="n">
        <v>0</v>
      </c>
      <c r="P536" t="n">
        <v>0</v>
      </c>
      <c r="Q536" t="n">
        <v>0</v>
      </c>
      <c r="R536" s="2" t="inlineStr"/>
    </row>
    <row r="537" ht="15" customHeight="1">
      <c r="A537" t="inlineStr">
        <is>
          <t>A 33100-2023</t>
        </is>
      </c>
      <c r="B537" s="1" t="n">
        <v>45114</v>
      </c>
      <c r="C537" s="1" t="n">
        <v>45983</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7164-2021</t>
        </is>
      </c>
      <c r="B538" s="1" t="n">
        <v>44238</v>
      </c>
      <c r="C538" s="1" t="n">
        <v>45983</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3893-2024</t>
        </is>
      </c>
      <c r="B539" s="1" t="n">
        <v>45322</v>
      </c>
      <c r="C539" s="1" t="n">
        <v>45983</v>
      </c>
      <c r="D539" t="inlineStr">
        <is>
          <t>DALARNAS LÄN</t>
        </is>
      </c>
      <c r="E539" t="inlineStr">
        <is>
          <t>ÄLVDALEN</t>
        </is>
      </c>
      <c r="G539" t="n">
        <v>0.5</v>
      </c>
      <c r="H539" t="n">
        <v>0</v>
      </c>
      <c r="I539" t="n">
        <v>0</v>
      </c>
      <c r="J539" t="n">
        <v>0</v>
      </c>
      <c r="K539" t="n">
        <v>0</v>
      </c>
      <c r="L539" t="n">
        <v>0</v>
      </c>
      <c r="M539" t="n">
        <v>0</v>
      </c>
      <c r="N539" t="n">
        <v>0</v>
      </c>
      <c r="O539" t="n">
        <v>0</v>
      </c>
      <c r="P539" t="n">
        <v>0</v>
      </c>
      <c r="Q539" t="n">
        <v>0</v>
      </c>
      <c r="R539" s="2" t="inlineStr"/>
    </row>
    <row r="540" ht="15" customHeight="1">
      <c r="A540" t="inlineStr">
        <is>
          <t>A 37665-2023</t>
        </is>
      </c>
      <c r="B540" s="1" t="n">
        <v>45159.5371875</v>
      </c>
      <c r="C540" s="1" t="n">
        <v>45983</v>
      </c>
      <c r="D540" t="inlineStr">
        <is>
          <t>DALARNAS LÄN</t>
        </is>
      </c>
      <c r="E540" t="inlineStr">
        <is>
          <t>ÄLVDALEN</t>
        </is>
      </c>
      <c r="F540" t="inlineStr">
        <is>
          <t>Allmännings- och besparingsskogar</t>
        </is>
      </c>
      <c r="G540" t="n">
        <v>0.5</v>
      </c>
      <c r="H540" t="n">
        <v>0</v>
      </c>
      <c r="I540" t="n">
        <v>0</v>
      </c>
      <c r="J540" t="n">
        <v>0</v>
      </c>
      <c r="K540" t="n">
        <v>0</v>
      </c>
      <c r="L540" t="n">
        <v>0</v>
      </c>
      <c r="M540" t="n">
        <v>0</v>
      </c>
      <c r="N540" t="n">
        <v>0</v>
      </c>
      <c r="O540" t="n">
        <v>0</v>
      </c>
      <c r="P540" t="n">
        <v>0</v>
      </c>
      <c r="Q540" t="n">
        <v>0</v>
      </c>
      <c r="R540" s="2" t="inlineStr"/>
    </row>
    <row r="541" ht="15" customHeight="1">
      <c r="A541" t="inlineStr">
        <is>
          <t>A 1310-2024</t>
        </is>
      </c>
      <c r="B541" s="1" t="n">
        <v>45303</v>
      </c>
      <c r="C541" s="1" t="n">
        <v>45983</v>
      </c>
      <c r="D541" t="inlineStr">
        <is>
          <t>DALARNAS LÄN</t>
        </is>
      </c>
      <c r="E541" t="inlineStr">
        <is>
          <t>ÄLVDALEN</t>
        </is>
      </c>
      <c r="G541" t="n">
        <v>4.3</v>
      </c>
      <c r="H541" t="n">
        <v>0</v>
      </c>
      <c r="I541" t="n">
        <v>0</v>
      </c>
      <c r="J541" t="n">
        <v>0</v>
      </c>
      <c r="K541" t="n">
        <v>0</v>
      </c>
      <c r="L541" t="n">
        <v>0</v>
      </c>
      <c r="M541" t="n">
        <v>0</v>
      </c>
      <c r="N541" t="n">
        <v>0</v>
      </c>
      <c r="O541" t="n">
        <v>0</v>
      </c>
      <c r="P541" t="n">
        <v>0</v>
      </c>
      <c r="Q541" t="n">
        <v>0</v>
      </c>
      <c r="R541" s="2" t="inlineStr"/>
    </row>
    <row r="542" ht="15" customHeight="1">
      <c r="A542" t="inlineStr">
        <is>
          <t>A 19527-2025</t>
        </is>
      </c>
      <c r="B542" s="1" t="n">
        <v>45770.46546296297</v>
      </c>
      <c r="C542" s="1" t="n">
        <v>45983</v>
      </c>
      <c r="D542" t="inlineStr">
        <is>
          <t>DALARNAS LÄN</t>
        </is>
      </c>
      <c r="E542" t="inlineStr">
        <is>
          <t>ÄLVDALEN</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6001-2024</t>
        </is>
      </c>
      <c r="B543" s="1" t="n">
        <v>45336</v>
      </c>
      <c r="C543" s="1" t="n">
        <v>45983</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44839.39157407408</v>
      </c>
      <c r="C544" s="1" t="n">
        <v>45983</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68219-2021</t>
        </is>
      </c>
      <c r="B545" s="1" t="n">
        <v>44526.57060185185</v>
      </c>
      <c r="C545" s="1" t="n">
        <v>45983</v>
      </c>
      <c r="D545" t="inlineStr">
        <is>
          <t>DALARNAS LÄN</t>
        </is>
      </c>
      <c r="E545" t="inlineStr">
        <is>
          <t>ÄLVDALEN</t>
        </is>
      </c>
      <c r="F545" t="inlineStr">
        <is>
          <t>Kyrkan</t>
        </is>
      </c>
      <c r="G545" t="n">
        <v>2.7</v>
      </c>
      <c r="H545" t="n">
        <v>0</v>
      </c>
      <c r="I545" t="n">
        <v>0</v>
      </c>
      <c r="J545" t="n">
        <v>0</v>
      </c>
      <c r="K545" t="n">
        <v>0</v>
      </c>
      <c r="L545" t="n">
        <v>0</v>
      </c>
      <c r="M545" t="n">
        <v>0</v>
      </c>
      <c r="N545" t="n">
        <v>0</v>
      </c>
      <c r="O545" t="n">
        <v>0</v>
      </c>
      <c r="P545" t="n">
        <v>0</v>
      </c>
      <c r="Q545" t="n">
        <v>0</v>
      </c>
      <c r="R545" s="2" t="inlineStr"/>
    </row>
    <row r="546" ht="15" customHeight="1">
      <c r="A546" t="inlineStr">
        <is>
          <t>A 29610-2024</t>
        </is>
      </c>
      <c r="B546" s="1" t="n">
        <v>45484</v>
      </c>
      <c r="C546" s="1" t="n">
        <v>45983</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3900-2024</t>
        </is>
      </c>
      <c r="B547" s="1" t="n">
        <v>45322</v>
      </c>
      <c r="C547" s="1" t="n">
        <v>45983</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2375-2024</t>
        </is>
      </c>
      <c r="B548" s="1" t="n">
        <v>45310</v>
      </c>
      <c r="C548" s="1" t="n">
        <v>45983</v>
      </c>
      <c r="D548" t="inlineStr">
        <is>
          <t>DALARNAS LÄN</t>
        </is>
      </c>
      <c r="E548" t="inlineStr">
        <is>
          <t>ÄLVDALEN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35161-2023</t>
        </is>
      </c>
      <c r="B549" s="1" t="n">
        <v>45145.57525462963</v>
      </c>
      <c r="C549" s="1" t="n">
        <v>45983</v>
      </c>
      <c r="D549" t="inlineStr">
        <is>
          <t>DALARNAS LÄN</t>
        </is>
      </c>
      <c r="E549" t="inlineStr">
        <is>
          <t>ÄLVDALEN</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47873-2023</t>
        </is>
      </c>
      <c r="B550" s="1" t="n">
        <v>45204</v>
      </c>
      <c r="C550" s="1" t="n">
        <v>45983</v>
      </c>
      <c r="D550" t="inlineStr">
        <is>
          <t>DALARNAS LÄN</t>
        </is>
      </c>
      <c r="E550" t="inlineStr">
        <is>
          <t>ÄLVDALEN</t>
        </is>
      </c>
      <c r="G550" t="n">
        <v>1.3</v>
      </c>
      <c r="H550" t="n">
        <v>0</v>
      </c>
      <c r="I550" t="n">
        <v>0</v>
      </c>
      <c r="J550" t="n">
        <v>0</v>
      </c>
      <c r="K550" t="n">
        <v>0</v>
      </c>
      <c r="L550" t="n">
        <v>0</v>
      </c>
      <c r="M550" t="n">
        <v>0</v>
      </c>
      <c r="N550" t="n">
        <v>0</v>
      </c>
      <c r="O550" t="n">
        <v>0</v>
      </c>
      <c r="P550" t="n">
        <v>0</v>
      </c>
      <c r="Q550" t="n">
        <v>0</v>
      </c>
      <c r="R550" s="2" t="inlineStr"/>
    </row>
    <row r="551" ht="15" customHeight="1">
      <c r="A551" t="inlineStr">
        <is>
          <t>A 31690-2024</t>
        </is>
      </c>
      <c r="B551" s="1" t="n">
        <v>45507</v>
      </c>
      <c r="C551" s="1" t="n">
        <v>45983</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23570-2023</t>
        </is>
      </c>
      <c r="B552" s="1" t="n">
        <v>45077</v>
      </c>
      <c r="C552" s="1" t="n">
        <v>45983</v>
      </c>
      <c r="D552" t="inlineStr">
        <is>
          <t>DALARNAS LÄN</t>
        </is>
      </c>
      <c r="E552" t="inlineStr">
        <is>
          <t>ÄLVDALEN</t>
        </is>
      </c>
      <c r="G552" t="n">
        <v>4.9</v>
      </c>
      <c r="H552" t="n">
        <v>0</v>
      </c>
      <c r="I552" t="n">
        <v>0</v>
      </c>
      <c r="J552" t="n">
        <v>0</v>
      </c>
      <c r="K552" t="n">
        <v>0</v>
      </c>
      <c r="L552" t="n">
        <v>0</v>
      </c>
      <c r="M552" t="n">
        <v>0</v>
      </c>
      <c r="N552" t="n">
        <v>0</v>
      </c>
      <c r="O552" t="n">
        <v>0</v>
      </c>
      <c r="P552" t="n">
        <v>0</v>
      </c>
      <c r="Q552" t="n">
        <v>0</v>
      </c>
      <c r="R552" s="2" t="inlineStr"/>
    </row>
    <row r="553" ht="15" customHeight="1">
      <c r="A553" t="inlineStr">
        <is>
          <t>A 39227-2024</t>
        </is>
      </c>
      <c r="B553" s="1" t="n">
        <v>45550.50548611111</v>
      </c>
      <c r="C553" s="1" t="n">
        <v>45983</v>
      </c>
      <c r="D553" t="inlineStr">
        <is>
          <t>DALARNAS LÄN</t>
        </is>
      </c>
      <c r="E553" t="inlineStr">
        <is>
          <t>ÄLVDALEN</t>
        </is>
      </c>
      <c r="G553" t="n">
        <v>0.2</v>
      </c>
      <c r="H553" t="n">
        <v>0</v>
      </c>
      <c r="I553" t="n">
        <v>0</v>
      </c>
      <c r="J553" t="n">
        <v>0</v>
      </c>
      <c r="K553" t="n">
        <v>0</v>
      </c>
      <c r="L553" t="n">
        <v>0</v>
      </c>
      <c r="M553" t="n">
        <v>0</v>
      </c>
      <c r="N553" t="n">
        <v>0</v>
      </c>
      <c r="O553" t="n">
        <v>0</v>
      </c>
      <c r="P553" t="n">
        <v>0</v>
      </c>
      <c r="Q553" t="n">
        <v>0</v>
      </c>
      <c r="R553" s="2" t="inlineStr"/>
    </row>
    <row r="554" ht="15" customHeight="1">
      <c r="A554" t="inlineStr">
        <is>
          <t>A 510-2024</t>
        </is>
      </c>
      <c r="B554" s="1" t="n">
        <v>45299.39997685186</v>
      </c>
      <c r="C554" s="1" t="n">
        <v>45983</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4662-2024</t>
        </is>
      </c>
      <c r="B555" s="1" t="n">
        <v>45328.465625</v>
      </c>
      <c r="C555" s="1" t="n">
        <v>45983</v>
      </c>
      <c r="D555" t="inlineStr">
        <is>
          <t>DALARNAS LÄN</t>
        </is>
      </c>
      <c r="E555" t="inlineStr">
        <is>
          <t>ÄLVDALEN</t>
        </is>
      </c>
      <c r="G555" t="n">
        <v>4.9</v>
      </c>
      <c r="H555" t="n">
        <v>0</v>
      </c>
      <c r="I555" t="n">
        <v>0</v>
      </c>
      <c r="J555" t="n">
        <v>0</v>
      </c>
      <c r="K555" t="n">
        <v>0</v>
      </c>
      <c r="L555" t="n">
        <v>0</v>
      </c>
      <c r="M555" t="n">
        <v>0</v>
      </c>
      <c r="N555" t="n">
        <v>0</v>
      </c>
      <c r="O555" t="n">
        <v>0</v>
      </c>
      <c r="P555" t="n">
        <v>0</v>
      </c>
      <c r="Q555" t="n">
        <v>0</v>
      </c>
      <c r="R555" s="2" t="inlineStr"/>
    </row>
    <row r="556" ht="15" customHeight="1">
      <c r="A556" t="inlineStr">
        <is>
          <t>A 5063-2025</t>
        </is>
      </c>
      <c r="B556" s="1" t="n">
        <v>45691.47466435185</v>
      </c>
      <c r="C556" s="1" t="n">
        <v>45983</v>
      </c>
      <c r="D556" t="inlineStr">
        <is>
          <t>DALARNAS LÄN</t>
        </is>
      </c>
      <c r="E556" t="inlineStr">
        <is>
          <t>ÄLVDALEN</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45983</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42679-2024</t>
        </is>
      </c>
      <c r="B558" s="1" t="n">
        <v>45566.37706018519</v>
      </c>
      <c r="C558" s="1" t="n">
        <v>45983</v>
      </c>
      <c r="D558" t="inlineStr">
        <is>
          <t>DALARNAS LÄN</t>
        </is>
      </c>
      <c r="E558" t="inlineStr">
        <is>
          <t>ÄLVDALEN</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19553-2025</t>
        </is>
      </c>
      <c r="B559" s="1" t="n">
        <v>45770</v>
      </c>
      <c r="C559" s="1" t="n">
        <v>45983</v>
      </c>
      <c r="D559" t="inlineStr">
        <is>
          <t>DALARNAS LÄN</t>
        </is>
      </c>
      <c r="E559" t="inlineStr">
        <is>
          <t>ÄLVDALEN</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4380-2024</t>
        </is>
      </c>
      <c r="B560" s="1" t="n">
        <v>45327</v>
      </c>
      <c r="C560" s="1" t="n">
        <v>45983</v>
      </c>
      <c r="D560" t="inlineStr">
        <is>
          <t>DALARNAS LÄN</t>
        </is>
      </c>
      <c r="E560" t="inlineStr">
        <is>
          <t>ÄLVDALEN</t>
        </is>
      </c>
      <c r="G560" t="n">
        <v>6.3</v>
      </c>
      <c r="H560" t="n">
        <v>0</v>
      </c>
      <c r="I560" t="n">
        <v>0</v>
      </c>
      <c r="J560" t="n">
        <v>0</v>
      </c>
      <c r="K560" t="n">
        <v>0</v>
      </c>
      <c r="L560" t="n">
        <v>0</v>
      </c>
      <c r="M560" t="n">
        <v>0</v>
      </c>
      <c r="N560" t="n">
        <v>0</v>
      </c>
      <c r="O560" t="n">
        <v>0</v>
      </c>
      <c r="P560" t="n">
        <v>0</v>
      </c>
      <c r="Q560" t="n">
        <v>0</v>
      </c>
      <c r="R560" s="2" t="inlineStr"/>
    </row>
    <row r="561" ht="15" customHeight="1">
      <c r="A561" t="inlineStr">
        <is>
          <t>A 41446-2024</t>
        </is>
      </c>
      <c r="B561" s="1" t="n">
        <v>45560.39483796297</v>
      </c>
      <c r="C561" s="1" t="n">
        <v>45983</v>
      </c>
      <c r="D561" t="inlineStr">
        <is>
          <t>DALARNAS LÄN</t>
        </is>
      </c>
      <c r="E561" t="inlineStr">
        <is>
          <t>ÄLVDALEN</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17346-2022</t>
        </is>
      </c>
      <c r="B562" s="1" t="n">
        <v>44678.56600694444</v>
      </c>
      <c r="C562" s="1" t="n">
        <v>45983</v>
      </c>
      <c r="D562" t="inlineStr">
        <is>
          <t>DALARNAS LÄN</t>
        </is>
      </c>
      <c r="E562" t="inlineStr">
        <is>
          <t>ÄLVDALEN</t>
        </is>
      </c>
      <c r="G562" t="n">
        <v>4.4</v>
      </c>
      <c r="H562" t="n">
        <v>0</v>
      </c>
      <c r="I562" t="n">
        <v>0</v>
      </c>
      <c r="J562" t="n">
        <v>0</v>
      </c>
      <c r="K562" t="n">
        <v>0</v>
      </c>
      <c r="L562" t="n">
        <v>0</v>
      </c>
      <c r="M562" t="n">
        <v>0</v>
      </c>
      <c r="N562" t="n">
        <v>0</v>
      </c>
      <c r="O562" t="n">
        <v>0</v>
      </c>
      <c r="P562" t="n">
        <v>0</v>
      </c>
      <c r="Q562" t="n">
        <v>0</v>
      </c>
      <c r="R562" s="2" t="inlineStr"/>
    </row>
    <row r="563" ht="15" customHeight="1">
      <c r="A563" t="inlineStr">
        <is>
          <t>A 61450-2022</t>
        </is>
      </c>
      <c r="B563" s="1" t="n">
        <v>44910</v>
      </c>
      <c r="C563" s="1" t="n">
        <v>45983</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63296-2020</t>
        </is>
      </c>
      <c r="B564" s="1" t="n">
        <v>44165</v>
      </c>
      <c r="C564" s="1" t="n">
        <v>45983</v>
      </c>
      <c r="D564" t="inlineStr">
        <is>
          <t>DALARNAS LÄN</t>
        </is>
      </c>
      <c r="E564" t="inlineStr">
        <is>
          <t>ÄLVDALEN</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32009-2021</t>
        </is>
      </c>
      <c r="B565" s="1" t="n">
        <v>44370.63354166667</v>
      </c>
      <c r="C565" s="1" t="n">
        <v>45983</v>
      </c>
      <c r="D565" t="inlineStr">
        <is>
          <t>DALARNAS LÄN</t>
        </is>
      </c>
      <c r="E565" t="inlineStr">
        <is>
          <t>ÄLVDALEN</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45983</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57821-2023</t>
        </is>
      </c>
      <c r="B567" s="1" t="n">
        <v>45247</v>
      </c>
      <c r="C567" s="1" t="n">
        <v>45983</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26734-2021</t>
        </is>
      </c>
      <c r="B568" s="1" t="n">
        <v>44349.39537037037</v>
      </c>
      <c r="C568" s="1" t="n">
        <v>45983</v>
      </c>
      <c r="D568" t="inlineStr">
        <is>
          <t>DALARNAS LÄN</t>
        </is>
      </c>
      <c r="E568" t="inlineStr">
        <is>
          <t>ÄLVDALEN</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23129-2023</t>
        </is>
      </c>
      <c r="B569" s="1" t="n">
        <v>45075</v>
      </c>
      <c r="C569" s="1" t="n">
        <v>45983</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57467-2023</t>
        </is>
      </c>
      <c r="B570" s="1" t="n">
        <v>45246.36751157408</v>
      </c>
      <c r="C570" s="1" t="n">
        <v>45983</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22847-2023</t>
        </is>
      </c>
      <c r="B571" s="1" t="n">
        <v>45072</v>
      </c>
      <c r="C571" s="1" t="n">
        <v>45983</v>
      </c>
      <c r="D571" t="inlineStr">
        <is>
          <t>DALARNAS LÄN</t>
        </is>
      </c>
      <c r="E571" t="inlineStr">
        <is>
          <t>ÄLVDALEN</t>
        </is>
      </c>
      <c r="F571" t="inlineStr">
        <is>
          <t>Bergvik skog väst AB</t>
        </is>
      </c>
      <c r="G571" t="n">
        <v>8.1</v>
      </c>
      <c r="H571" t="n">
        <v>0</v>
      </c>
      <c r="I571" t="n">
        <v>0</v>
      </c>
      <c r="J571" t="n">
        <v>0</v>
      </c>
      <c r="K571" t="n">
        <v>0</v>
      </c>
      <c r="L571" t="n">
        <v>0</v>
      </c>
      <c r="M571" t="n">
        <v>0</v>
      </c>
      <c r="N571" t="n">
        <v>0</v>
      </c>
      <c r="O571" t="n">
        <v>0</v>
      </c>
      <c r="P571" t="n">
        <v>0</v>
      </c>
      <c r="Q571" t="n">
        <v>0</v>
      </c>
      <c r="R571" s="2" t="inlineStr"/>
    </row>
    <row r="572" ht="15" customHeight="1">
      <c r="A572" t="inlineStr">
        <is>
          <t>A 42426-2023</t>
        </is>
      </c>
      <c r="B572" s="1" t="n">
        <v>45175</v>
      </c>
      <c r="C572" s="1" t="n">
        <v>45983</v>
      </c>
      <c r="D572" t="inlineStr">
        <is>
          <t>DALARNAS LÄN</t>
        </is>
      </c>
      <c r="E572" t="inlineStr">
        <is>
          <t>ÄLVDALEN</t>
        </is>
      </c>
      <c r="G572" t="n">
        <v>3.6</v>
      </c>
      <c r="H572" t="n">
        <v>0</v>
      </c>
      <c r="I572" t="n">
        <v>0</v>
      </c>
      <c r="J572" t="n">
        <v>0</v>
      </c>
      <c r="K572" t="n">
        <v>0</v>
      </c>
      <c r="L572" t="n">
        <v>0</v>
      </c>
      <c r="M572" t="n">
        <v>0</v>
      </c>
      <c r="N572" t="n">
        <v>0</v>
      </c>
      <c r="O572" t="n">
        <v>0</v>
      </c>
      <c r="P572" t="n">
        <v>0</v>
      </c>
      <c r="Q572" t="n">
        <v>0</v>
      </c>
      <c r="R572" s="2" t="inlineStr"/>
    </row>
    <row r="573" ht="15" customHeight="1">
      <c r="A573" t="inlineStr">
        <is>
          <t>A 32362-2021</t>
        </is>
      </c>
      <c r="B573" s="1" t="n">
        <v>44371</v>
      </c>
      <c r="C573" s="1" t="n">
        <v>45983</v>
      </c>
      <c r="D573" t="inlineStr">
        <is>
          <t>DALARNAS LÄN</t>
        </is>
      </c>
      <c r="E573" t="inlineStr">
        <is>
          <t>ÄLVDALEN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29710-2022</t>
        </is>
      </c>
      <c r="B574" s="1" t="n">
        <v>44755</v>
      </c>
      <c r="C574" s="1" t="n">
        <v>45983</v>
      </c>
      <c r="D574" t="inlineStr">
        <is>
          <t>DALARNAS LÄN</t>
        </is>
      </c>
      <c r="E574" t="inlineStr">
        <is>
          <t>ÄLVDALEN</t>
        </is>
      </c>
      <c r="F574" t="inlineStr">
        <is>
          <t>Sveaskog</t>
        </is>
      </c>
      <c r="G574" t="n">
        <v>9.1</v>
      </c>
      <c r="H574" t="n">
        <v>0</v>
      </c>
      <c r="I574" t="n">
        <v>0</v>
      </c>
      <c r="J574" t="n">
        <v>0</v>
      </c>
      <c r="K574" t="n">
        <v>0</v>
      </c>
      <c r="L574" t="n">
        <v>0</v>
      </c>
      <c r="M574" t="n">
        <v>0</v>
      </c>
      <c r="N574" t="n">
        <v>0</v>
      </c>
      <c r="O574" t="n">
        <v>0</v>
      </c>
      <c r="P574" t="n">
        <v>0</v>
      </c>
      <c r="Q574" t="n">
        <v>0</v>
      </c>
      <c r="R574" s="2" t="inlineStr"/>
    </row>
    <row r="575" ht="15" customHeight="1">
      <c r="A575" t="inlineStr">
        <is>
          <t>A 60642-2021</t>
        </is>
      </c>
      <c r="B575" s="1" t="n">
        <v>44496.61677083333</v>
      </c>
      <c r="C575" s="1" t="n">
        <v>45983</v>
      </c>
      <c r="D575" t="inlineStr">
        <is>
          <t>DALARNAS LÄN</t>
        </is>
      </c>
      <c r="E575" t="inlineStr">
        <is>
          <t>ÄLVDALEN</t>
        </is>
      </c>
      <c r="F575" t="inlineStr">
        <is>
          <t>Allmännings- och besparingsskogar</t>
        </is>
      </c>
      <c r="G575" t="n">
        <v>0.9</v>
      </c>
      <c r="H575" t="n">
        <v>0</v>
      </c>
      <c r="I575" t="n">
        <v>0</v>
      </c>
      <c r="J575" t="n">
        <v>0</v>
      </c>
      <c r="K575" t="n">
        <v>0</v>
      </c>
      <c r="L575" t="n">
        <v>0</v>
      </c>
      <c r="M575" t="n">
        <v>0</v>
      </c>
      <c r="N575" t="n">
        <v>0</v>
      </c>
      <c r="O575" t="n">
        <v>0</v>
      </c>
      <c r="P575" t="n">
        <v>0</v>
      </c>
      <c r="Q575" t="n">
        <v>0</v>
      </c>
      <c r="R575" s="2" t="inlineStr"/>
    </row>
    <row r="576" ht="15" customHeight="1">
      <c r="A576" t="inlineStr">
        <is>
          <t>A 44386-2021</t>
        </is>
      </c>
      <c r="B576" s="1" t="n">
        <v>44435</v>
      </c>
      <c r="C576" s="1" t="n">
        <v>45983</v>
      </c>
      <c r="D576" t="inlineStr">
        <is>
          <t>DALARNAS LÄN</t>
        </is>
      </c>
      <c r="E576" t="inlineStr">
        <is>
          <t>ÄLVDALEN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49906-2024</t>
        </is>
      </c>
      <c r="B577" s="1" t="n">
        <v>45597.55230324074</v>
      </c>
      <c r="C577" s="1" t="n">
        <v>45983</v>
      </c>
      <c r="D577" t="inlineStr">
        <is>
          <t>DALARNAS LÄN</t>
        </is>
      </c>
      <c r="E577" t="inlineStr">
        <is>
          <t>ÄLVDALEN</t>
        </is>
      </c>
      <c r="G577" t="n">
        <v>4.2</v>
      </c>
      <c r="H577" t="n">
        <v>0</v>
      </c>
      <c r="I577" t="n">
        <v>0</v>
      </c>
      <c r="J577" t="n">
        <v>0</v>
      </c>
      <c r="K577" t="n">
        <v>0</v>
      </c>
      <c r="L577" t="n">
        <v>0</v>
      </c>
      <c r="M577" t="n">
        <v>0</v>
      </c>
      <c r="N577" t="n">
        <v>0</v>
      </c>
      <c r="O577" t="n">
        <v>0</v>
      </c>
      <c r="P577" t="n">
        <v>0</v>
      </c>
      <c r="Q577" t="n">
        <v>0</v>
      </c>
      <c r="R577" s="2" t="inlineStr"/>
    </row>
    <row r="578" ht="15" customHeight="1">
      <c r="A578" t="inlineStr">
        <is>
          <t>A 8784-2024</t>
        </is>
      </c>
      <c r="B578" s="1" t="n">
        <v>45356.58180555556</v>
      </c>
      <c r="C578" s="1" t="n">
        <v>45983</v>
      </c>
      <c r="D578" t="inlineStr">
        <is>
          <t>DALARNAS LÄN</t>
        </is>
      </c>
      <c r="E578" t="inlineStr">
        <is>
          <t>ÄLVDALEN</t>
        </is>
      </c>
      <c r="G578" t="n">
        <v>1.6</v>
      </c>
      <c r="H578" t="n">
        <v>0</v>
      </c>
      <c r="I578" t="n">
        <v>0</v>
      </c>
      <c r="J578" t="n">
        <v>0</v>
      </c>
      <c r="K578" t="n">
        <v>0</v>
      </c>
      <c r="L578" t="n">
        <v>0</v>
      </c>
      <c r="M578" t="n">
        <v>0</v>
      </c>
      <c r="N578" t="n">
        <v>0</v>
      </c>
      <c r="O578" t="n">
        <v>0</v>
      </c>
      <c r="P578" t="n">
        <v>0</v>
      </c>
      <c r="Q578" t="n">
        <v>0</v>
      </c>
      <c r="R578" s="2" t="inlineStr"/>
    </row>
    <row r="579" ht="15" customHeight="1">
      <c r="A579" t="inlineStr">
        <is>
          <t>A 8146-2025</t>
        </is>
      </c>
      <c r="B579" s="1" t="n">
        <v>45708.30415509259</v>
      </c>
      <c r="C579" s="1" t="n">
        <v>45983</v>
      </c>
      <c r="D579" t="inlineStr">
        <is>
          <t>DALARNAS LÄN</t>
        </is>
      </c>
      <c r="E579" t="inlineStr">
        <is>
          <t>ÄLVDALEN</t>
        </is>
      </c>
      <c r="F579" t="inlineStr">
        <is>
          <t>Allmännings- och besparingsskogar</t>
        </is>
      </c>
      <c r="G579" t="n">
        <v>1</v>
      </c>
      <c r="H579" t="n">
        <v>0</v>
      </c>
      <c r="I579" t="n">
        <v>0</v>
      </c>
      <c r="J579" t="n">
        <v>0</v>
      </c>
      <c r="K579" t="n">
        <v>0</v>
      </c>
      <c r="L579" t="n">
        <v>0</v>
      </c>
      <c r="M579" t="n">
        <v>0</v>
      </c>
      <c r="N579" t="n">
        <v>0</v>
      </c>
      <c r="O579" t="n">
        <v>0</v>
      </c>
      <c r="P579" t="n">
        <v>0</v>
      </c>
      <c r="Q579" t="n">
        <v>0</v>
      </c>
      <c r="R579" s="2" t="inlineStr"/>
    </row>
    <row r="580" ht="15" customHeight="1">
      <c r="A580" t="inlineStr">
        <is>
          <t>A 31857-2023</t>
        </is>
      </c>
      <c r="B580" s="1" t="n">
        <v>45106</v>
      </c>
      <c r="C580" s="1" t="n">
        <v>45983</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49236-2023</t>
        </is>
      </c>
      <c r="B581" s="1" t="n">
        <v>45210.63995370371</v>
      </c>
      <c r="C581" s="1" t="n">
        <v>45983</v>
      </c>
      <c r="D581" t="inlineStr">
        <is>
          <t>DALARNAS LÄN</t>
        </is>
      </c>
      <c r="E581" t="inlineStr">
        <is>
          <t>ÄLVDALEN</t>
        </is>
      </c>
      <c r="F581" t="inlineStr">
        <is>
          <t>Bergvik skog väst AB</t>
        </is>
      </c>
      <c r="G581" t="n">
        <v>4.4</v>
      </c>
      <c r="H581" t="n">
        <v>0</v>
      </c>
      <c r="I581" t="n">
        <v>0</v>
      </c>
      <c r="J581" t="n">
        <v>0</v>
      </c>
      <c r="K581" t="n">
        <v>0</v>
      </c>
      <c r="L581" t="n">
        <v>0</v>
      </c>
      <c r="M581" t="n">
        <v>0</v>
      </c>
      <c r="N581" t="n">
        <v>0</v>
      </c>
      <c r="O581" t="n">
        <v>0</v>
      </c>
      <c r="P581" t="n">
        <v>0</v>
      </c>
      <c r="Q581" t="n">
        <v>0</v>
      </c>
      <c r="R581" s="2" t="inlineStr"/>
    </row>
    <row r="582" ht="15" customHeight="1">
      <c r="A582" t="inlineStr">
        <is>
          <t>A 48552-2024</t>
        </is>
      </c>
      <c r="B582" s="1" t="n">
        <v>45593.37266203704</v>
      </c>
      <c r="C582" s="1" t="n">
        <v>45983</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431-2023</t>
        </is>
      </c>
      <c r="B583" s="1" t="n">
        <v>44923</v>
      </c>
      <c r="C583" s="1" t="n">
        <v>45983</v>
      </c>
      <c r="D583" t="inlineStr">
        <is>
          <t>DALARNAS LÄN</t>
        </is>
      </c>
      <c r="E583" t="inlineStr">
        <is>
          <t>ÄLVDALEN</t>
        </is>
      </c>
      <c r="G583" t="n">
        <v>2.9</v>
      </c>
      <c r="H583" t="n">
        <v>0</v>
      </c>
      <c r="I583" t="n">
        <v>0</v>
      </c>
      <c r="J583" t="n">
        <v>0</v>
      </c>
      <c r="K583" t="n">
        <v>0</v>
      </c>
      <c r="L583" t="n">
        <v>0</v>
      </c>
      <c r="M583" t="n">
        <v>0</v>
      </c>
      <c r="N583" t="n">
        <v>0</v>
      </c>
      <c r="O583" t="n">
        <v>0</v>
      </c>
      <c r="P583" t="n">
        <v>0</v>
      </c>
      <c r="Q583" t="n">
        <v>0</v>
      </c>
      <c r="R583" s="2" t="inlineStr"/>
    </row>
    <row r="584" ht="15" customHeight="1">
      <c r="A584" t="inlineStr">
        <is>
          <t>A 55589-2022</t>
        </is>
      </c>
      <c r="B584" s="1" t="n">
        <v>44888.40673611111</v>
      </c>
      <c r="C584" s="1" t="n">
        <v>45983</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29819-2024</t>
        </is>
      </c>
      <c r="B585" s="1" t="n">
        <v>45485.55760416666</v>
      </c>
      <c r="C585" s="1" t="n">
        <v>45983</v>
      </c>
      <c r="D585" t="inlineStr">
        <is>
          <t>DALARNAS LÄN</t>
        </is>
      </c>
      <c r="E585" t="inlineStr">
        <is>
          <t>ÄLVDALEN</t>
        </is>
      </c>
      <c r="G585" t="n">
        <v>1.4</v>
      </c>
      <c r="H585" t="n">
        <v>0</v>
      </c>
      <c r="I585" t="n">
        <v>0</v>
      </c>
      <c r="J585" t="n">
        <v>0</v>
      </c>
      <c r="K585" t="n">
        <v>0</v>
      </c>
      <c r="L585" t="n">
        <v>0</v>
      </c>
      <c r="M585" t="n">
        <v>0</v>
      </c>
      <c r="N585" t="n">
        <v>0</v>
      </c>
      <c r="O585" t="n">
        <v>0</v>
      </c>
      <c r="P585" t="n">
        <v>0</v>
      </c>
      <c r="Q585" t="n">
        <v>0</v>
      </c>
      <c r="R585" s="2" t="inlineStr"/>
    </row>
    <row r="586" ht="15" customHeight="1">
      <c r="A586" t="inlineStr">
        <is>
          <t>A 52107-2022</t>
        </is>
      </c>
      <c r="B586" s="1" t="n">
        <v>44873.41295138889</v>
      </c>
      <c r="C586" s="1" t="n">
        <v>45983</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59547-2023</t>
        </is>
      </c>
      <c r="B587" s="1" t="n">
        <v>45254.55645833333</v>
      </c>
      <c r="C587" s="1" t="n">
        <v>45983</v>
      </c>
      <c r="D587" t="inlineStr">
        <is>
          <t>DALARNAS LÄN</t>
        </is>
      </c>
      <c r="E587" t="inlineStr">
        <is>
          <t>ÄLVDALEN</t>
        </is>
      </c>
      <c r="G587" t="n">
        <v>2.5</v>
      </c>
      <c r="H587" t="n">
        <v>0</v>
      </c>
      <c r="I587" t="n">
        <v>0</v>
      </c>
      <c r="J587" t="n">
        <v>0</v>
      </c>
      <c r="K587" t="n">
        <v>0</v>
      </c>
      <c r="L587" t="n">
        <v>0</v>
      </c>
      <c r="M587" t="n">
        <v>0</v>
      </c>
      <c r="N587" t="n">
        <v>0</v>
      </c>
      <c r="O587" t="n">
        <v>0</v>
      </c>
      <c r="P587" t="n">
        <v>0</v>
      </c>
      <c r="Q587" t="n">
        <v>0</v>
      </c>
      <c r="R587" s="2" t="inlineStr"/>
    </row>
    <row r="588" ht="15" customHeight="1">
      <c r="A588" t="inlineStr">
        <is>
          <t>A 59692-2024</t>
        </is>
      </c>
      <c r="B588" s="1" t="n">
        <v>45639.40686342592</v>
      </c>
      <c r="C588" s="1" t="n">
        <v>45983</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28467-2024</t>
        </is>
      </c>
      <c r="B589" s="1" t="n">
        <v>45477.71173611111</v>
      </c>
      <c r="C589" s="1" t="n">
        <v>45983</v>
      </c>
      <c r="D589" t="inlineStr">
        <is>
          <t>DALARNAS LÄN</t>
        </is>
      </c>
      <c r="E589" t="inlineStr">
        <is>
          <t>ÄLVDALEN</t>
        </is>
      </c>
      <c r="G589" t="n">
        <v>4</v>
      </c>
      <c r="H589" t="n">
        <v>0</v>
      </c>
      <c r="I589" t="n">
        <v>0</v>
      </c>
      <c r="J589" t="n">
        <v>0</v>
      </c>
      <c r="K589" t="n">
        <v>0</v>
      </c>
      <c r="L589" t="n">
        <v>0</v>
      </c>
      <c r="M589" t="n">
        <v>0</v>
      </c>
      <c r="N589" t="n">
        <v>0</v>
      </c>
      <c r="O589" t="n">
        <v>0</v>
      </c>
      <c r="P589" t="n">
        <v>0</v>
      </c>
      <c r="Q589" t="n">
        <v>0</v>
      </c>
      <c r="R589" s="2" t="inlineStr"/>
    </row>
    <row r="590" ht="15" customHeight="1">
      <c r="A590" t="inlineStr">
        <is>
          <t>A 46927-2024</t>
        </is>
      </c>
      <c r="B590" s="1" t="n">
        <v>45584.69063657407</v>
      </c>
      <c r="C590" s="1" t="n">
        <v>45983</v>
      </c>
      <c r="D590" t="inlineStr">
        <is>
          <t>DALARNAS LÄN</t>
        </is>
      </c>
      <c r="E590" t="inlineStr">
        <is>
          <t>ÄLVDALEN</t>
        </is>
      </c>
      <c r="G590" t="n">
        <v>1.5</v>
      </c>
      <c r="H590" t="n">
        <v>0</v>
      </c>
      <c r="I590" t="n">
        <v>0</v>
      </c>
      <c r="J590" t="n">
        <v>0</v>
      </c>
      <c r="K590" t="n">
        <v>0</v>
      </c>
      <c r="L590" t="n">
        <v>0</v>
      </c>
      <c r="M590" t="n">
        <v>0</v>
      </c>
      <c r="N590" t="n">
        <v>0</v>
      </c>
      <c r="O590" t="n">
        <v>0</v>
      </c>
      <c r="P590" t="n">
        <v>0</v>
      </c>
      <c r="Q590" t="n">
        <v>0</v>
      </c>
      <c r="R590" s="2" t="inlineStr"/>
    </row>
    <row r="591" ht="15" customHeight="1">
      <c r="A591" t="inlineStr">
        <is>
          <t>A 58848-2022</t>
        </is>
      </c>
      <c r="B591" s="1" t="n">
        <v>44896</v>
      </c>
      <c r="C591" s="1" t="n">
        <v>45983</v>
      </c>
      <c r="D591" t="inlineStr">
        <is>
          <t>DALARNAS LÄN</t>
        </is>
      </c>
      <c r="E591" t="inlineStr">
        <is>
          <t>ÄLVDALEN</t>
        </is>
      </c>
      <c r="F591" t="inlineStr">
        <is>
          <t>Övriga statliga verk och myndigheter</t>
        </is>
      </c>
      <c r="G591" t="n">
        <v>18.1</v>
      </c>
      <c r="H591" t="n">
        <v>0</v>
      </c>
      <c r="I591" t="n">
        <v>0</v>
      </c>
      <c r="J591" t="n">
        <v>0</v>
      </c>
      <c r="K591" t="n">
        <v>0</v>
      </c>
      <c r="L591" t="n">
        <v>0</v>
      </c>
      <c r="M591" t="n">
        <v>0</v>
      </c>
      <c r="N591" t="n">
        <v>0</v>
      </c>
      <c r="O591" t="n">
        <v>0</v>
      </c>
      <c r="P591" t="n">
        <v>0</v>
      </c>
      <c r="Q591" t="n">
        <v>0</v>
      </c>
      <c r="R591" s="2" t="inlineStr"/>
    </row>
    <row r="592" ht="15" customHeight="1">
      <c r="A592" t="inlineStr">
        <is>
          <t>A 46926-2024</t>
        </is>
      </c>
      <c r="B592" s="1" t="n">
        <v>45584.68275462963</v>
      </c>
      <c r="C592" s="1" t="n">
        <v>45983</v>
      </c>
      <c r="D592" t="inlineStr">
        <is>
          <t>DALARNAS LÄN</t>
        </is>
      </c>
      <c r="E592" t="inlineStr">
        <is>
          <t>ÄLVDALEN</t>
        </is>
      </c>
      <c r="G592" t="n">
        <v>4.4</v>
      </c>
      <c r="H592" t="n">
        <v>0</v>
      </c>
      <c r="I592" t="n">
        <v>0</v>
      </c>
      <c r="J592" t="n">
        <v>0</v>
      </c>
      <c r="K592" t="n">
        <v>0</v>
      </c>
      <c r="L592" t="n">
        <v>0</v>
      </c>
      <c r="M592" t="n">
        <v>0</v>
      </c>
      <c r="N592" t="n">
        <v>0</v>
      </c>
      <c r="O592" t="n">
        <v>0</v>
      </c>
      <c r="P592" t="n">
        <v>0</v>
      </c>
      <c r="Q592" t="n">
        <v>0</v>
      </c>
      <c r="R592" s="2" t="inlineStr"/>
    </row>
    <row r="593" ht="15" customHeight="1">
      <c r="A593" t="inlineStr">
        <is>
          <t>A 14089-2022</t>
        </is>
      </c>
      <c r="B593" s="1" t="n">
        <v>44651</v>
      </c>
      <c r="C593" s="1" t="n">
        <v>45983</v>
      </c>
      <c r="D593" t="inlineStr">
        <is>
          <t>DALARNAS LÄN</t>
        </is>
      </c>
      <c r="E593" t="inlineStr">
        <is>
          <t>ÄLVDALEN</t>
        </is>
      </c>
      <c r="F593" t="inlineStr">
        <is>
          <t>Kommuner</t>
        </is>
      </c>
      <c r="G593" t="n">
        <v>2.1</v>
      </c>
      <c r="H593" t="n">
        <v>0</v>
      </c>
      <c r="I593" t="n">
        <v>0</v>
      </c>
      <c r="J593" t="n">
        <v>0</v>
      </c>
      <c r="K593" t="n">
        <v>0</v>
      </c>
      <c r="L593" t="n">
        <v>0</v>
      </c>
      <c r="M593" t="n">
        <v>0</v>
      </c>
      <c r="N593" t="n">
        <v>0</v>
      </c>
      <c r="O593" t="n">
        <v>0</v>
      </c>
      <c r="P593" t="n">
        <v>0</v>
      </c>
      <c r="Q593" t="n">
        <v>0</v>
      </c>
      <c r="R593" s="2" t="inlineStr"/>
    </row>
    <row r="594" ht="15" customHeight="1">
      <c r="A594" t="inlineStr">
        <is>
          <t>A 57560-2024</t>
        </is>
      </c>
      <c r="B594" s="1" t="n">
        <v>45630.4566550926</v>
      </c>
      <c r="C594" s="1" t="n">
        <v>45983</v>
      </c>
      <c r="D594" t="inlineStr">
        <is>
          <t>DALARNAS LÄN</t>
        </is>
      </c>
      <c r="E594" t="inlineStr">
        <is>
          <t>ÄLVDALEN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63329-2023</t>
        </is>
      </c>
      <c r="B595" s="1" t="n">
        <v>45274.38255787037</v>
      </c>
      <c r="C595" s="1" t="n">
        <v>45983</v>
      </c>
      <c r="D595" t="inlineStr">
        <is>
          <t>DALARNAS LÄN</t>
        </is>
      </c>
      <c r="E595" t="inlineStr">
        <is>
          <t>ÄLVDALEN</t>
        </is>
      </c>
      <c r="G595" t="n">
        <v>0.6</v>
      </c>
      <c r="H595" t="n">
        <v>0</v>
      </c>
      <c r="I595" t="n">
        <v>0</v>
      </c>
      <c r="J595" t="n">
        <v>0</v>
      </c>
      <c r="K595" t="n">
        <v>0</v>
      </c>
      <c r="L595" t="n">
        <v>0</v>
      </c>
      <c r="M595" t="n">
        <v>0</v>
      </c>
      <c r="N595" t="n">
        <v>0</v>
      </c>
      <c r="O595" t="n">
        <v>0</v>
      </c>
      <c r="P595" t="n">
        <v>0</v>
      </c>
      <c r="Q595" t="n">
        <v>0</v>
      </c>
      <c r="R595" s="2" t="inlineStr"/>
    </row>
    <row r="596" ht="15" customHeight="1">
      <c r="A596" t="inlineStr">
        <is>
          <t>A 20584-2025</t>
        </is>
      </c>
      <c r="B596" s="1" t="n">
        <v>45775.695</v>
      </c>
      <c r="C596" s="1" t="n">
        <v>45983</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3903-2024</t>
        </is>
      </c>
      <c r="B597" s="1" t="n">
        <v>45322</v>
      </c>
      <c r="C597" s="1" t="n">
        <v>45983</v>
      </c>
      <c r="D597" t="inlineStr">
        <is>
          <t>DALARNAS LÄN</t>
        </is>
      </c>
      <c r="E597" t="inlineStr">
        <is>
          <t>ÄLVDALEN</t>
        </is>
      </c>
      <c r="G597" t="n">
        <v>0.7</v>
      </c>
      <c r="H597" t="n">
        <v>0</v>
      </c>
      <c r="I597" t="n">
        <v>0</v>
      </c>
      <c r="J597" t="n">
        <v>0</v>
      </c>
      <c r="K597" t="n">
        <v>0</v>
      </c>
      <c r="L597" t="n">
        <v>0</v>
      </c>
      <c r="M597" t="n">
        <v>0</v>
      </c>
      <c r="N597" t="n">
        <v>0</v>
      </c>
      <c r="O597" t="n">
        <v>0</v>
      </c>
      <c r="P597" t="n">
        <v>0</v>
      </c>
      <c r="Q597" t="n">
        <v>0</v>
      </c>
      <c r="R597" s="2" t="inlineStr"/>
    </row>
    <row r="598" ht="15" customHeight="1">
      <c r="A598" t="inlineStr">
        <is>
          <t>A 3914-2024</t>
        </is>
      </c>
      <c r="B598" s="1" t="n">
        <v>45322</v>
      </c>
      <c r="C598" s="1" t="n">
        <v>45983</v>
      </c>
      <c r="D598" t="inlineStr">
        <is>
          <t>DALARNAS LÄN</t>
        </is>
      </c>
      <c r="E598" t="inlineStr">
        <is>
          <t>ÄLVDALEN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39010-2024</t>
        </is>
      </c>
      <c r="B599" s="1" t="n">
        <v>45548</v>
      </c>
      <c r="C599" s="1" t="n">
        <v>45983</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6791-2025</t>
        </is>
      </c>
      <c r="B600" s="1" t="n">
        <v>45700.66315972222</v>
      </c>
      <c r="C600" s="1" t="n">
        <v>45983</v>
      </c>
      <c r="D600" t="inlineStr">
        <is>
          <t>DALARNAS LÄN</t>
        </is>
      </c>
      <c r="E600" t="inlineStr">
        <is>
          <t>ÄLVDALEN</t>
        </is>
      </c>
      <c r="G600" t="n">
        <v>30.2</v>
      </c>
      <c r="H600" t="n">
        <v>0</v>
      </c>
      <c r="I600" t="n">
        <v>0</v>
      </c>
      <c r="J600" t="n">
        <v>0</v>
      </c>
      <c r="K600" t="n">
        <v>0</v>
      </c>
      <c r="L600" t="n">
        <v>0</v>
      </c>
      <c r="M600" t="n">
        <v>0</v>
      </c>
      <c r="N600" t="n">
        <v>0</v>
      </c>
      <c r="O600" t="n">
        <v>0</v>
      </c>
      <c r="P600" t="n">
        <v>0</v>
      </c>
      <c r="Q600" t="n">
        <v>0</v>
      </c>
      <c r="R600" s="2" t="inlineStr"/>
    </row>
    <row r="601" ht="15" customHeight="1">
      <c r="A601" t="inlineStr">
        <is>
          <t>A 1804-2024</t>
        </is>
      </c>
      <c r="B601" s="1" t="n">
        <v>45307.59216435185</v>
      </c>
      <c r="C601" s="1" t="n">
        <v>45983</v>
      </c>
      <c r="D601" t="inlineStr">
        <is>
          <t>DALARNAS LÄN</t>
        </is>
      </c>
      <c r="E601" t="inlineStr">
        <is>
          <t>ÄLVDALEN</t>
        </is>
      </c>
      <c r="G601" t="n">
        <v>1.9</v>
      </c>
      <c r="H601" t="n">
        <v>0</v>
      </c>
      <c r="I601" t="n">
        <v>0</v>
      </c>
      <c r="J601" t="n">
        <v>0</v>
      </c>
      <c r="K601" t="n">
        <v>0</v>
      </c>
      <c r="L601" t="n">
        <v>0</v>
      </c>
      <c r="M601" t="n">
        <v>0</v>
      </c>
      <c r="N601" t="n">
        <v>0</v>
      </c>
      <c r="O601" t="n">
        <v>0</v>
      </c>
      <c r="P601" t="n">
        <v>0</v>
      </c>
      <c r="Q601" t="n">
        <v>0</v>
      </c>
      <c r="R601" s="2" t="inlineStr"/>
    </row>
    <row r="602" ht="15" customHeight="1">
      <c r="A602" t="inlineStr">
        <is>
          <t>A 57817-2023</t>
        </is>
      </c>
      <c r="B602" s="1" t="n">
        <v>45247</v>
      </c>
      <c r="C602" s="1" t="n">
        <v>45983</v>
      </c>
      <c r="D602" t="inlineStr">
        <is>
          <t>DALARNAS LÄN</t>
        </is>
      </c>
      <c r="E602" t="inlineStr">
        <is>
          <t>ÄLVDALEN</t>
        </is>
      </c>
      <c r="G602" t="n">
        <v>6.4</v>
      </c>
      <c r="H602" t="n">
        <v>0</v>
      </c>
      <c r="I602" t="n">
        <v>0</v>
      </c>
      <c r="J602" t="n">
        <v>0</v>
      </c>
      <c r="K602" t="n">
        <v>0</v>
      </c>
      <c r="L602" t="n">
        <v>0</v>
      </c>
      <c r="M602" t="n">
        <v>0</v>
      </c>
      <c r="N602" t="n">
        <v>0</v>
      </c>
      <c r="O602" t="n">
        <v>0</v>
      </c>
      <c r="P602" t="n">
        <v>0</v>
      </c>
      <c r="Q602" t="n">
        <v>0</v>
      </c>
      <c r="R602" s="2" t="inlineStr"/>
    </row>
    <row r="603" ht="15" customHeight="1">
      <c r="A603" t="inlineStr">
        <is>
          <t>A 28884-2023</t>
        </is>
      </c>
      <c r="B603" s="1" t="n">
        <v>45104.48320601852</v>
      </c>
      <c r="C603" s="1" t="n">
        <v>45983</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32838-2023</t>
        </is>
      </c>
      <c r="B604" s="1" t="n">
        <v>45124</v>
      </c>
      <c r="C604" s="1" t="n">
        <v>45983</v>
      </c>
      <c r="D604" t="inlineStr">
        <is>
          <t>DALARNAS LÄN</t>
        </is>
      </c>
      <c r="E604" t="inlineStr">
        <is>
          <t>ÄLVDALEN</t>
        </is>
      </c>
      <c r="G604" t="n">
        <v>3.7</v>
      </c>
      <c r="H604" t="n">
        <v>0</v>
      </c>
      <c r="I604" t="n">
        <v>0</v>
      </c>
      <c r="J604" t="n">
        <v>0</v>
      </c>
      <c r="K604" t="n">
        <v>0</v>
      </c>
      <c r="L604" t="n">
        <v>0</v>
      </c>
      <c r="M604" t="n">
        <v>0</v>
      </c>
      <c r="N604" t="n">
        <v>0</v>
      </c>
      <c r="O604" t="n">
        <v>0</v>
      </c>
      <c r="P604" t="n">
        <v>0</v>
      </c>
      <c r="Q604" t="n">
        <v>0</v>
      </c>
      <c r="R604" s="2" t="inlineStr"/>
    </row>
    <row r="605" ht="15" customHeight="1">
      <c r="A605" t="inlineStr">
        <is>
          <t>A 505-2024</t>
        </is>
      </c>
      <c r="B605" s="1" t="n">
        <v>45299</v>
      </c>
      <c r="C605" s="1" t="n">
        <v>45983</v>
      </c>
      <c r="D605" t="inlineStr">
        <is>
          <t>DALARNAS LÄN</t>
        </is>
      </c>
      <c r="E605" t="inlineStr">
        <is>
          <t>ÄLVDALEN</t>
        </is>
      </c>
      <c r="G605" t="n">
        <v>1.4</v>
      </c>
      <c r="H605" t="n">
        <v>0</v>
      </c>
      <c r="I605" t="n">
        <v>0</v>
      </c>
      <c r="J605" t="n">
        <v>0</v>
      </c>
      <c r="K605" t="n">
        <v>0</v>
      </c>
      <c r="L605" t="n">
        <v>0</v>
      </c>
      <c r="M605" t="n">
        <v>0</v>
      </c>
      <c r="N605" t="n">
        <v>0</v>
      </c>
      <c r="O605" t="n">
        <v>0</v>
      </c>
      <c r="P605" t="n">
        <v>0</v>
      </c>
      <c r="Q605" t="n">
        <v>0</v>
      </c>
      <c r="R605" s="2" t="inlineStr"/>
    </row>
    <row r="606" ht="15" customHeight="1">
      <c r="A606" t="inlineStr">
        <is>
          <t>A 48954-2023</t>
        </is>
      </c>
      <c r="B606" s="1" t="n">
        <v>45209.58488425926</v>
      </c>
      <c r="C606" s="1" t="n">
        <v>45983</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36285-2024</t>
        </is>
      </c>
      <c r="B607" s="1" t="n">
        <v>45534.59008101852</v>
      </c>
      <c r="C607" s="1" t="n">
        <v>45983</v>
      </c>
      <c r="D607" t="inlineStr">
        <is>
          <t>DALARNAS LÄN</t>
        </is>
      </c>
      <c r="E607" t="inlineStr">
        <is>
          <t>ÄLVDALEN</t>
        </is>
      </c>
      <c r="G607" t="n">
        <v>4.9</v>
      </c>
      <c r="H607" t="n">
        <v>0</v>
      </c>
      <c r="I607" t="n">
        <v>0</v>
      </c>
      <c r="J607" t="n">
        <v>0</v>
      </c>
      <c r="K607" t="n">
        <v>0</v>
      </c>
      <c r="L607" t="n">
        <v>0</v>
      </c>
      <c r="M607" t="n">
        <v>0</v>
      </c>
      <c r="N607" t="n">
        <v>0</v>
      </c>
      <c r="O607" t="n">
        <v>0</v>
      </c>
      <c r="P607" t="n">
        <v>0</v>
      </c>
      <c r="Q607" t="n">
        <v>0</v>
      </c>
      <c r="R607" s="2" t="inlineStr"/>
    </row>
    <row r="608" ht="15" customHeight="1">
      <c r="A608" t="inlineStr">
        <is>
          <t>A 37439-2024</t>
        </is>
      </c>
      <c r="B608" s="1" t="n">
        <v>45540</v>
      </c>
      <c r="C608" s="1" t="n">
        <v>45983</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45983</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9045-2025</t>
        </is>
      </c>
      <c r="B610" s="1" t="n">
        <v>45713.62837962963</v>
      </c>
      <c r="C610" s="1" t="n">
        <v>45983</v>
      </c>
      <c r="D610" t="inlineStr">
        <is>
          <t>DALARNAS LÄN</t>
        </is>
      </c>
      <c r="E610" t="inlineStr">
        <is>
          <t>ÄLVDALEN</t>
        </is>
      </c>
      <c r="F610" t="inlineStr">
        <is>
          <t>Allmännings- och besparingsskogar</t>
        </is>
      </c>
      <c r="G610" t="n">
        <v>39.1</v>
      </c>
      <c r="H610" t="n">
        <v>0</v>
      </c>
      <c r="I610" t="n">
        <v>0</v>
      </c>
      <c r="J610" t="n">
        <v>0</v>
      </c>
      <c r="K610" t="n">
        <v>0</v>
      </c>
      <c r="L610" t="n">
        <v>0</v>
      </c>
      <c r="M610" t="n">
        <v>0</v>
      </c>
      <c r="N610" t="n">
        <v>0</v>
      </c>
      <c r="O610" t="n">
        <v>0</v>
      </c>
      <c r="P610" t="n">
        <v>0</v>
      </c>
      <c r="Q610" t="n">
        <v>0</v>
      </c>
      <c r="R610" s="2" t="inlineStr"/>
    </row>
    <row r="611" ht="15" customHeight="1">
      <c r="A611" t="inlineStr">
        <is>
          <t>A 12318-2025</t>
        </is>
      </c>
      <c r="B611" s="1" t="n">
        <v>45729.87777777778</v>
      </c>
      <c r="C611" s="1" t="n">
        <v>45983</v>
      </c>
      <c r="D611" t="inlineStr">
        <is>
          <t>DALARNAS LÄN</t>
        </is>
      </c>
      <c r="E611" t="inlineStr">
        <is>
          <t>ÄLVDALEN</t>
        </is>
      </c>
      <c r="G611" t="n">
        <v>3.3</v>
      </c>
      <c r="H611" t="n">
        <v>0</v>
      </c>
      <c r="I611" t="n">
        <v>0</v>
      </c>
      <c r="J611" t="n">
        <v>0</v>
      </c>
      <c r="K611" t="n">
        <v>0</v>
      </c>
      <c r="L611" t="n">
        <v>0</v>
      </c>
      <c r="M611" t="n">
        <v>0</v>
      </c>
      <c r="N611" t="n">
        <v>0</v>
      </c>
      <c r="O611" t="n">
        <v>0</v>
      </c>
      <c r="P611" t="n">
        <v>0</v>
      </c>
      <c r="Q611" t="n">
        <v>0</v>
      </c>
      <c r="R611" s="2" t="inlineStr"/>
    </row>
    <row r="612" ht="15" customHeight="1">
      <c r="A612" t="inlineStr">
        <is>
          <t>A 59138-2023</t>
        </is>
      </c>
      <c r="B612" s="1" t="n">
        <v>45253</v>
      </c>
      <c r="C612" s="1" t="n">
        <v>45983</v>
      </c>
      <c r="D612" t="inlineStr">
        <is>
          <t>DALARNAS LÄN</t>
        </is>
      </c>
      <c r="E612" t="inlineStr">
        <is>
          <t>ÄLVDALEN</t>
        </is>
      </c>
      <c r="G612" t="n">
        <v>0.4</v>
      </c>
      <c r="H612" t="n">
        <v>0</v>
      </c>
      <c r="I612" t="n">
        <v>0</v>
      </c>
      <c r="J612" t="n">
        <v>0</v>
      </c>
      <c r="K612" t="n">
        <v>0</v>
      </c>
      <c r="L612" t="n">
        <v>0</v>
      </c>
      <c r="M612" t="n">
        <v>0</v>
      </c>
      <c r="N612" t="n">
        <v>0</v>
      </c>
      <c r="O612" t="n">
        <v>0</v>
      </c>
      <c r="P612" t="n">
        <v>0</v>
      </c>
      <c r="Q612" t="n">
        <v>0</v>
      </c>
      <c r="R612" s="2" t="inlineStr"/>
    </row>
    <row r="613" ht="15" customHeight="1">
      <c r="A613" t="inlineStr">
        <is>
          <t>A 32622-2023</t>
        </is>
      </c>
      <c r="B613" s="1" t="n">
        <v>45121</v>
      </c>
      <c r="C613" s="1" t="n">
        <v>45983</v>
      </c>
      <c r="D613" t="inlineStr">
        <is>
          <t>DALARNAS LÄN</t>
        </is>
      </c>
      <c r="E613" t="inlineStr">
        <is>
          <t>ÄLVDALEN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57470-2023</t>
        </is>
      </c>
      <c r="B614" s="1" t="n">
        <v>45246</v>
      </c>
      <c r="C614" s="1" t="n">
        <v>45983</v>
      </c>
      <c r="D614" t="inlineStr">
        <is>
          <t>DALARNAS LÄN</t>
        </is>
      </c>
      <c r="E614" t="inlineStr">
        <is>
          <t>ÄLVDALEN</t>
        </is>
      </c>
      <c r="G614" t="n">
        <v>0.4</v>
      </c>
      <c r="H614" t="n">
        <v>0</v>
      </c>
      <c r="I614" t="n">
        <v>0</v>
      </c>
      <c r="J614" t="n">
        <v>0</v>
      </c>
      <c r="K614" t="n">
        <v>0</v>
      </c>
      <c r="L614" t="n">
        <v>0</v>
      </c>
      <c r="M614" t="n">
        <v>0</v>
      </c>
      <c r="N614" t="n">
        <v>0</v>
      </c>
      <c r="O614" t="n">
        <v>0</v>
      </c>
      <c r="P614" t="n">
        <v>0</v>
      </c>
      <c r="Q614" t="n">
        <v>0</v>
      </c>
      <c r="R614" s="2" t="inlineStr"/>
    </row>
    <row r="615" ht="15" customHeight="1">
      <c r="A615" t="inlineStr">
        <is>
          <t>A 1081-2025</t>
        </is>
      </c>
      <c r="B615" s="1" t="n">
        <v>45666.61589120371</v>
      </c>
      <c r="C615" s="1" t="n">
        <v>45983</v>
      </c>
      <c r="D615" t="inlineStr">
        <is>
          <t>DALARNAS LÄN</t>
        </is>
      </c>
      <c r="E615" t="inlineStr">
        <is>
          <t>ÄLVDALEN</t>
        </is>
      </c>
      <c r="G615" t="n">
        <v>5.8</v>
      </c>
      <c r="H615" t="n">
        <v>0</v>
      </c>
      <c r="I615" t="n">
        <v>0</v>
      </c>
      <c r="J615" t="n">
        <v>0</v>
      </c>
      <c r="K615" t="n">
        <v>0</v>
      </c>
      <c r="L615" t="n">
        <v>0</v>
      </c>
      <c r="M615" t="n">
        <v>0</v>
      </c>
      <c r="N615" t="n">
        <v>0</v>
      </c>
      <c r="O615" t="n">
        <v>0</v>
      </c>
      <c r="P615" t="n">
        <v>0</v>
      </c>
      <c r="Q615" t="n">
        <v>0</v>
      </c>
      <c r="R615" s="2" t="inlineStr"/>
    </row>
    <row r="616" ht="15" customHeight="1">
      <c r="A616" t="inlineStr">
        <is>
          <t>A 1088-2025</t>
        </is>
      </c>
      <c r="B616" s="1" t="n">
        <v>45666.62162037037</v>
      </c>
      <c r="C616" s="1" t="n">
        <v>45983</v>
      </c>
      <c r="D616" t="inlineStr">
        <is>
          <t>DALARNAS LÄN</t>
        </is>
      </c>
      <c r="E616" t="inlineStr">
        <is>
          <t>ÄLVDALEN</t>
        </is>
      </c>
      <c r="G616" t="n">
        <v>5.4</v>
      </c>
      <c r="H616" t="n">
        <v>0</v>
      </c>
      <c r="I616" t="n">
        <v>0</v>
      </c>
      <c r="J616" t="n">
        <v>0</v>
      </c>
      <c r="K616" t="n">
        <v>0</v>
      </c>
      <c r="L616" t="n">
        <v>0</v>
      </c>
      <c r="M616" t="n">
        <v>0</v>
      </c>
      <c r="N616" t="n">
        <v>0</v>
      </c>
      <c r="O616" t="n">
        <v>0</v>
      </c>
      <c r="P616" t="n">
        <v>0</v>
      </c>
      <c r="Q616" t="n">
        <v>0</v>
      </c>
      <c r="R616" s="2" t="inlineStr"/>
    </row>
    <row r="617" ht="15" customHeight="1">
      <c r="A617" t="inlineStr">
        <is>
          <t>A 15760-2024</t>
        </is>
      </c>
      <c r="B617" s="1" t="n">
        <v>45404</v>
      </c>
      <c r="C617" s="1" t="n">
        <v>45983</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53168-2024</t>
        </is>
      </c>
      <c r="B618" s="1" t="n">
        <v>45611.65569444445</v>
      </c>
      <c r="C618" s="1" t="n">
        <v>45983</v>
      </c>
      <c r="D618" t="inlineStr">
        <is>
          <t>DALARNAS LÄN</t>
        </is>
      </c>
      <c r="E618" t="inlineStr">
        <is>
          <t>ÄLVDALEN</t>
        </is>
      </c>
      <c r="G618" t="n">
        <v>3.4</v>
      </c>
      <c r="H618" t="n">
        <v>0</v>
      </c>
      <c r="I618" t="n">
        <v>0</v>
      </c>
      <c r="J618" t="n">
        <v>0</v>
      </c>
      <c r="K618" t="n">
        <v>0</v>
      </c>
      <c r="L618" t="n">
        <v>0</v>
      </c>
      <c r="M618" t="n">
        <v>0</v>
      </c>
      <c r="N618" t="n">
        <v>0</v>
      </c>
      <c r="O618" t="n">
        <v>0</v>
      </c>
      <c r="P618" t="n">
        <v>0</v>
      </c>
      <c r="Q618" t="n">
        <v>0</v>
      </c>
      <c r="R618" s="2" t="inlineStr"/>
    </row>
    <row r="619" ht="15" customHeight="1">
      <c r="A619" t="inlineStr">
        <is>
          <t>A 20924-2025</t>
        </is>
      </c>
      <c r="B619" s="1" t="n">
        <v>45777</v>
      </c>
      <c r="C619" s="1" t="n">
        <v>45983</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21395-2025</t>
        </is>
      </c>
      <c r="B620" s="1" t="n">
        <v>45782.48197916667</v>
      </c>
      <c r="C620" s="1" t="n">
        <v>45983</v>
      </c>
      <c r="D620" t="inlineStr">
        <is>
          <t>DALARNAS LÄN</t>
        </is>
      </c>
      <c r="E620" t="inlineStr">
        <is>
          <t>ÄLVDALEN</t>
        </is>
      </c>
      <c r="G620" t="n">
        <v>6.4</v>
      </c>
      <c r="H620" t="n">
        <v>0</v>
      </c>
      <c r="I620" t="n">
        <v>0</v>
      </c>
      <c r="J620" t="n">
        <v>0</v>
      </c>
      <c r="K620" t="n">
        <v>0</v>
      </c>
      <c r="L620" t="n">
        <v>0</v>
      </c>
      <c r="M620" t="n">
        <v>0</v>
      </c>
      <c r="N620" t="n">
        <v>0</v>
      </c>
      <c r="O620" t="n">
        <v>0</v>
      </c>
      <c r="P620" t="n">
        <v>0</v>
      </c>
      <c r="Q620" t="n">
        <v>0</v>
      </c>
      <c r="R620" s="2" t="inlineStr"/>
    </row>
    <row r="621" ht="15" customHeight="1">
      <c r="A621" t="inlineStr">
        <is>
          <t>A 21629-2025</t>
        </is>
      </c>
      <c r="B621" s="1" t="n">
        <v>45783.4247337963</v>
      </c>
      <c r="C621" s="1" t="n">
        <v>45983</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21613-2025</t>
        </is>
      </c>
      <c r="B622" s="1" t="n">
        <v>45783.39542824074</v>
      </c>
      <c r="C622" s="1" t="n">
        <v>45983</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37061-2024</t>
        </is>
      </c>
      <c r="B623" s="1" t="n">
        <v>45539</v>
      </c>
      <c r="C623" s="1" t="n">
        <v>45983</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7581-2024</t>
        </is>
      </c>
      <c r="B624" s="1" t="n">
        <v>45348.49204861111</v>
      </c>
      <c r="C624" s="1" t="n">
        <v>45983</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c r="A625" t="inlineStr">
        <is>
          <t>A 32594-2023</t>
        </is>
      </c>
      <c r="B625" s="1" t="n">
        <v>45121.50986111111</v>
      </c>
      <c r="C625" s="1" t="n">
        <v>45983</v>
      </c>
      <c r="D625" t="inlineStr">
        <is>
          <t>DALARNAS LÄN</t>
        </is>
      </c>
      <c r="E625" t="inlineStr">
        <is>
          <t>ÄLVDALEN</t>
        </is>
      </c>
      <c r="G625" t="n">
        <v>4</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2025-11-22T10:16:22Z</dcterms:created>
  <dcterms:modified xmlns:dcterms="http://purl.org/dc/terms/" xmlns:xsi="http://www.w3.org/2001/XMLSchema-instance" xsi:type="dcterms:W3CDTF">2025-11-22T10:16:23Z</dcterms:modified>
</cp:coreProperties>
</file>